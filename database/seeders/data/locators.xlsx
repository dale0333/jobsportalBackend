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_8.2\htdocs\Temple\job_portal\job_laravel\database\seeders\data\"/>
    </mc:Choice>
  </mc:AlternateContent>
  <bookViews>
    <workbookView xWindow="0" yWindow="0" windowWidth="23040" windowHeight="9780"/>
  </bookViews>
  <sheets>
    <sheet name="locators" sheetId="1" r:id="rId1"/>
  </sheets>
  <calcPr calcId="162913"/>
</workbook>
</file>

<file path=xl/calcChain.xml><?xml version="1.0" encoding="utf-8"?>
<calcChain xmlns="http://schemas.openxmlformats.org/spreadsheetml/2006/main">
  <c r="J14" i="1" l="1"/>
  <c r="J16" i="1"/>
  <c r="J34" i="1"/>
  <c r="J58" i="1"/>
  <c r="J106" i="1"/>
  <c r="J108" i="1"/>
  <c r="J113" i="1"/>
  <c r="J120" i="1"/>
  <c r="J185" i="1"/>
  <c r="J200" i="1"/>
  <c r="J201" i="1"/>
  <c r="J238" i="1"/>
  <c r="J289" i="1"/>
  <c r="J310" i="1"/>
  <c r="J380" i="1"/>
  <c r="J421" i="1"/>
  <c r="J456" i="1"/>
  <c r="J472" i="1"/>
  <c r="J476" i="1"/>
  <c r="J496" i="1"/>
  <c r="J568" i="1"/>
  <c r="J595" i="1"/>
  <c r="J598" i="1"/>
  <c r="J619" i="1"/>
  <c r="J641" i="1"/>
  <c r="J646" i="1"/>
  <c r="J666" i="1"/>
  <c r="J678" i="1"/>
  <c r="J790" i="1"/>
  <c r="J791" i="1"/>
  <c r="J856" i="1"/>
  <c r="J857" i="1"/>
  <c r="J1094" i="1"/>
  <c r="J1139" i="1"/>
  <c r="J1202" i="1"/>
  <c r="J1290" i="1"/>
  <c r="J1307" i="1"/>
  <c r="J1311" i="1"/>
  <c r="J1324" i="1"/>
  <c r="J1325" i="1"/>
  <c r="J1337" i="1"/>
  <c r="J1346" i="1"/>
  <c r="J1350" i="1"/>
  <c r="J1368" i="1"/>
</calcChain>
</file>

<file path=xl/sharedStrings.xml><?xml version="1.0" encoding="utf-8"?>
<sst xmlns="http://schemas.openxmlformats.org/spreadsheetml/2006/main" count="20823" uniqueCount="12286">
  <si>
    <t>lat_</t>
  </si>
  <si>
    <t>long_</t>
  </si>
  <si>
    <t>crte_</t>
  </si>
  <si>
    <t>validity_</t>
  </si>
  <si>
    <t>logo_</t>
  </si>
  <si>
    <t>ICE INTERNATIONAL TECHNOLOGIES INC</t>
  </si>
  <si>
    <t>CALIGAGAN</t>
  </si>
  <si>
    <t>MILDRED</t>
  </si>
  <si>
    <t>DELOS REYES</t>
  </si>
  <si>
    <t>HR ASSISTANT</t>
  </si>
  <si>
    <t>Unit 11A1  Philexcel Business Park MA Roxas HighwaY Clark Freeport Zone	 Philippines</t>
  </si>
  <si>
    <t>mildred.hrad@iceinternationaltech.com</t>
  </si>
  <si>
    <t>045 499 1636</t>
  </si>
  <si>
    <t>2016-489</t>
  </si>
  <si>
    <t>hradmin</t>
  </si>
  <si>
    <t>2017-09-29T16:00:00.000Z</t>
  </si>
  <si>
    <t>Industrial</t>
  </si>
  <si>
    <t>NEC</t>
  </si>
  <si>
    <t>/uploads/file-1486451445654.jpg</t>
  </si>
  <si>
    <t>Z GETCARE SYSTEMS INC</t>
  </si>
  <si>
    <t>BATAC</t>
  </si>
  <si>
    <t>MARGIELYN</t>
  </si>
  <si>
    <t>TULLIAO</t>
  </si>
  <si>
    <t>HR</t>
  </si>
  <si>
    <t>2nd Floor Building 43 Philexcel Business Park	 M A Roxas Highway	 Clark Freeport Zone	 Philippines</t>
  </si>
  <si>
    <t>margielyn.batac@rtzassociates.com</t>
  </si>
  <si>
    <t>045-599-7069</t>
  </si>
  <si>
    <t>2015-314</t>
  </si>
  <si>
    <t>zgetcare</t>
  </si>
  <si>
    <t>2018-08-30T16:00:00.000Z</t>
  </si>
  <si>
    <t>ICT INDUSTRY</t>
  </si>
  <si>
    <t>SOFTWARE DEVELOPMENT</t>
  </si>
  <si>
    <t>/uploads/file-1542003014894.png</t>
  </si>
  <si>
    <t>ZMARTCHOICES INC.</t>
  </si>
  <si>
    <t>POBLETE</t>
  </si>
  <si>
    <t>DENICE PATRICIA</t>
  </si>
  <si>
    <t>CUNANAN</t>
  </si>
  <si>
    <t>HUMAN RESOURCE STAFF</t>
  </si>
  <si>
    <t>First Floor Building 43	 Philexcel Business Park M.A. Roxas Highway</t>
  </si>
  <si>
    <t xml:space="preserve">	 Clark Freeport Zone	 Philippines</t>
  </si>
  <si>
    <t>denice@rtzassociates.com</t>
  </si>
  <si>
    <t>045-499-3260</t>
  </si>
  <si>
    <t>2016-061</t>
  </si>
  <si>
    <t>zmartchoices</t>
  </si>
  <si>
    <t>2019-02-09T16:00:00.000Z</t>
  </si>
  <si>
    <t>COMMERCIAL</t>
  </si>
  <si>
    <t>CONVENIENCE STORE</t>
  </si>
  <si>
    <t>SOLPHILS CORPORATION</t>
  </si>
  <si>
    <t>Palo</t>
  </si>
  <si>
    <t>Crisanta</t>
  </si>
  <si>
    <t>HRADMIN OFFICER</t>
  </si>
  <si>
    <t>Unit 40C  40D Philexcel Business Park Clark Freeport Zone</t>
  </si>
  <si>
    <t>cpalo@solphils.com</t>
  </si>
  <si>
    <t>045-499-5196</t>
  </si>
  <si>
    <t>2016-129</t>
  </si>
  <si>
    <t>Solphils01</t>
  </si>
  <si>
    <t>2017-02-27T16:00:00.000Z</t>
  </si>
  <si>
    <t>INDUSTRIAL</t>
  </si>
  <si>
    <t>OTHER MANUFACTURING</t>
  </si>
  <si>
    <t>/uploads/file-1488441713636.png</t>
  </si>
  <si>
    <t>L  T INTERNATIONAL GROUP PHILIPPINES INC</t>
  </si>
  <si>
    <t>Mapilit</t>
  </si>
  <si>
    <t>Florence</t>
  </si>
  <si>
    <t>Cinco</t>
  </si>
  <si>
    <t>Corporate Communications Manager</t>
  </si>
  <si>
    <t>Bldgs 7500  7501 C M Recto Highway     	 Clark Freeport Zone	 Philippines</t>
  </si>
  <si>
    <t>florence_mapilit@luenthai.com</t>
  </si>
  <si>
    <t>0917-770-7774</t>
  </si>
  <si>
    <t>2015-337</t>
  </si>
  <si>
    <t>exia@123</t>
  </si>
  <si>
    <t>2044-12-27T16:00:00.000Z</t>
  </si>
  <si>
    <t>GARMENTS</t>
  </si>
  <si>
    <t>/uploads/file-1490946955965.png</t>
  </si>
  <si>
    <t>PEERWEALTH CORP</t>
  </si>
  <si>
    <t>Munoz</t>
  </si>
  <si>
    <t>Catherine</t>
  </si>
  <si>
    <t>Nacu</t>
  </si>
  <si>
    <t>Office Manager</t>
  </si>
  <si>
    <t>Ground Floor Clark Center 07  Berthaphil Center Jose Abad Santos Avenue Clark Freeport Zone Philippines</t>
  </si>
  <si>
    <t>pwclark@peerwealth.com.au</t>
  </si>
  <si>
    <t>499-4314 and 09437280433</t>
  </si>
  <si>
    <t>2016-179</t>
  </si>
  <si>
    <t>2017-11-29T16:00:00.000Z</t>
  </si>
  <si>
    <t>BPO</t>
  </si>
  <si>
    <t>/uploads/file-1492747490864.png</t>
  </si>
  <si>
    <t>Delta Golf Philippines Expeditionary Support Inc</t>
  </si>
  <si>
    <t>Henson</t>
  </si>
  <si>
    <t>Marie Joyce</t>
  </si>
  <si>
    <t>Castro</t>
  </si>
  <si>
    <t>Administrator</t>
  </si>
  <si>
    <t>Bldg 7576 Civil Aviation Complex Clark Freeport Zone Clark 2023 Pampanga Philippines</t>
  </si>
  <si>
    <t>admin@deltagolfrplc.com</t>
  </si>
  <si>
    <t>09177123791-499-3199</t>
  </si>
  <si>
    <t>2015-136</t>
  </si>
  <si>
    <t>DGRPLC@123</t>
  </si>
  <si>
    <t>2017-05-30T16:00:00.000Z</t>
  </si>
  <si>
    <t>LOGISTICS</t>
  </si>
  <si>
    <t>Logistics support services to foreign mi</t>
  </si>
  <si>
    <t>/uploads/file-1486695399240.png</t>
  </si>
  <si>
    <t>COEX, Incorporated</t>
  </si>
  <si>
    <t>FUNDALES</t>
  </si>
  <si>
    <t>ELISA</t>
  </si>
  <si>
    <t>DAMISIL</t>
  </si>
  <si>
    <t>ACCOUNTING HEAD</t>
  </si>
  <si>
    <t>N2842	 Bayanihan Street	 Clark Freeport Zone	 Philippines</t>
  </si>
  <si>
    <t>lisaf.coex@gmail.com</t>
  </si>
  <si>
    <t>2016-242</t>
  </si>
  <si>
    <t>coexn2842</t>
  </si>
  <si>
    <t>2019-05-10T16:00:00.000Z</t>
  </si>
  <si>
    <t>MANUFACTURING</t>
  </si>
  <si>
    <t>ALLKEY INTERNATIONAL INC</t>
  </si>
  <si>
    <t>GAYAMO</t>
  </si>
  <si>
    <t>MERILYN</t>
  </si>
  <si>
    <t>ALAMO</t>
  </si>
  <si>
    <t>HR Deputy Manager</t>
  </si>
  <si>
    <t>Bldg 07  08 Berthaphil VI Industrial Park Panday Pira Avenue Clark Freeport Zone Pampanga</t>
  </si>
  <si>
    <t>hrd@allkey.com.ph</t>
  </si>
  <si>
    <t>045-599-2050 to 51</t>
  </si>
  <si>
    <t>2016-478</t>
  </si>
  <si>
    <t>2019-10-10T16:00:00.000Z</t>
  </si>
  <si>
    <t>/uploads/file-1497343094514.jpg</t>
  </si>
  <si>
    <t>DHLI DENTAL HEALTH LABORATORIES INC</t>
  </si>
  <si>
    <t>Pilarmio</t>
  </si>
  <si>
    <t>Jennifer</t>
  </si>
  <si>
    <t>Manalo</t>
  </si>
  <si>
    <t>Contact Person</t>
  </si>
  <si>
    <t>Building 5192	 A Soriano St	 Clark Freeport Zone	 Philippines</t>
  </si>
  <si>
    <t>dentalhealthlaboratory@gmail.com</t>
  </si>
  <si>
    <t>2016-581</t>
  </si>
  <si>
    <t>2019-11-22T16:00:00.000Z</t>
  </si>
  <si>
    <t>/uploads/file-1487296686651.jpg</t>
  </si>
  <si>
    <t>SWAK BPO CORP</t>
  </si>
  <si>
    <t>ESPANA</t>
  </si>
  <si>
    <t>Nestor Espana</t>
  </si>
  <si>
    <t>CRUZ</t>
  </si>
  <si>
    <t>Admin Manager</t>
  </si>
  <si>
    <t>4F Mercedes Benz Center Clark Freeport Zone Pampanga</t>
  </si>
  <si>
    <t>nespana@staffboom.com</t>
  </si>
  <si>
    <t>2017-059</t>
  </si>
  <si>
    <t>2018-01-30T16:00:00.000Z</t>
  </si>
  <si>
    <t>CALL CENTER BPO</t>
  </si>
  <si>
    <t>GNGN EIKAIWA PHILS INC</t>
  </si>
  <si>
    <t>Baylon</t>
  </si>
  <si>
    <t>Gizelle</t>
  </si>
  <si>
    <t>Dahang</t>
  </si>
  <si>
    <t>Recruitment Specialist  HR Support</t>
  </si>
  <si>
    <t>Bldg 5415 CM Recto Highway	 Clark Freeport Zone	 Philippines</t>
  </si>
  <si>
    <t>recruitment.gngn@gmail.com</t>
  </si>
  <si>
    <t>045 4993060</t>
  </si>
  <si>
    <t>2017-007</t>
  </si>
  <si>
    <t>2018-11-29T16:00:00.000Z</t>
  </si>
  <si>
    <t>INSTITUTIONAL</t>
  </si>
  <si>
    <t>ENGLISH SECOND LANGUAGE</t>
  </si>
  <si>
    <t>/uploads/file-1491457689141.png</t>
  </si>
  <si>
    <t>FORTIS MEDI PHARMACEUTICAL INC</t>
  </si>
  <si>
    <t>DINEROS</t>
  </si>
  <si>
    <t>DANTE</t>
  </si>
  <si>
    <t>Industrial Estate 5 MA Roxas Highway Clark Freeport Zone Pampanga Philippines</t>
  </si>
  <si>
    <t>fortismedi_dhanvin@yahoo.com</t>
  </si>
  <si>
    <t>2014-404</t>
  </si>
  <si>
    <t>fortismedi</t>
  </si>
  <si>
    <t>2017-10-15T16:00:00.000Z</t>
  </si>
  <si>
    <t>CUSTOM SPORTS  LEISURE MANUFACTURING CORP</t>
  </si>
  <si>
    <t>Mayo</t>
  </si>
  <si>
    <t>Ma Azela</t>
  </si>
  <si>
    <t>Inofre</t>
  </si>
  <si>
    <t>Admin and Finance Manager</t>
  </si>
  <si>
    <t>Unit 11A3	 Philexcel Business Park	 MA Roxas Highway	 Clark Freeport Zone	 Philippines</t>
  </si>
  <si>
    <t>cslcorp.acct@gmail.com</t>
  </si>
  <si>
    <t>045 499 5433</t>
  </si>
  <si>
    <t>2016-134</t>
  </si>
  <si>
    <t>Ccsl.cristina02</t>
  </si>
  <si>
    <t>2018-04-19T16:00:00.000Z</t>
  </si>
  <si>
    <t>/uploads/file-1492478863035.jpg</t>
  </si>
  <si>
    <t>NEW WELLBEING SPA CITY CORP</t>
  </si>
  <si>
    <t>BANTOLINO</t>
  </si>
  <si>
    <t>ANALYN</t>
  </si>
  <si>
    <t>A</t>
  </si>
  <si>
    <t>HRAdmin Officer</t>
  </si>
  <si>
    <t>N1870 Redwood Clubhouse	 Marimla Street	 Redwood Compound 	 Clark Freeport Zone	 Philippines</t>
  </si>
  <si>
    <t>hr.nwbs.lohashotel@gmail.com</t>
  </si>
  <si>
    <t>2016-485</t>
  </si>
  <si>
    <t>2019-11-21T16:00:00.000Z</t>
  </si>
  <si>
    <t>TOURISM</t>
  </si>
  <si>
    <t>TOURISM ESTATE</t>
  </si>
  <si>
    <t>/uploads/file-1487657435983.png</t>
  </si>
  <si>
    <t>INTERNATIONAL DRILLING EXPLORATION SUPPLY AND SERVICES INC</t>
  </si>
  <si>
    <t>Malonzo</t>
  </si>
  <si>
    <t>Jaypee</t>
  </si>
  <si>
    <t>Lumba</t>
  </si>
  <si>
    <t>Safety OfficerPCO</t>
  </si>
  <si>
    <t>Bldg 08 and Bldg 09	 Berthaphil II South	 Clark Freeport Zone	 Philippines</t>
  </si>
  <si>
    <t>safety_iso@indexss.net</t>
  </si>
  <si>
    <t>0919 376 4395</t>
  </si>
  <si>
    <t>2016-263</t>
  </si>
  <si>
    <t>2019-05-07T16:00:00.000Z</t>
  </si>
  <si>
    <t>/uploads/file-1487735628092.jpg</t>
  </si>
  <si>
    <t>KOREA PLAZA SPA  SALON INC</t>
  </si>
  <si>
    <t>LOPEZ</t>
  </si>
  <si>
    <t>SHERRY LANE</t>
  </si>
  <si>
    <t>DAVID</t>
  </si>
  <si>
    <t>HR MANAGER</t>
  </si>
  <si>
    <t>Stall No 7	 Lilly Hill Commercial Complex	 CM Recto Highway	 Clark Freeport Zone	 Philippines</t>
  </si>
  <si>
    <t>tpmclark@gmail.com</t>
  </si>
  <si>
    <t>2015-326</t>
  </si>
  <si>
    <t>2018-10-30T16:00:00.000Z</t>
  </si>
  <si>
    <t>SERVICES</t>
  </si>
  <si>
    <t>OTHER SERVICES</t>
  </si>
  <si>
    <t>CLARK FREEPORT TRADING RESOURCES INC</t>
  </si>
  <si>
    <t>PENA</t>
  </si>
  <si>
    <t>ALDIKIER</t>
  </si>
  <si>
    <t>LACAP</t>
  </si>
  <si>
    <t>OPERATIONS MANAGER</t>
  </si>
  <si>
    <t>Unit 32HI	 Philexcel Business Park	 MA Roxas Highway	 Clark Freeport Zone	 Philippines</t>
  </si>
  <si>
    <t>cftri.kier@gmail.com</t>
  </si>
  <si>
    <t>045-499-0297</t>
  </si>
  <si>
    <t>2016-517</t>
  </si>
  <si>
    <t>CFTRICFZ17</t>
  </si>
  <si>
    <t>2017-10-13T16:00:00.000Z</t>
  </si>
  <si>
    <t>TRADING</t>
  </si>
  <si>
    <t>/uploads/file-1488766573639.png</t>
  </si>
  <si>
    <t>LSG INDUSTRIAL  OFFICE PRODUCTS INC II</t>
  </si>
  <si>
    <t>VERGARA</t>
  </si>
  <si>
    <t>KHYLA SOPHIA</t>
  </si>
  <si>
    <t>PAMINTUAN</t>
  </si>
  <si>
    <t>HRADMIN ASSOCIATE</t>
  </si>
  <si>
    <t>Lot 1 Centennial Road Clark Freeport Zone Philippines</t>
  </si>
  <si>
    <t>hrd@lsgindustrialph.com</t>
  </si>
  <si>
    <t>045-649-8150</t>
  </si>
  <si>
    <t>2014-335</t>
  </si>
  <si>
    <t>LSGI2022</t>
  </si>
  <si>
    <t>2017-08-18T16:00:00.000Z</t>
  </si>
  <si>
    <t>/uploads/file-1649205683817.png</t>
  </si>
  <si>
    <t>CLARK DEVELOPMENT CORPORATION</t>
  </si>
  <si>
    <t>Estrada</t>
  </si>
  <si>
    <t>Benjie</t>
  </si>
  <si>
    <t>Pineda</t>
  </si>
  <si>
    <t>Human Resources Management Assistant II</t>
  </si>
  <si>
    <t>Bldg 2127 E Quirino Street	 Clark Freeport Zone	 Philippines</t>
  </si>
  <si>
    <t>Benjie.Estrada@clark.com.ph</t>
  </si>
  <si>
    <t>599 9000 local 532-537</t>
  </si>
  <si>
    <t>2012-390</t>
  </si>
  <si>
    <t>2013-09-22T16:00:00.000Z</t>
  </si>
  <si>
    <t>SERVICE</t>
  </si>
  <si>
    <t>GOVERNMENT AGENCY</t>
  </si>
  <si>
    <t>/uploads/file-1488266989121.jpg</t>
  </si>
  <si>
    <t>ISENSORS INC</t>
  </si>
  <si>
    <t>PINEDA</t>
  </si>
  <si>
    <t>ESMERALDA</t>
  </si>
  <si>
    <t>SALONGA</t>
  </si>
  <si>
    <t>HR  ADMIN MANAGER</t>
  </si>
  <si>
    <t>Bldg 18A	 Berthaphil Compound 1	 Jose Abad Santos Avenue	 Clark Freeport Zone	 Philippines</t>
  </si>
  <si>
    <t>hr@isensors-philippines.com</t>
  </si>
  <si>
    <t>499 0448</t>
  </si>
  <si>
    <t>2016-144</t>
  </si>
  <si>
    <t>2018-03-30T16:00:00.000Z</t>
  </si>
  <si>
    <t>ELECTRONICS</t>
  </si>
  <si>
    <t>/uploads/file-1491185191905.png</t>
  </si>
  <si>
    <t>PLAYSPACE INTERNATIONAL CORPORATION</t>
  </si>
  <si>
    <t>OCAMPO</t>
  </si>
  <si>
    <t>ELLAINE</t>
  </si>
  <si>
    <t>BANAL</t>
  </si>
  <si>
    <t>PRESIDENT</t>
  </si>
  <si>
    <t>Bldg 2091 Cardinal Santos Street	 Clark Freeport Zone	 Philippines</t>
  </si>
  <si>
    <t>theforeignmerchantsclub@gmail.com</t>
  </si>
  <si>
    <t>09285047945-045-499 5201</t>
  </si>
  <si>
    <t>2014-169</t>
  </si>
  <si>
    <t>playspace1234</t>
  </si>
  <si>
    <t>2017-07-13T16:00:00.000Z</t>
  </si>
  <si>
    <t>RESTAURANT</t>
  </si>
  <si>
    <t>/uploads/file-1490320551905.png</t>
  </si>
  <si>
    <t>CRL ENVIRONMENTAL CORP.</t>
  </si>
  <si>
    <t>PALO</t>
  </si>
  <si>
    <t>GLENDA</t>
  </si>
  <si>
    <t>MARIMLA</t>
  </si>
  <si>
    <t>ADMIN ASSISTANT</t>
  </si>
  <si>
    <t>Bldg. 02	 Berthaphil 1	 Jose Abad Santos Avenue		 Clark Freeport Zone	 Philippines</t>
  </si>
  <si>
    <t>glenda.palo@crllabs.com</t>
  </si>
  <si>
    <t>045 599 3943/09068750443</t>
  </si>
  <si>
    <t>2016-183</t>
  </si>
  <si>
    <t>OTHER SERVICE</t>
  </si>
  <si>
    <t>/uploads/file-1490856331709.jpg</t>
  </si>
  <si>
    <t>APEX INTEC PHILIPPINES CO LTD INC Formerly Du San Philippines Co Ltd Inc</t>
  </si>
  <si>
    <t>Farala</t>
  </si>
  <si>
    <t>Jose</t>
  </si>
  <si>
    <t>Aguilo</t>
  </si>
  <si>
    <t>Manager</t>
  </si>
  <si>
    <t>Bldg 7492 and 7467 along Topacio Street	 Claro M Recto Highway	 Clark Freeport Zone	 Philippines</t>
  </si>
  <si>
    <t>manu_.apexintec@yahoo.com</t>
  </si>
  <si>
    <t>2016-332</t>
  </si>
  <si>
    <t>lhinhr2017</t>
  </si>
  <si>
    <t>2018-07-03T16:00:00.000Z</t>
  </si>
  <si>
    <t>Other Manufacturing</t>
  </si>
  <si>
    <t>/uploads/file-1490856233722.jpg</t>
  </si>
  <si>
    <t>ELEMATEC ANGELES INC</t>
  </si>
  <si>
    <t>Illona Jane</t>
  </si>
  <si>
    <t>Balatayo</t>
  </si>
  <si>
    <t>AdminAccounting Staff</t>
  </si>
  <si>
    <t>Building 17 Berthaphil II North Industrial Park  	 Clark Freeport Zone	 Philippines</t>
  </si>
  <si>
    <t>jane@elematec.com</t>
  </si>
  <si>
    <t>045 499 3445 to 47</t>
  </si>
  <si>
    <t>2015-310</t>
  </si>
  <si>
    <t>elematec08</t>
  </si>
  <si>
    <t>2016-11-29T16:00:00.000Z</t>
  </si>
  <si>
    <t>Logistics</t>
  </si>
  <si>
    <t>Warehousing</t>
  </si>
  <si>
    <t>UPS International Inc</t>
  </si>
  <si>
    <t>Rufino</t>
  </si>
  <si>
    <t>John Kennedy</t>
  </si>
  <si>
    <t>Quibuyen</t>
  </si>
  <si>
    <t>HR Coordinator</t>
  </si>
  <si>
    <t>UPS  Intra Asia Hub	 Clark Civil Aviation Complex	 Clark Freeport Zone	 Philippines</t>
  </si>
  <si>
    <t>rjohnkennedy@ups.com</t>
  </si>
  <si>
    <t>0947-994-1801</t>
  </si>
  <si>
    <t>2016-228</t>
  </si>
  <si>
    <t>ups-uiic</t>
  </si>
  <si>
    <t>2019-04-26T16:00:00.000Z</t>
  </si>
  <si>
    <t>/uploads/file-1490963886889.jpg</t>
  </si>
  <si>
    <t>United Parcel Service Co</t>
  </si>
  <si>
    <t>Portion of UPS International	 Inc UPSII Building	 Clark Civil Aviation Complex	 Clark Freeport Zone	 Philippines</t>
  </si>
  <si>
    <t>2015-091</t>
  </si>
  <si>
    <t>ups-upsco</t>
  </si>
  <si>
    <t>2018-03-23T16:00:00.000Z</t>
  </si>
  <si>
    <t>Freight Forwarding</t>
  </si>
  <si>
    <t>/uploads/file-1490967712149.jpg</t>
  </si>
  <si>
    <t>YUANDONG BUILDING MATERIALS INC</t>
  </si>
  <si>
    <t>Dizon</t>
  </si>
  <si>
    <t>Glenda</t>
  </si>
  <si>
    <t>Sibug</t>
  </si>
  <si>
    <t>Corporate Secretary</t>
  </si>
  <si>
    <t>Unit 17C	 Philexcel Business Park	 MA Roxas Highway	 Clark Freeport Zone	 Philippines</t>
  </si>
  <si>
    <t>yuandongbmi@gmail.com</t>
  </si>
  <si>
    <t>499-3167</t>
  </si>
  <si>
    <t>2016-178</t>
  </si>
  <si>
    <t>YBMI2017</t>
  </si>
  <si>
    <t>2017-03-30T16:00:00.000Z</t>
  </si>
  <si>
    <t>Service</t>
  </si>
  <si>
    <t>Construction</t>
  </si>
  <si>
    <t>BIOSYN CENTRAL POWER INC</t>
  </si>
  <si>
    <t>Epres</t>
  </si>
  <si>
    <t>Rosemarie Ann</t>
  </si>
  <si>
    <t>Lopez</t>
  </si>
  <si>
    <t>Operations Manager</t>
  </si>
  <si>
    <t>Bldg 02A	 Berthaphil II North Industrial Park	 Manunggal Street	 Clark Freeport Zone	 Philippines</t>
  </si>
  <si>
    <t>rose.epres@biosynresources.com</t>
  </si>
  <si>
    <t>499-3432</t>
  </si>
  <si>
    <t>2016-158</t>
  </si>
  <si>
    <t>2019-02-27T16:00:00.000Z</t>
  </si>
  <si>
    <t>Other manufacturing</t>
  </si>
  <si>
    <t>/uploads/file-1496391074679.JPG</t>
  </si>
  <si>
    <t>DMXTECHNOLOGIES INC</t>
  </si>
  <si>
    <t>Rivera</t>
  </si>
  <si>
    <t>Iony Lara</t>
  </si>
  <si>
    <t>Gabriel</t>
  </si>
  <si>
    <t>Director for Administrative Services  and Human Resources</t>
  </si>
  <si>
    <t>Building 44	 Philexcel Business Park	 MA Roxas Highway	 Clark Freeport Zone	 Philippines</t>
  </si>
  <si>
    <t>iony.rivera@dm-x.us</t>
  </si>
  <si>
    <t>2016-593</t>
  </si>
  <si>
    <t>2019-10-30T16:00:00.000Z</t>
  </si>
  <si>
    <t>/uploads/file-1524647502183.jpg</t>
  </si>
  <si>
    <t>EXPRESS GIFTS PHILIPPINES INC</t>
  </si>
  <si>
    <t>Christine</t>
  </si>
  <si>
    <t>Pamintuan</t>
  </si>
  <si>
    <t>HR Assistant</t>
  </si>
  <si>
    <t>Clark Center 07 Second Floor	 Berthaphil Clark Center	 Jose Abad Santos Avenue		 Clark Freeport Zone	 Philippines</t>
  </si>
  <si>
    <t>christine.palo@express-gifts.co.uk</t>
  </si>
  <si>
    <t>0977-826-4169</t>
  </si>
  <si>
    <t>2016-173</t>
  </si>
  <si>
    <t>jovipogi</t>
  </si>
  <si>
    <t>ICT Industry</t>
  </si>
  <si>
    <t>Call CenterBPO</t>
  </si>
  <si>
    <t>GUNJU CORPORATION</t>
  </si>
  <si>
    <t>Fernando</t>
  </si>
  <si>
    <t>Business Reg officer II</t>
  </si>
  <si>
    <t>Unit 8D	 Philexcel Business Park	 M.A. Roxas Highway	 Clark Freeport Zone	 Philippines	 Clark Freeport Zone	 Philippines</t>
  </si>
  <si>
    <t>escprobusiness@gmail.com</t>
  </si>
  <si>
    <t>499-3215</t>
  </si>
  <si>
    <t>2016-443</t>
  </si>
  <si>
    <t>2019-08-30T16:00:00.000Z</t>
  </si>
  <si>
    <t>Call Center/BP)</t>
  </si>
  <si>
    <t>/uploads/file-1491266060081.jpg</t>
  </si>
  <si>
    <t>IBOSS ASIA INC</t>
  </si>
  <si>
    <t>Batul</t>
  </si>
  <si>
    <t>Gerardo Jr</t>
  </si>
  <si>
    <t>Mallari</t>
  </si>
  <si>
    <t>Sr Manager Clark Operations Day Shift</t>
  </si>
  <si>
    <t>Unit 1F9 Philexcel Business Center 9	 Philexcel Business Park	 MA Roxas Highway		 Clark Freeport Zone	 Philippines</t>
  </si>
  <si>
    <t>gerardo.batul@iboss.com</t>
  </si>
  <si>
    <t>2016-484</t>
  </si>
  <si>
    <t>Magpakalakasloob4784#</t>
  </si>
  <si>
    <t>2019-10-03T16:00:00.000Z</t>
  </si>
  <si>
    <t>Cyber Security Provider</t>
  </si>
  <si>
    <t>/uploads/file-1510558390349.png</t>
  </si>
  <si>
    <t>Jairatech Inc</t>
  </si>
  <si>
    <t>Business reg officer II</t>
  </si>
  <si>
    <t>Unit 17D	 Philexcel Business Park	 MA Roxas Highway	 Clark Freeport Zone	 Philippines</t>
  </si>
  <si>
    <t>499-8088</t>
  </si>
  <si>
    <t>2016-371</t>
  </si>
  <si>
    <t>Commercial</t>
  </si>
  <si>
    <t>Trading</t>
  </si>
  <si>
    <t>/uploads/file-1491265455133.JPG</t>
  </si>
  <si>
    <t>MILLBRAE EXPORTS INC</t>
  </si>
  <si>
    <t>Business Registration Officer II</t>
  </si>
  <si>
    <t>Unit 17P Philexcel Business Park	 M Roxas	 Highway	 Clark Freeport Zone	 Philippines</t>
  </si>
  <si>
    <t>2016-047</t>
  </si>
  <si>
    <t>2018-04-29T16:00:00.000Z</t>
  </si>
  <si>
    <t>/uploads/file-1532927931545.png</t>
  </si>
  <si>
    <t>MINGYU INDUSTRY PHILS. INC.</t>
  </si>
  <si>
    <t>Bldg. 5 Philexcel Business Park	 Clark Freeport Zone	 Philippines</t>
  </si>
  <si>
    <t>escpro@gmail.com</t>
  </si>
  <si>
    <t>2015-398</t>
  </si>
  <si>
    <t>mingyu2019</t>
  </si>
  <si>
    <t>Garments</t>
  </si>
  <si>
    <t>/uploads/file-1496372141321.JPG</t>
  </si>
  <si>
    <t>MIS ASIA INTERNATIONAL TECHNOLOGY INC</t>
  </si>
  <si>
    <t>Hernandez</t>
  </si>
  <si>
    <t>Alster</t>
  </si>
  <si>
    <t>Dimacali</t>
  </si>
  <si>
    <t>business reg officer II</t>
  </si>
  <si>
    <t>Unit 34G Philexcel Business Park	 MA Roxas Highway	 Clark Freeport Zone	 Philippines</t>
  </si>
  <si>
    <t>2015-336</t>
  </si>
  <si>
    <t>Electronics</t>
  </si>
  <si>
    <t>/uploads/file-1491195862135.jpg</t>
  </si>
  <si>
    <t>SUPPORTNINJA INC</t>
  </si>
  <si>
    <t>Magpayo</t>
  </si>
  <si>
    <t>Charlotte</t>
  </si>
  <si>
    <t>Cruz</t>
  </si>
  <si>
    <t>Global HR Director</t>
  </si>
  <si>
    <t>Unit 1F4 Philexcel Business Center 10	 Philexcel Business Park M A Roxas Highway	 Clark Freeport Zone	 Philippines</t>
  </si>
  <si>
    <t>hr-ph@supportninja.com</t>
  </si>
  <si>
    <t>02-876-1426</t>
  </si>
  <si>
    <t>2017-069</t>
  </si>
  <si>
    <t>VECOR LABS PHILS INC</t>
  </si>
  <si>
    <t>MISA</t>
  </si>
  <si>
    <t>JOHN</t>
  </si>
  <si>
    <t>SCIENTIST</t>
  </si>
  <si>
    <t>Unit 8E1	 Philexcel Business Park	 Inc M A Roxas Highway	 Clark Freeport Zone	 Philippines</t>
  </si>
  <si>
    <t>vecorlabsphils@gmail.com</t>
  </si>
  <si>
    <t>2015-273</t>
  </si>
  <si>
    <t>vecorlabs15</t>
  </si>
  <si>
    <t>2017-08-30T16:00:00.000Z</t>
  </si>
  <si>
    <t>Other Service</t>
  </si>
  <si>
    <t>/uploads/file-1491208737404.jpg</t>
  </si>
  <si>
    <t>WEB2RANK INC.</t>
  </si>
  <si>
    <t>Unit 27A Philexcel Business Park	 M. A. Roxas Highway	 	 Clark Freeport Zone	 Philippines</t>
  </si>
  <si>
    <t>2016-498</t>
  </si>
  <si>
    <t>web2rank2019</t>
  </si>
  <si>
    <t>Call Center/BPO</t>
  </si>
  <si>
    <t>/uploads/file-1493862000894.png</t>
  </si>
  <si>
    <t>SIA ENGINEERING (PHILIPPINES) CORPORATION</t>
  </si>
  <si>
    <t>Orfinada</t>
  </si>
  <si>
    <t>Kristine Jane</t>
  </si>
  <si>
    <t>Junior Officer</t>
  </si>
  <si>
    <t>N7691/7592 A. Bonifacio Ave.	 Civil Aviation Complex 	 Clark Freeport Zone	 Philippines</t>
  </si>
  <si>
    <t>kristine_orfinada@siaep.com</t>
  </si>
  <si>
    <t>2016-563</t>
  </si>
  <si>
    <t>2019-11-03T16:00:00.000Z</t>
  </si>
  <si>
    <t>Aviation-related</t>
  </si>
  <si>
    <t>MRO</t>
  </si>
  <si>
    <t>/uploads/file-1507955648133.JPG</t>
  </si>
  <si>
    <t>ANDROBOTICS CLARK INC</t>
  </si>
  <si>
    <t>Isla</t>
  </si>
  <si>
    <t>Eden</t>
  </si>
  <si>
    <t>Ramiscal</t>
  </si>
  <si>
    <t>Admin  Corporate Secretary</t>
  </si>
  <si>
    <t>Unit 02 Ground Floor Berthaphil Clark Center 9 Jose Abad Santos Avenue Clark Freeport Zone Pampanga</t>
  </si>
  <si>
    <t>e.isla@androboclark.com</t>
  </si>
  <si>
    <t>045-499-3149</t>
  </si>
  <si>
    <t>2016-232</t>
  </si>
  <si>
    <t>artc</t>
  </si>
  <si>
    <t>2017-07-30T16:00:00.000Z</t>
  </si>
  <si>
    <t>Software Development</t>
  </si>
  <si>
    <t>/uploads/file-1582533475048.jpg</t>
  </si>
  <si>
    <t>ITMFORCE MANPOWER CORPORATION</t>
  </si>
  <si>
    <t>Turla</t>
  </si>
  <si>
    <t>Carol</t>
  </si>
  <si>
    <t>Gomez</t>
  </si>
  <si>
    <t>HR Officer</t>
  </si>
  <si>
    <t>Unit 33 C Philexcel Business Park	 MA Roxas Highway	 Clark Freeport Zone	 Clark Freeport Zone	 Philippines</t>
  </si>
  <si>
    <t>itmforcemanpower2016@gmail.com</t>
  </si>
  <si>
    <t>2016-274</t>
  </si>
  <si>
    <t>itmforce</t>
  </si>
  <si>
    <t>2017-04-29T16:00:00.000Z</t>
  </si>
  <si>
    <t>Manpower</t>
  </si>
  <si>
    <t>/uploads/file-1491550394414.png</t>
  </si>
  <si>
    <t>HEARTFIELD ATELIER CORPORATION</t>
  </si>
  <si>
    <t>CASTRO</t>
  </si>
  <si>
    <t>CAROLINE</t>
  </si>
  <si>
    <t>VILLANUEVA</t>
  </si>
  <si>
    <t>ADMIN  HR STAFF</t>
  </si>
  <si>
    <t>Building 12C Philexcel Business Park MA  Roxas Highway Clark Freeport Zone Pampanga Philippines</t>
  </si>
  <si>
    <t>hac.caroline@gmail.com</t>
  </si>
  <si>
    <t>2016-092</t>
  </si>
  <si>
    <t>2019-03-30T16:00:00.000Z</t>
  </si>
  <si>
    <t>/uploads/file-1708476182508.jpg</t>
  </si>
  <si>
    <t>MEPCON PHILIPPINES INCORPORATED</t>
  </si>
  <si>
    <t>Gaoat</t>
  </si>
  <si>
    <t>Rhea</t>
  </si>
  <si>
    <t>Javillonar</t>
  </si>
  <si>
    <t>HR ExecutiveSafety</t>
  </si>
  <si>
    <t>Mini warehouse 10 Berthaphil II North Industrial Park Clark Freeport Zone  Angeles Pampanga</t>
  </si>
  <si>
    <t>rhegaoat@mepconphil.com</t>
  </si>
  <si>
    <t>045-499-2228 or</t>
  </si>
  <si>
    <t>2016-620</t>
  </si>
  <si>
    <t>/uploads/file-1494426813807.JPG</t>
  </si>
  <si>
    <t>SOLARTILITY PHILIPPINES INC</t>
  </si>
  <si>
    <t>Tallas</t>
  </si>
  <si>
    <t>Maribel</t>
  </si>
  <si>
    <t>De Vero</t>
  </si>
  <si>
    <t>Consultant Manager</t>
  </si>
  <si>
    <t>Unit 2 GF Clark Center 10 Jose Abad Santos Avenue Clark Freeport Zone 2023</t>
  </si>
  <si>
    <t>catherine.celino@solartility.com</t>
  </si>
  <si>
    <t>2016-433</t>
  </si>
  <si>
    <t>Patron123</t>
  </si>
  <si>
    <t>2019-08-18T16:00:00.000Z</t>
  </si>
  <si>
    <t>Office Space</t>
  </si>
  <si>
    <t>/uploads/file-1549876501385.jpg</t>
  </si>
  <si>
    <t>2GO EXPRESS INC</t>
  </si>
  <si>
    <t>NUNAG</t>
  </si>
  <si>
    <t>MICHAEL JOHN</t>
  </si>
  <si>
    <t>DE LEON</t>
  </si>
  <si>
    <t>OCSR</t>
  </si>
  <si>
    <t>BUILDING 2 OFFICE 3 BERTHAPHIL 4 RETAIL OFFICE CLARK FREEPORT ZONE</t>
  </si>
  <si>
    <t>2go_clark@2go.com.ph</t>
  </si>
  <si>
    <t>09365239164 - 045 4993164</t>
  </si>
  <si>
    <t>2016-308</t>
  </si>
  <si>
    <t>2PI TECHONOLOGIES INC</t>
  </si>
  <si>
    <t>SALAZAR</t>
  </si>
  <si>
    <t>EUNICIA KATRINA</t>
  </si>
  <si>
    <t>ICBAN</t>
  </si>
  <si>
    <t>GAHR MANAGER</t>
  </si>
  <si>
    <t>UNIT 50A PHILEXCEL BUSINESS PARK MA ROXAS HIGHWAY CLARK FREEPORT ZONE PHILIPPINES 2023</t>
  </si>
  <si>
    <t>euniciasalazar@2pitechonologiesinc.com</t>
  </si>
  <si>
    <t>2016-626</t>
  </si>
  <si>
    <t>SALAZARHR2017</t>
  </si>
  <si>
    <t>/uploads/file-1580895434771.png</t>
  </si>
  <si>
    <t>3EAGLE LOGISTICS INC</t>
  </si>
  <si>
    <t>Valdez</t>
  </si>
  <si>
    <t>Angela May</t>
  </si>
  <si>
    <t>M</t>
  </si>
  <si>
    <t>Marketing Officer</t>
  </si>
  <si>
    <t>Unit 16G Philexcel Business Park M A Roxas Highway Clark Freeport Zone Philippines</t>
  </si>
  <si>
    <t>logistics3eagle@yahoo.com.ph</t>
  </si>
  <si>
    <t>2015-208</t>
  </si>
  <si>
    <t>3eagle</t>
  </si>
  <si>
    <t>9 ACE GLOBAL TECHNOLOGIES INC</t>
  </si>
  <si>
    <t>OMPOC</t>
  </si>
  <si>
    <t>GLENN</t>
  </si>
  <si>
    <t>REY</t>
  </si>
  <si>
    <t>BUSINESS MANAGER</t>
  </si>
  <si>
    <t>UNIT 17 L M PHILEXCEL BUSINESS PARK CLARK PAMPANGA</t>
  </si>
  <si>
    <t>glenn@aceglobaltechnologies.com</t>
  </si>
  <si>
    <t>2015-306</t>
  </si>
  <si>
    <t>9Ace2021</t>
  </si>
  <si>
    <t>Agricultural Medicine</t>
  </si>
  <si>
    <t>Health</t>
  </si>
  <si>
    <t>A HARTRODT PHILIPPINES INC</t>
  </si>
  <si>
    <t>BANAG</t>
  </si>
  <si>
    <t>PETER ARIEL</t>
  </si>
  <si>
    <t>Ramos</t>
  </si>
  <si>
    <t>BRANCH MANAGER</t>
  </si>
  <si>
    <t>Unit 1F3 Philexcel Business Center 6 Philexcel Park M A Roxas Highway Clark Freeport Zone Philippines</t>
  </si>
  <si>
    <t>peter.banag@hartrodt.com.ph</t>
  </si>
  <si>
    <t>2016-377</t>
  </si>
  <si>
    <t>AAI WORLDWIDE LOGISTICS INC</t>
  </si>
  <si>
    <t>Gaa</t>
  </si>
  <si>
    <t>Leah</t>
  </si>
  <si>
    <t>Cahilig</t>
  </si>
  <si>
    <t>Station Manager</t>
  </si>
  <si>
    <t>Berthaphil II South Industrial Park Bayanihan St Clark Freeport Zone Angeles Pampanga</t>
  </si>
  <si>
    <t>leah_gaa@aai.com.ph</t>
  </si>
  <si>
    <t>2017-022</t>
  </si>
  <si>
    <t>pudcyua2013</t>
  </si>
  <si>
    <t>ABB BRETTOS FOODS INTERNATIONAL INC</t>
  </si>
  <si>
    <t>BACORNAY</t>
  </si>
  <si>
    <t>JEAN</t>
  </si>
  <si>
    <t>LAYOS</t>
  </si>
  <si>
    <t>OFFICE SUPERVISOR</t>
  </si>
  <si>
    <t>Event Center	 The Pavilion Mall	 Philexcel Business Park	 MA Roxas Highway</t>
  </si>
  <si>
    <t>jeanbacornay89@gmail.com</t>
  </si>
  <si>
    <t>2016-048</t>
  </si>
  <si>
    <t>BRETTOS</t>
  </si>
  <si>
    <t>Restaurant</t>
  </si>
  <si>
    <t>/uploads/file-1677136737754.png</t>
  </si>
  <si>
    <t>ACCESS POINT MEDICAL ASIA CORPORATION</t>
  </si>
  <si>
    <t>David</t>
  </si>
  <si>
    <t>Aguas</t>
  </si>
  <si>
    <t>Bldg 36 Philexcel Business Park	M Roxas Highway	 Clark Freeport Zone</t>
  </si>
  <si>
    <t>catherine@apmacorp.com</t>
  </si>
  <si>
    <t>045-499-0485</t>
  </si>
  <si>
    <t>2016-566</t>
  </si>
  <si>
    <t>APMAC2024</t>
  </si>
  <si>
    <t>/uploads/file-1495011546288.jpg</t>
  </si>
  <si>
    <t>ACCOUNTRIKS INC</t>
  </si>
  <si>
    <t>Tungol</t>
  </si>
  <si>
    <t>Arriane</t>
  </si>
  <si>
    <t>Digneneng</t>
  </si>
  <si>
    <t>Bookkeeper</t>
  </si>
  <si>
    <t>Office 08S2 Berthaphil Clark Center Jose Abad Santos St Clark Freeport Zone</t>
  </si>
  <si>
    <t>acc0untriks@gmail.com</t>
  </si>
  <si>
    <t>045 499 8258</t>
  </si>
  <si>
    <t>2016-372</t>
  </si>
  <si>
    <t>ACE TECH KOR  PHIL INC</t>
  </si>
  <si>
    <t>Mercado</t>
  </si>
  <si>
    <t>Karen Joyce</t>
  </si>
  <si>
    <t>SFA Semicon Compound  Panday Pira Avenue Corner Creekside Road Clark Freeport Zone Pampanga Philippines</t>
  </si>
  <si>
    <t>karen.mercado@iacetech.co.kr</t>
  </si>
  <si>
    <t>2016-250</t>
  </si>
  <si>
    <t>Acetech07</t>
  </si>
  <si>
    <t>/uploads/file-1499926914090.bmp</t>
  </si>
  <si>
    <t>ADERANS PHILIPPINES INC</t>
  </si>
  <si>
    <t>Abegaile</t>
  </si>
  <si>
    <t>Rimorin</t>
  </si>
  <si>
    <t>Human Resource Staff</t>
  </si>
  <si>
    <t>N14047 Clark Premiere Industrial Park	 M A Roxas Highway</t>
  </si>
  <si>
    <t>humanresource@aderans.com.ph</t>
  </si>
  <si>
    <t>599-6478</t>
  </si>
  <si>
    <t>2016-193</t>
  </si>
  <si>
    <t>/uploads/file-1492754966169.gif</t>
  </si>
  <si>
    <t>ADVANCE SOLUTIONS  IT ENTERPRISE INC</t>
  </si>
  <si>
    <t>Ocampo</t>
  </si>
  <si>
    <t>Joel</t>
  </si>
  <si>
    <t>Guevarra</t>
  </si>
  <si>
    <t>Operations Supervisor</t>
  </si>
  <si>
    <t>Facility 7530 A Bonifacio Ave Clark International Airport Complex Clark Freeport Zone Philippines 2023</t>
  </si>
  <si>
    <t>jennieanna.francisco@myasiph.com</t>
  </si>
  <si>
    <t>045-499-8407</t>
  </si>
  <si>
    <t>2014-286</t>
  </si>
  <si>
    <t>incorrect</t>
  </si>
  <si>
    <t>Information Technology</t>
  </si>
  <si>
    <t>/uploads/file-1499849622122.png</t>
  </si>
  <si>
    <t>ADVANTEST PHILIPPINES INC</t>
  </si>
  <si>
    <t>Medalla</t>
  </si>
  <si>
    <t>Sheryl</t>
  </si>
  <si>
    <t>Sanchez</t>
  </si>
  <si>
    <t>Admin Coordinator</t>
  </si>
  <si>
    <t>Unit 313 The KACC Philmade Building Lot 1 Lot 2 Corner J Abad Santos Avenue  E Quirino St Clark 2023 Freeport Zone Pampanga Philippines</t>
  </si>
  <si>
    <t>sheryl.medalla@advantest.com</t>
  </si>
  <si>
    <t>045 4993007</t>
  </si>
  <si>
    <t>2016-525</t>
  </si>
  <si>
    <t>AEROMART WORLDWIDE INC</t>
  </si>
  <si>
    <t>Jose Abel</t>
  </si>
  <si>
    <t>Palad</t>
  </si>
  <si>
    <t>GENERAL MANAGER</t>
  </si>
  <si>
    <t>N5280 CM Recto Highway Clark Freeport Zone Pampanga</t>
  </si>
  <si>
    <t>undefined</t>
  </si>
  <si>
    <t>045-499-3040</t>
  </si>
  <si>
    <t>2016-107</t>
  </si>
  <si>
    <t>aeromart</t>
  </si>
  <si>
    <t>/uploads/file-1496811040010.png</t>
  </si>
  <si>
    <t>AEROTECH SUPPLIES PHILIPPINES INC</t>
  </si>
  <si>
    <t>Catubay</t>
  </si>
  <si>
    <t>Howard Bhong</t>
  </si>
  <si>
    <t>Alvarez</t>
  </si>
  <si>
    <t>Head Finance and Admin Services</t>
  </si>
  <si>
    <t>RM 26 BLDG 7242 CIVIL AVIATION COMPLEX CLARK FREEPORT ZONE</t>
  </si>
  <si>
    <t>finad.aspi@aerotech.ph</t>
  </si>
  <si>
    <t>599-5538-9</t>
  </si>
  <si>
    <t>2016-009</t>
  </si>
  <si>
    <t>/uploads/file-1677834133407.gif</t>
  </si>
  <si>
    <t>AGILITY INTERNATIONAL LOGISTICS INC</t>
  </si>
  <si>
    <t>VENZON</t>
  </si>
  <si>
    <t>RALPH JOSEPH</t>
  </si>
  <si>
    <t>ASSISTOPERATION</t>
  </si>
  <si>
    <t>ROOM 7A BUSINESS CENTER1 PHILEXCEL MAROXAS CLARK FIELD PAMPANGA</t>
  </si>
  <si>
    <t>rvenzon@agility.com</t>
  </si>
  <si>
    <t>045 499 1039</t>
  </si>
  <si>
    <t>2017-112</t>
  </si>
  <si>
    <t>AGX EXPRESS PHILIPPINES INC</t>
  </si>
  <si>
    <t>Baylin</t>
  </si>
  <si>
    <t>Rosie</t>
  </si>
  <si>
    <t>Lavilla</t>
  </si>
  <si>
    <t>HR Assistant Manager</t>
  </si>
  <si>
    <t>3rd floor Clark Center 10 Berthaphil III  Jose Abad Santos Avenue Clark Freeport Zone Philippines</t>
  </si>
  <si>
    <t>rosie.mnl@agxlogistics.com</t>
  </si>
  <si>
    <t>045 499 0116</t>
  </si>
  <si>
    <t>2015-384</t>
  </si>
  <si>
    <t>AIKANCHO FAST FOOD AND CATERING SERVICES</t>
  </si>
  <si>
    <t>JOSE</t>
  </si>
  <si>
    <t>LAYUG</t>
  </si>
  <si>
    <t>OWNER</t>
  </si>
  <si>
    <t>Bldg N14060 Industrial Estate 5 M A Roxas Highway Clark Freeport Zone Philippines</t>
  </si>
  <si>
    <t>joselayugdavid_31@yahoo.com</t>
  </si>
  <si>
    <t>2016-340</t>
  </si>
  <si>
    <t>ichikoh0731</t>
  </si>
  <si>
    <t>CanteenConcessionaire</t>
  </si>
  <si>
    <t>AIRWORTHY INTERNATIONAL, INC.</t>
  </si>
  <si>
    <t>Aguilar</t>
  </si>
  <si>
    <t>Charles II</t>
  </si>
  <si>
    <t>Mampo</t>
  </si>
  <si>
    <t>caguilar@airworthy.aero</t>
  </si>
  <si>
    <t>2015-134</t>
  </si>
  <si>
    <t>Aerospace</t>
  </si>
  <si>
    <t>Aviation-Related</t>
  </si>
  <si>
    <t>/uploads/file-1491610798398.jpg</t>
  </si>
  <si>
    <t>ALL FASHION GLOVES, INC.</t>
  </si>
  <si>
    <t>Alma</t>
  </si>
  <si>
    <t>Yumul</t>
  </si>
  <si>
    <t>Admin Officer</t>
  </si>
  <si>
    <t>alma_afg@yahoo.com</t>
  </si>
  <si>
    <t>2016-321</t>
  </si>
  <si>
    <t>ALPHA AVIATION GROUP PHILIPPINES INC FORMERLY INTERNATIONAL AVIATION GROUP DEVELOPMENT CORPORATION</t>
  </si>
  <si>
    <t>Yusi</t>
  </si>
  <si>
    <t>NA</t>
  </si>
  <si>
    <t>HR Supervisor</t>
  </si>
  <si>
    <t>1092 Jose Abad Santos Ave	 Clark Freeport Zone	 Angeles	 Pampanga</t>
  </si>
  <si>
    <t>fernando.yusi@aag.aero</t>
  </si>
  <si>
    <t>0917-534-9862</t>
  </si>
  <si>
    <t>2016-479</t>
  </si>
  <si>
    <t>alphaaviation1</t>
  </si>
  <si>
    <t>Institutional</t>
  </si>
  <si>
    <t>School</t>
  </si>
  <si>
    <t>/uploads/file-1491789179985.png</t>
  </si>
  <si>
    <t>AMADO R COSME JR NATIVE CUISINE</t>
  </si>
  <si>
    <t>Cosme</t>
  </si>
  <si>
    <t>Edsel</t>
  </si>
  <si>
    <t>Manalese</t>
  </si>
  <si>
    <t>Supervisor</t>
  </si>
  <si>
    <t>CM Recto Clark Freeport Zone</t>
  </si>
  <si>
    <t>edselcosme201@gmail.com</t>
  </si>
  <si>
    <t>2014-205</t>
  </si>
  <si>
    <t>Suga09</t>
  </si>
  <si>
    <t>AMAZINGLY CLEAN, INC. (ACI)</t>
  </si>
  <si>
    <t>Cunanan</t>
  </si>
  <si>
    <t>Cory</t>
  </si>
  <si>
    <t>Lising</t>
  </si>
  <si>
    <t>HRIS Officer</t>
  </si>
  <si>
    <t>rykoclc@yahoo.com</t>
  </si>
  <si>
    <t>(045)5995000 loc 5792</t>
  </si>
  <si>
    <t>2017-056</t>
  </si>
  <si>
    <t>amazingly2017</t>
  </si>
  <si>
    <t>AMERICAN PLAQUE FACTORY INC</t>
  </si>
  <si>
    <t>QUISIDO</t>
  </si>
  <si>
    <t>MARY GRACE</t>
  </si>
  <si>
    <t>YNON</t>
  </si>
  <si>
    <t>ACCOUNTING OFFICER</t>
  </si>
  <si>
    <t>Lot A   Bldg 24 PhilExcel Business Park MA Roxas Highway Clark Freeport Zone Clarkfield Pampanga Philippines</t>
  </si>
  <si>
    <t>accounts@americanplaquecompany.com</t>
  </si>
  <si>
    <t>045 499 3095</t>
  </si>
  <si>
    <t>2016-500</t>
  </si>
  <si>
    <t>ANALYTICAL SUPPORT SERVICES FOR ENVIRONMENTAL TECHNOLOGIES INC</t>
  </si>
  <si>
    <t>Taningco</t>
  </si>
  <si>
    <t>Kenneth</t>
  </si>
  <si>
    <t>Matias</t>
  </si>
  <si>
    <t>Admin Asst</t>
  </si>
  <si>
    <t>Building 02A Berthaphil I Jose Abad Santos Clark Freeport Zone Philippines</t>
  </si>
  <si>
    <t>hrd@assetlaboratoriesph.com</t>
  </si>
  <si>
    <t>499-3038</t>
  </si>
  <si>
    <t>2016-139</t>
  </si>
  <si>
    <t>/uploads/file-1491351469779.jpg</t>
  </si>
  <si>
    <t>ANDRA'S BREADS O' CAKES</t>
  </si>
  <si>
    <t>2016-245</t>
  </si>
  <si>
    <t>Canteen/Concessionaire</t>
  </si>
  <si>
    <t>ANGELES ELECTRIC CORPORATION</t>
  </si>
  <si>
    <t>BINGCANG JR</t>
  </si>
  <si>
    <t>CEFERINO</t>
  </si>
  <si>
    <t>S</t>
  </si>
  <si>
    <t>Network Support Engineer</t>
  </si>
  <si>
    <t>MA Roxas Highway Clark Freeport Zone Philippines</t>
  </si>
  <si>
    <t>reevinx@gmail.com</t>
  </si>
  <si>
    <t>0998-9818314</t>
  </si>
  <si>
    <t>2014-122</t>
  </si>
  <si>
    <t>cea456</t>
  </si>
  <si>
    <t>Utility</t>
  </si>
  <si>
    <t>Power</t>
  </si>
  <si>
    <t>/uploads/file-1494213328537.png</t>
  </si>
  <si>
    <t>APAC MEDICAL EQUIPMENT INC</t>
  </si>
  <si>
    <t>Nuguid</t>
  </si>
  <si>
    <t>Erie Mae</t>
  </si>
  <si>
    <t>Morales</t>
  </si>
  <si>
    <t>Building 21	 Berthaphil I Industrial Park	 Jose Abad Santos Avenue</t>
  </si>
  <si>
    <t>admin@apacme.com</t>
  </si>
  <si>
    <t>499 0354</t>
  </si>
  <si>
    <t>2016-323</t>
  </si>
  <si>
    <t>Quality1!</t>
  </si>
  <si>
    <t>/uploads/file-1569920391945.jpg</t>
  </si>
  <si>
    <t>ARITAKE ESTATES, INC.</t>
  </si>
  <si>
    <t>2017-078</t>
  </si>
  <si>
    <t>christybasco0616</t>
  </si>
  <si>
    <t>Tourism</t>
  </si>
  <si>
    <t>Tourism Estate</t>
  </si>
  <si>
    <t>ASIA UNITED BANK CORPORATION</t>
  </si>
  <si>
    <t>Tuazon</t>
  </si>
  <si>
    <t>Irene</t>
  </si>
  <si>
    <t>Service Manager</t>
  </si>
  <si>
    <t>PAVILION 12 BERTHAPHIL III JOSE ABAD SANTOS AVENUE CLARK FREEPORT ZONE PAMPANGA</t>
  </si>
  <si>
    <t>aubclkf@aub.com.ph</t>
  </si>
  <si>
    <t>499-4346</t>
  </si>
  <si>
    <t>2014-204</t>
  </si>
  <si>
    <t>Bank</t>
  </si>
  <si>
    <t>ASIALUXE PHILIPPINES INC</t>
  </si>
  <si>
    <t>Abigail</t>
  </si>
  <si>
    <t>Perez</t>
  </si>
  <si>
    <t>Admin</t>
  </si>
  <si>
    <t>N7400 Manuel L Quezon Avenue Clarkfreeport Zone Clarkfield Pampanga</t>
  </si>
  <si>
    <t>abbie142530@gmail.com</t>
  </si>
  <si>
    <t>2013-176</t>
  </si>
  <si>
    <t>ASIAN DEVELOPMENT BANK</t>
  </si>
  <si>
    <t>Seril</t>
  </si>
  <si>
    <t>William</t>
  </si>
  <si>
    <t>Associate facilities planning  Management officer</t>
  </si>
  <si>
    <t>N0006 Ninoy Aquino Avenue corner Arayat Street Clark Freeport Zone Philippines</t>
  </si>
  <si>
    <t>wseril@adb.org</t>
  </si>
  <si>
    <t>2016-495</t>
  </si>
  <si>
    <t>ASIAN SPORTS APPAREL PHILIPPINES INC</t>
  </si>
  <si>
    <t>DAYRIT</t>
  </si>
  <si>
    <t>CHRISTIAN JOY</t>
  </si>
  <si>
    <t>SANCHEZ</t>
  </si>
  <si>
    <t>Bldg 2B Berthaphil V Ind Park Gil Puyat Ave Clark Freeport Zone Pampanga Philippines 2023</t>
  </si>
  <si>
    <t>christianjoy.dayrit@asaphilclark.com</t>
  </si>
  <si>
    <t>045-499-0538</t>
  </si>
  <si>
    <t>2016-522</t>
  </si>
  <si>
    <t>/uploads/file-1491379430853.jpg</t>
  </si>
  <si>
    <t>ASIANGREEN VILLE CORPORATION FORMERLY ASIANA GREEN VILLE CORPORATION</t>
  </si>
  <si>
    <t>PARAGAS</t>
  </si>
  <si>
    <t>MARITES</t>
  </si>
  <si>
    <t>SORIANO</t>
  </si>
  <si>
    <t>MALAGO ST JOSE ABAD SANTOS AVENUE CLARK FREEPORT ZONE PAMPANGA</t>
  </si>
  <si>
    <t>thessparagas@yahoo.com</t>
  </si>
  <si>
    <t>499-0530</t>
  </si>
  <si>
    <t>2016-292</t>
  </si>
  <si>
    <t>ASPAC INTERNATIONAL INC</t>
  </si>
  <si>
    <t>Salido</t>
  </si>
  <si>
    <t>Heidi</t>
  </si>
  <si>
    <t>Manager  HR  AND ADMIN</t>
  </si>
  <si>
    <t>Warehouse 01F Berthaphil IV Compound Civil Aviation Complex A Bonifacio Avenue Clark Freeport Zone Pampanga</t>
  </si>
  <si>
    <t>hr_clark@aspacphils.com.ph</t>
  </si>
  <si>
    <t>776-0888 loc 120 - 599-6419</t>
  </si>
  <si>
    <t>2016-312</t>
  </si>
  <si>
    <t>ASSOCIATED FREIGHT CONSOLIDATORS INC</t>
  </si>
  <si>
    <t>Infante</t>
  </si>
  <si>
    <t>Edwin</t>
  </si>
  <si>
    <t>Carreon</t>
  </si>
  <si>
    <t>Branch Manager</t>
  </si>
  <si>
    <t>ROOM 4A Business Center 1 Philexcel Business Park Clark Freeport Zone</t>
  </si>
  <si>
    <t>afciclark@afciphil.com.ph</t>
  </si>
  <si>
    <t>2015-203</t>
  </si>
  <si>
    <t>ATENEO DE MANILA UNIVERSITY GRADUATE SCHOOL OF BUSINESS</t>
  </si>
  <si>
    <t>Villanueva Jr.</t>
  </si>
  <si>
    <t>Francisco</t>
  </si>
  <si>
    <t>Lapuz</t>
  </si>
  <si>
    <t>Satellite Campus Director</t>
  </si>
  <si>
    <t>clark.gsb@ateneo.edu</t>
  </si>
  <si>
    <t>2016-202</t>
  </si>
  <si>
    <t>/uploads/file-1493958253116.gif</t>
  </si>
  <si>
    <t>ATIN ITO HANDICRAFT</t>
  </si>
  <si>
    <t>MAGDADARO</t>
  </si>
  <si>
    <t>RALYN</t>
  </si>
  <si>
    <t>BAYRE</t>
  </si>
  <si>
    <t>HR OFFICER</t>
  </si>
  <si>
    <t>Unit 703	 7th Floor Alabang Business Tower	 Madrigal Business Park	 Muntinlupa City Telephone No 8501142 Fax 8506949</t>
  </si>
  <si>
    <t>hrmanagercvt@yahoo.com</t>
  </si>
  <si>
    <t>2017-109</t>
  </si>
  <si>
    <t>Retail</t>
  </si>
  <si>
    <t>/uploads/file-1495594474766.png</t>
  </si>
  <si>
    <t>AVIAT NETWORKS CLARK CORPORATION</t>
  </si>
  <si>
    <t>Ponteres</t>
  </si>
  <si>
    <t>Mergie</t>
  </si>
  <si>
    <t>Limbaroc</t>
  </si>
  <si>
    <t>Admin Assistant</t>
  </si>
  <si>
    <t>Bldg 10 Units AB Philexcel Business Park M Roxas Hiway Clark Freeport Zone C 2023 Philippines</t>
  </si>
  <si>
    <t>mergie.ponteres@aviatnet.com</t>
  </si>
  <si>
    <t>2015-303</t>
  </si>
  <si>
    <t>AVIATION ENTERPRISES INC</t>
  </si>
  <si>
    <t>Paraguison</t>
  </si>
  <si>
    <t>Leslie Ann</t>
  </si>
  <si>
    <t>Manalastas</t>
  </si>
  <si>
    <t>Executive Assistant</t>
  </si>
  <si>
    <t>Hangar 7224 Clark International Airport Clarkfield</t>
  </si>
  <si>
    <t>lparaguison@aviation-enterprises.com</t>
  </si>
  <si>
    <t>2014-092</t>
  </si>
  <si>
    <t>AviationRelated</t>
  </si>
  <si>
    <t>/uploads/file-1508744152018.jpg</t>
  </si>
  <si>
    <t>AVIATIONHUBASIA INC</t>
  </si>
  <si>
    <t>Osayan</t>
  </si>
  <si>
    <t>Rebecca</t>
  </si>
  <si>
    <t>Reas</t>
  </si>
  <si>
    <t>Admin  Logistics</t>
  </si>
  <si>
    <t>Unit 33K Philexcel Business Center 3 M A Roxas Highway Clark freeport Zone Philippines</t>
  </si>
  <si>
    <t>rebecca.osayan@aviationhubasia.com</t>
  </si>
  <si>
    <t>045-499-8658</t>
  </si>
  <si>
    <t>2015-345</t>
  </si>
  <si>
    <t>AHAI2019</t>
  </si>
  <si>
    <t>/uploads/file-1581307230791.png</t>
  </si>
  <si>
    <t>AXESSCOM PHILIPPINES INC</t>
  </si>
  <si>
    <t>Horn</t>
  </si>
  <si>
    <t>Jens</t>
  </si>
  <si>
    <t>CFO</t>
  </si>
  <si>
    <t>Office Number 504 5F Clark Center 07 Clark Center Jose Abad Santos Avenue Clark Freeport Zone Philippines</t>
  </si>
  <si>
    <t>j.horn@axesscom.de</t>
  </si>
  <si>
    <t>045-598-7524</t>
  </si>
  <si>
    <t>2016-466</t>
  </si>
  <si>
    <t>BANK OF THE PHILIPPINE ISLANDS INC I</t>
  </si>
  <si>
    <t>Policarpio</t>
  </si>
  <si>
    <t>Wyeth Mae</t>
  </si>
  <si>
    <t>Wong</t>
  </si>
  <si>
    <t>Unit 2 Retail Building 2 Philexcel Business Park MA Roxas Highway Clark Freeport Zone Pampanga</t>
  </si>
  <si>
    <t>clarkfield-bm@bpi.com.ph</t>
  </si>
  <si>
    <t>2015-224</t>
  </si>
  <si>
    <t>clark876</t>
  </si>
  <si>
    <t>BB INTERNATIONAL LEISURE AND RESORT DEVELOPMENT CORPORATION</t>
  </si>
  <si>
    <t>Ong</t>
  </si>
  <si>
    <t>Angelica</t>
  </si>
  <si>
    <t>Canlapan</t>
  </si>
  <si>
    <t>HR Recruitment Staff</t>
  </si>
  <si>
    <t>clark valley view clark economic zone pampanga</t>
  </si>
  <si>
    <t>angelica_ong@mail.bbiclark.com</t>
  </si>
  <si>
    <t>045- 649-8298</t>
  </si>
  <si>
    <t>2016-325</t>
  </si>
  <si>
    <t>BE LIGHTS MANUFACTURING PHIL'S CORP.</t>
  </si>
  <si>
    <t>2016-042</t>
  </si>
  <si>
    <t>BEEPO INC</t>
  </si>
  <si>
    <t>Lozano</t>
  </si>
  <si>
    <t>Cristina</t>
  </si>
  <si>
    <t>Asis</t>
  </si>
  <si>
    <t>People and Culture Operations Officer</t>
  </si>
  <si>
    <t>Beepo Inc	 2nd floor Business Center 9	 Philexcel Business Park	 MA Roxas Hiway CFZ Pamp</t>
  </si>
  <si>
    <t>hr@beepo.com.au</t>
  </si>
  <si>
    <t>2017-034</t>
  </si>
  <si>
    <t>1234BeepoRecruit</t>
  </si>
  <si>
    <t>/uploads/file-1491188594766.png</t>
  </si>
  <si>
    <t>BESCO CLARK PHILIPPINES GROUP OF COMPANIES CORP.</t>
  </si>
  <si>
    <t>De Vera</t>
  </si>
  <si>
    <t>Yerim</t>
  </si>
  <si>
    <t>Kim</t>
  </si>
  <si>
    <t>Assistant Managing Director</t>
  </si>
  <si>
    <t>Lot 1 &amp; 2 Block 3 CMU-A The Villages C.M Recto Highway</t>
  </si>
  <si>
    <t>bescoclark@yahoo.com</t>
  </si>
  <si>
    <t>0917-565-8793</t>
  </si>
  <si>
    <t>2015-379</t>
  </si>
  <si>
    <t>Admin2025!</t>
  </si>
  <si>
    <t>Developer</t>
  </si>
  <si>
    <t>BESTELEMENT INDUSTRIAL LTD INC</t>
  </si>
  <si>
    <t>Capistrano</t>
  </si>
  <si>
    <t>Michelle</t>
  </si>
  <si>
    <t>Jimenez</t>
  </si>
  <si>
    <t>HRD OFFICER</t>
  </si>
  <si>
    <t>Creekside Road Clark Freeport Zone Pampanga</t>
  </si>
  <si>
    <t>hr@bestelement.com.ph</t>
  </si>
  <si>
    <t>0923-923-0167</t>
  </si>
  <si>
    <t>2016-429</t>
  </si>
  <si>
    <t>metalaccessories</t>
  </si>
  <si>
    <t>/uploads/file-1492591938045.gif</t>
  </si>
  <si>
    <t>BIGGOALS CORPORATION</t>
  </si>
  <si>
    <t>Miranda</t>
  </si>
  <si>
    <t>Vilma</t>
  </si>
  <si>
    <t>Laxamana</t>
  </si>
  <si>
    <t>HRPayroll Officer</t>
  </si>
  <si>
    <t>Along B Cabangcang St Civil Aviation Complex Clark Freeport Zone</t>
  </si>
  <si>
    <t>viimiranda1231@gmail.com</t>
  </si>
  <si>
    <t>0923-743-6739</t>
  </si>
  <si>
    <t>2016-116</t>
  </si>
  <si>
    <t>/uploads/file-1553738067346.jpg</t>
  </si>
  <si>
    <t>BILLERBY CORPORATION</t>
  </si>
  <si>
    <t>Arceo</t>
  </si>
  <si>
    <t>Marilyn</t>
  </si>
  <si>
    <t>Evaristo</t>
  </si>
  <si>
    <t>HR Personnel</t>
  </si>
  <si>
    <t>Units 14A and 14C Philexcel Business Park M A Roxas Highway  Clark Freeport Zone Philippines</t>
  </si>
  <si>
    <t>Marilyn.Arceo@genexygroup.com</t>
  </si>
  <si>
    <t>045-499-1668</t>
  </si>
  <si>
    <t>2016-117</t>
  </si>
  <si>
    <t>billerby</t>
  </si>
  <si>
    <t>BOLLORE LOGISTICS PHILIPPINES INC FORMERLY SDV SCAC PHILIPPINES INC</t>
  </si>
  <si>
    <t>Polistico</t>
  </si>
  <si>
    <t>Mercury</t>
  </si>
  <si>
    <t>Caliwan</t>
  </si>
  <si>
    <t>Air Export Documentation Specialist</t>
  </si>
  <si>
    <t>Rm 6 Phil Excel Business Park M A Roxas Highway Clark Freeport Zone Pampanga</t>
  </si>
  <si>
    <t>mercury.polistico@bollore.com</t>
  </si>
  <si>
    <t>2016-590</t>
  </si>
  <si>
    <t>BSB OUTSOURCING LTD CORPORATION</t>
  </si>
  <si>
    <t>Genuino</t>
  </si>
  <si>
    <t>Raquel</t>
  </si>
  <si>
    <t>Dela Cruz</t>
  </si>
  <si>
    <t>Finance Manager</t>
  </si>
  <si>
    <t>ROOM 16 BUSINESS CENTER 2 PHILEXCEL BUSINESS PARK CLARK FREEPORT ZONE 2023</t>
  </si>
  <si>
    <t>kay.genuino@azenko.com.au</t>
  </si>
  <si>
    <t>2016-136</t>
  </si>
  <si>
    <t>BSB4152</t>
  </si>
  <si>
    <t>BPO IT Enabled</t>
  </si>
  <si>
    <t>/uploads/file-1490925216189.jpg</t>
  </si>
  <si>
    <t>BU-DA SNAX CORP.</t>
  </si>
  <si>
    <t>GERONA</t>
  </si>
  <si>
    <t>BELINDA</t>
  </si>
  <si>
    <t>GOZUN</t>
  </si>
  <si>
    <t>AUTHORIZED REPRESENTATIVE</t>
  </si>
  <si>
    <t>pfibgg@gmail.com</t>
  </si>
  <si>
    <t>2017-046</t>
  </si>
  <si>
    <t>BYRNES MOTOR TRUST RESTORATION INC</t>
  </si>
  <si>
    <t>GOMEZ</t>
  </si>
  <si>
    <t>lerma</t>
  </si>
  <si>
    <t>serrano</t>
  </si>
  <si>
    <t>admin head</t>
  </si>
  <si>
    <t>Bldg N7175 7178 Gil Puyat Avenue Clark Freeport Zone Philippines</t>
  </si>
  <si>
    <t>lerma@bmtrestoration.com</t>
  </si>
  <si>
    <t>2016-157</t>
  </si>
  <si>
    <t>CADFS INC</t>
  </si>
  <si>
    <t>CALMA</t>
  </si>
  <si>
    <t>CATHERINE</t>
  </si>
  <si>
    <t>NETCHA</t>
  </si>
  <si>
    <t>ADMIN MANAGER</t>
  </si>
  <si>
    <t>2F CONCESSION AREA	PREDEPARTURE TERMINAL	 CLARK INTERNATIONAL AIRPORT	 CLARK FREEPORT ZONE	 PHILIPPINES 2023</t>
  </si>
  <si>
    <t>cadfsinc@yahoo.com.ph</t>
  </si>
  <si>
    <t>045-499-3088</t>
  </si>
  <si>
    <t>2015-035</t>
  </si>
  <si>
    <t>Cadfsinc/2012</t>
  </si>
  <si>
    <t>CAFE RODOLFO INC</t>
  </si>
  <si>
    <t>GUINTO</t>
  </si>
  <si>
    <t>WENDY LYKA</t>
  </si>
  <si>
    <t>DOMINGO</t>
  </si>
  <si>
    <t>HUMAN RESOURCE GENERALIST</t>
  </si>
  <si>
    <t>M A Roxas Avenue Clark Freeport Zone Philippines</t>
  </si>
  <si>
    <t>choiamarehrd@gmail.com</t>
  </si>
  <si>
    <t>2015-149</t>
  </si>
  <si>
    <t>amare2015</t>
  </si>
  <si>
    <t>CANON BUSINESS PROCESS SERVICES PHILIPPINES INC</t>
  </si>
  <si>
    <t>Romero</t>
  </si>
  <si>
    <t>Rhea Marie</t>
  </si>
  <si>
    <t>Ysais</t>
  </si>
  <si>
    <t>Unit 2F1 Philexcel Business Center 7 Philexcel Business Park M Roxas Highway Clark Freeport Zone Pampanga</t>
  </si>
  <si>
    <t>rhromero@cbps.canon.com</t>
  </si>
  <si>
    <t>02 86967250</t>
  </si>
  <si>
    <t>2015-074</t>
  </si>
  <si>
    <t>Marc1an0</t>
  </si>
  <si>
    <t>CARGOHAUS INC</t>
  </si>
  <si>
    <t>Malinit</t>
  </si>
  <si>
    <t>Darwin</t>
  </si>
  <si>
    <t>Francia</t>
  </si>
  <si>
    <t>Sr Manager</t>
  </si>
  <si>
    <t>Facility 7550 Clark International Airport Complex Clarkfield Pampanga</t>
  </si>
  <si>
    <t>dmalinit@cargohaus.com</t>
  </si>
  <si>
    <t>2016-499</t>
  </si>
  <si>
    <t>Cargohaus21</t>
  </si>
  <si>
    <t>CENTRAL MART DUTY FREE SHOPPE INC</t>
  </si>
  <si>
    <t>FRANCO</t>
  </si>
  <si>
    <t>CRISTY</t>
  </si>
  <si>
    <t>VALDEZ</t>
  </si>
  <si>
    <t>OFFICE STAFF</t>
  </si>
  <si>
    <t>MCIDC PURA KALAW and RAMON MAGSAYSAY AVENUE CLARKFIELD PAMPANGA</t>
  </si>
  <si>
    <t>valdezcristy@ymail.com</t>
  </si>
  <si>
    <t>045- 4995183</t>
  </si>
  <si>
    <t>2016-148</t>
  </si>
  <si>
    <t>CENTRAL SUMMIT INTERNATIONAL LEISURE AND HOTEL INC DOING BUSINESS UNDER THE NAME AND STYLE OF MIDORI CLARK HOTEL AND MIDORI CLARK CASINO</t>
  </si>
  <si>
    <t>Bonzon</t>
  </si>
  <si>
    <t>Aidee Isabel</t>
  </si>
  <si>
    <t>C M RECTO AVE KALAYAAN ROAD</t>
  </si>
  <si>
    <t>careers@midorihotel.com</t>
  </si>
  <si>
    <t>2016-380</t>
  </si>
  <si>
    <t>HotelCasino</t>
  </si>
  <si>
    <t>CFZ APPLIED MATERIALS PHILIPPINES LLC FORMER CFZ SEMITOOL INC</t>
  </si>
  <si>
    <t>Yeo</t>
  </si>
  <si>
    <t>Juliana</t>
  </si>
  <si>
    <t>Hwee Na</t>
  </si>
  <si>
    <t>Manager HR Advisor</t>
  </si>
  <si>
    <t>Clark Center Bldg 2 Clarkfield Freeport Zone Pampanga Philippines 2009</t>
  </si>
  <si>
    <t>juliana_yeo@amat.com</t>
  </si>
  <si>
    <t>2016-345</t>
  </si>
  <si>
    <t>CFZ REGENCY PARK INC</t>
  </si>
  <si>
    <t>Suba</t>
  </si>
  <si>
    <t>Fatima</t>
  </si>
  <si>
    <t>Halili</t>
  </si>
  <si>
    <t>President</t>
  </si>
  <si>
    <t>Jose Abad Santos Ave Cor E Aguinaldo St Clark Freeport Zone</t>
  </si>
  <si>
    <t>fatimashalili@yahoo.com</t>
  </si>
  <si>
    <t>2017-101</t>
  </si>
  <si>
    <t>PARKREGENCY</t>
  </si>
  <si>
    <t>CHARTER LINK CLARK INC FORMERLY 13963 ENTERPRISES LIMITED INC</t>
  </si>
  <si>
    <t>YAMBAO</t>
  </si>
  <si>
    <t>MARIBEL</t>
  </si>
  <si>
    <t>ROCHA</t>
  </si>
  <si>
    <t>PANDAY PIRA AVE EXT PH II</t>
  </si>
  <si>
    <t>maribel@charterlink.com.hk</t>
  </si>
  <si>
    <t>499-0508</t>
  </si>
  <si>
    <t>2017-051</t>
  </si>
  <si>
    <t>CLCI</t>
  </si>
  <si>
    <t>CHINKAI EATERY</t>
  </si>
  <si>
    <t>VILLAPANIA</t>
  </si>
  <si>
    <t>HYNNA</t>
  </si>
  <si>
    <t>TIMBOL</t>
  </si>
  <si>
    <t>SECRETARY</t>
  </si>
  <si>
    <t>Inside IQOR Philippines Inc Bldg 1 Berthaphil III Inc Jose Abad Santos Avenue Clark Freeport Zone Philippines</t>
  </si>
  <si>
    <t>chinkhaieatery@gmail.com</t>
  </si>
  <si>
    <t>2016-494</t>
  </si>
  <si>
    <t>chinkhai2017</t>
  </si>
  <si>
    <t>CHITAI INDUSTRY PHILIPPINES INC</t>
  </si>
  <si>
    <t>MIRANDA</t>
  </si>
  <si>
    <t>ALMERA KAY</t>
  </si>
  <si>
    <t>UBALDO</t>
  </si>
  <si>
    <t>GIL PUYAT AVENUE INDUSTRIAL ESTATE 1	 CLARK FREEPORT ZONE PAMPANGA</t>
  </si>
  <si>
    <t>hr_chitai@everest-ind.com.tw</t>
  </si>
  <si>
    <t>2016-302</t>
  </si>
  <si>
    <t>Chitai2019</t>
  </si>
  <si>
    <t>/uploads/file-1714094753381.jpg</t>
  </si>
  <si>
    <t>CHRISTAL CREPES CORNER</t>
  </si>
  <si>
    <t>roy</t>
  </si>
  <si>
    <t>maria christalyn</t>
  </si>
  <si>
    <t>malang</t>
  </si>
  <si>
    <t>sole owner</t>
  </si>
  <si>
    <t>Pre Departure Area	 CRKPTB	 Clark Freeport Zone	 Philippines</t>
  </si>
  <si>
    <t>roy_christal@yahoo.com</t>
  </si>
  <si>
    <t>2016-239</t>
  </si>
  <si>
    <t>CHRISTIAN VENTURES BOOKAZINE CORP</t>
  </si>
  <si>
    <t>2016-299</t>
  </si>
  <si>
    <t>Convenience Store</t>
  </si>
  <si>
    <t>/uploads/file-1495604208123.png</t>
  </si>
  <si>
    <t>CLARK AIRPORT SUPPORT SERVICES CORPORATION</t>
  </si>
  <si>
    <t>Dumaguit</t>
  </si>
  <si>
    <t>Rosario</t>
  </si>
  <si>
    <t>Silva</t>
  </si>
  <si>
    <t>HR Manager</t>
  </si>
  <si>
    <t>Bldg 7585 CASS Cargo Center Civil Aviation Complex Clark International Airport Clark Pampanga</t>
  </si>
  <si>
    <t>hrt.crk@tass.com.ph</t>
  </si>
  <si>
    <t>045 599 6688</t>
  </si>
  <si>
    <t>2014-385</t>
  </si>
  <si>
    <t>Ground Handling</t>
  </si>
  <si>
    <t>/uploads/file-1490944833302.jpg</t>
  </si>
  <si>
    <t>CLARK ELECTRIC DISTRIBUTION CORPORATION</t>
  </si>
  <si>
    <t>REMOLONA</t>
  </si>
  <si>
    <t>MARIE ANNE</t>
  </si>
  <si>
    <t>LEE</t>
  </si>
  <si>
    <t>HR SUPERVISOR</t>
  </si>
  <si>
    <t>Bldg N2830 Bayanihan St Clark Freeport Zone Pamapanga</t>
  </si>
  <si>
    <t>mlremolona@clarkelectric.ph</t>
  </si>
  <si>
    <t>045-599-7091</t>
  </si>
  <si>
    <t>2016-198</t>
  </si>
  <si>
    <t>/uploads/file-1490917965648.jpg</t>
  </si>
  <si>
    <t>CLARK HAUZ HOLDINGS CORPORATION</t>
  </si>
  <si>
    <t>Tamayo</t>
  </si>
  <si>
    <t>April Ann</t>
  </si>
  <si>
    <t>Teodoro</t>
  </si>
  <si>
    <t>Clarkhauz Building Bayanihan Park M. A Roxas	 Balibago	 Angeles City</t>
  </si>
  <si>
    <t>pheylagu_15@yahoo.com</t>
  </si>
  <si>
    <t>0942-9892967</t>
  </si>
  <si>
    <t>2006-046</t>
  </si>
  <si>
    <t>CLARKHAUZ</t>
  </si>
  <si>
    <t>CLARK INTERNATIONAL RECREATION HOLDINGS CORPORATION</t>
  </si>
  <si>
    <t>Alexander</t>
  </si>
  <si>
    <t>Leonor</t>
  </si>
  <si>
    <t>Resort Financial Controller</t>
  </si>
  <si>
    <t>1F Residential 3 Bldg Fontana Leisure Parks CMRecto Highway Clark Freeport Zone Pampanga</t>
  </si>
  <si>
    <t>alex.r@fontana.com.ph</t>
  </si>
  <si>
    <t>2014-415</t>
  </si>
  <si>
    <t>CLARK INVESTORS AND LOCATORS ASSOCIATION CILA INC</t>
  </si>
  <si>
    <t>Robin</t>
  </si>
  <si>
    <t>Calma</t>
  </si>
  <si>
    <t>Accounting Officer</t>
  </si>
  <si>
    <t>Bldg 2511B Samat St Phil Cyber Technopark Complex Clark Freeport Zone</t>
  </si>
  <si>
    <t>clarkinvestors@gmail.com</t>
  </si>
  <si>
    <t>2016-618</t>
  </si>
  <si>
    <t>Nonprofit Organization</t>
  </si>
  <si>
    <t>CLARK LIBERTY WAREHOUSE CLUB INC</t>
  </si>
  <si>
    <t>Pangilinan</t>
  </si>
  <si>
    <t>Aida</t>
  </si>
  <si>
    <t>Paras</t>
  </si>
  <si>
    <t>Accounting  HR Officer</t>
  </si>
  <si>
    <t>Bldg 5274 Claro M Recto Hiway	 Clark Freeport Zone Pampanga</t>
  </si>
  <si>
    <t>aida031772@yahoo.com.ph</t>
  </si>
  <si>
    <t>045-4993669  09778215109</t>
  </si>
  <si>
    <t>2016-191</t>
  </si>
  <si>
    <t>clarklibertydf</t>
  </si>
  <si>
    <t>Duty Free Shop</t>
  </si>
  <si>
    <t>CLARK METAL PRECISION TECHNOLOGY INC</t>
  </si>
  <si>
    <t>Tanglao</t>
  </si>
  <si>
    <t>Marvi</t>
  </si>
  <si>
    <t>Masbang</t>
  </si>
  <si>
    <t>Unit 8G Philexcel Business Park MA Roxas Highway Clark Freeport Zone Pampanga</t>
  </si>
  <si>
    <t>info@clarkmetalprecision.com</t>
  </si>
  <si>
    <t>045 499 3090</t>
  </si>
  <si>
    <t>2015-161</t>
  </si>
  <si>
    <t>arnelronald2017</t>
  </si>
  <si>
    <t>CLARK NATURE PARK INC</t>
  </si>
  <si>
    <t>PRANCES CARYL</t>
  </si>
  <si>
    <t>MANALILI</t>
  </si>
  <si>
    <t>Picnic Grounds Gil Puyat Avenue Clark Freeport Zone Pampanga</t>
  </si>
  <si>
    <t>prancesdavid17@gmail.com</t>
  </si>
  <si>
    <t>624-0232</t>
  </si>
  <si>
    <t>2015-304</t>
  </si>
  <si>
    <t>Special Interest</t>
  </si>
  <si>
    <t>CLARK PIPELINE AND DEPOT CO INC</t>
  </si>
  <si>
    <t>Velasquez</t>
  </si>
  <si>
    <t>Maria Lea</t>
  </si>
  <si>
    <t>Gonzales</t>
  </si>
  <si>
    <t>VP for Admin Support and Business Operations</t>
  </si>
  <si>
    <t>Building N1798	 POL Tank Farm	 Chico Street	 Clark Freeport Zone</t>
  </si>
  <si>
    <t>lea.velasquez@jetfuel.ph</t>
  </si>
  <si>
    <t>0917-8702061</t>
  </si>
  <si>
    <t>2016-592</t>
  </si>
  <si>
    <t>CPDC0987*</t>
  </si>
  <si>
    <t>Petroleum</t>
  </si>
  <si>
    <t>CLARK PREMIERE INDUSTRIAL PARK, INC.</t>
  </si>
  <si>
    <t>Mclaughlan</t>
  </si>
  <si>
    <t>Ginalyn</t>
  </si>
  <si>
    <t>Borillo</t>
  </si>
  <si>
    <t>Secretary</t>
  </si>
  <si>
    <t>Unit 32-G Philexcel Business Park M.A Roxas Highway Clark Economic Freeport  Zone</t>
  </si>
  <si>
    <t>cpip_gmb@yahoo.com</t>
  </si>
  <si>
    <t>2016-288</t>
  </si>
  <si>
    <t>cpip1997</t>
  </si>
  <si>
    <t>/uploads/file-1524713625022.png</t>
  </si>
  <si>
    <t>CLARK RIDING STABLES INC</t>
  </si>
  <si>
    <t>Villavicencio</t>
  </si>
  <si>
    <t>Rina</t>
  </si>
  <si>
    <t>Jacinto</t>
  </si>
  <si>
    <t>Operations</t>
  </si>
  <si>
    <t>Bldg 43504351 Panday Pira corner Gil Puyat Avenue Clark Freeport Zone Philippines</t>
  </si>
  <si>
    <t>rjvlao908@gmail.com</t>
  </si>
  <si>
    <t>2016-544</t>
  </si>
  <si>
    <t>CLARK TRADING CORPORATION (PARKSON DUTY FREE)</t>
  </si>
  <si>
    <t>Balenton</t>
  </si>
  <si>
    <t>Ferdinand</t>
  </si>
  <si>
    <t>Simeon</t>
  </si>
  <si>
    <t>parkson.dutyfree@gmail.com</t>
  </si>
  <si>
    <t>(045) 499-2709</t>
  </si>
  <si>
    <t>2016-454</t>
  </si>
  <si>
    <t>/uploads/file-1491298592338.jpg</t>
  </si>
  <si>
    <t>CLARK WATER CORPORATION A Manila Water Philippine Ventures Company</t>
  </si>
  <si>
    <t>Magtoto</t>
  </si>
  <si>
    <t>Renalyn</t>
  </si>
  <si>
    <t>Alfonso</t>
  </si>
  <si>
    <t>DEPOT 1901 BICENTENNIAL HILL CFZ</t>
  </si>
  <si>
    <t>renalyn.magtoto@clarkwater.com</t>
  </si>
  <si>
    <t>045-5995757</t>
  </si>
  <si>
    <t>2016-059</t>
  </si>
  <si>
    <t>Water</t>
  </si>
  <si>
    <t>CLARKFIELD AVIATION SERVICES INC</t>
  </si>
  <si>
    <t>7102  7103 Civil Aviation Complex Clark Freeport Zone Clarkfield Pampanga</t>
  </si>
  <si>
    <t>2017-024</t>
  </si>
  <si>
    <t>Gas</t>
  </si>
  <si>
    <t>CLAROVISTA TRADING</t>
  </si>
  <si>
    <t>Punsalan</t>
  </si>
  <si>
    <t>Dyann</t>
  </si>
  <si>
    <t>Store in Charge</t>
  </si>
  <si>
    <t>Corporate office Civil Aviation Clark Freeport zone Pampanga</t>
  </si>
  <si>
    <t>dyanpunsalan@gmail.com</t>
  </si>
  <si>
    <t>2016-420</t>
  </si>
  <si>
    <t>CLASIQUE CAR RESTORATION INC</t>
  </si>
  <si>
    <t>Sigua</t>
  </si>
  <si>
    <t>Benigno</t>
  </si>
  <si>
    <t>Magcalas</t>
  </si>
  <si>
    <t>Consultant</t>
  </si>
  <si>
    <t>Bldg 4 Berthaphil V Industrial Park Gil Puyat Avenue Clark Freeport Zone Philippines</t>
  </si>
  <si>
    <t>bmsigua@gmail.com</t>
  </si>
  <si>
    <t>0932-559-009</t>
  </si>
  <si>
    <t>2014-399</t>
  </si>
  <si>
    <t>CLASSIC SPEED CAR RESTORATION, INC. (CSCRI)</t>
  </si>
  <si>
    <t>WUTHRICH</t>
  </si>
  <si>
    <t>WAYNE PATRICK EMMANUEL</t>
  </si>
  <si>
    <t>DE JUAN</t>
  </si>
  <si>
    <t>BLDG. 9 PHILEXCEL BUSINESS PARK	 M.A. ROXAS HI-WAY	 CLARK FREEPORT ZONE</t>
  </si>
  <si>
    <t>wayne@classicspeedinc.com</t>
  </si>
  <si>
    <t>499-1343</t>
  </si>
  <si>
    <t>2016-165</t>
  </si>
  <si>
    <t>classicspeedcar</t>
  </si>
  <si>
    <t>/uploads/file-1491791655945.jpg</t>
  </si>
  <si>
    <t>COACH NETHERLANDS   PHILIPPINES BRANCH</t>
  </si>
  <si>
    <t>Meneses</t>
  </si>
  <si>
    <t>Maria Rica Elaine</t>
  </si>
  <si>
    <t>Pusung</t>
  </si>
  <si>
    <t>Office Administrator</t>
  </si>
  <si>
    <t>Office Center 05G1 Berthaphil 3 Clark Freeport Zone Pampanga</t>
  </si>
  <si>
    <t>rpusung@tapestry.com</t>
  </si>
  <si>
    <t>2016-358</t>
  </si>
  <si>
    <t>Business  Management Cosultancy</t>
  </si>
  <si>
    <t>COAM PHIL. INC.</t>
  </si>
  <si>
    <t>Santiago</t>
  </si>
  <si>
    <t>Lou Abegail</t>
  </si>
  <si>
    <t>Baltazar</t>
  </si>
  <si>
    <t>Bldg. 31 Philexcel Business Park	 M.A. Roxas Highway Clarkfield Pampanga.</t>
  </si>
  <si>
    <t>lousantiago8@yahoo.com.ph</t>
  </si>
  <si>
    <t>2015-103</t>
  </si>
  <si>
    <t>/uploads/file-1498183648753.jpg</t>
  </si>
  <si>
    <t>COEZCO TRAVEL AND TOURS</t>
  </si>
  <si>
    <t>Lee</t>
  </si>
  <si>
    <t>Gabriel Lui</t>
  </si>
  <si>
    <t>A.</t>
  </si>
  <si>
    <t>Owner</t>
  </si>
  <si>
    <t>cocophil63@gmail.com</t>
  </si>
  <si>
    <t>499-1000 local 4101</t>
  </si>
  <si>
    <t>2016-201</t>
  </si>
  <si>
    <t>COMCLARK NETWORK AND TECHNOLOGY CORP</t>
  </si>
  <si>
    <t>Ting</t>
  </si>
  <si>
    <t>Manilyn</t>
  </si>
  <si>
    <t>Ritumban</t>
  </si>
  <si>
    <t>HR Generalist</t>
  </si>
  <si>
    <t>Manuel A Roxas Highway Clark Freeport Zone Philippines</t>
  </si>
  <si>
    <t>manilyn.ting@comclark.com.ph</t>
  </si>
  <si>
    <t>2016-523</t>
  </si>
  <si>
    <t>Telecom</t>
  </si>
  <si>
    <t>CONECTA BUSINESS SOLUTIONS INC</t>
  </si>
  <si>
    <t>Medina</t>
  </si>
  <si>
    <t>Shirley</t>
  </si>
  <si>
    <t>Caparas</t>
  </si>
  <si>
    <t>office suite c2 Berthaphil clak center Jose abad santos avenue clark freeport zone pampanga</t>
  </si>
  <si>
    <t>shirleymedinacpa@gmail.com</t>
  </si>
  <si>
    <t>2016-196</t>
  </si>
  <si>
    <t>shayne74</t>
  </si>
  <si>
    <t>/uploads/file-1491555661219.png</t>
  </si>
  <si>
    <t>CORONATION PREMIUM MFG INC</t>
  </si>
  <si>
    <t>Mappala</t>
  </si>
  <si>
    <t>Marianne Kaith</t>
  </si>
  <si>
    <t>Santilla</t>
  </si>
  <si>
    <t>Hr  Supervisor</t>
  </si>
  <si>
    <t>Creek Side Road Compound 2 Clark Free port Zone Pampanga</t>
  </si>
  <si>
    <t>hr4.cpmi@stella.com.hk</t>
  </si>
  <si>
    <t>2015-155</t>
  </si>
  <si>
    <t>/uploads/file-1491274580602.PNG</t>
  </si>
  <si>
    <t>CPR PALM RESORT CORPORATION</t>
  </si>
  <si>
    <t>GICA</t>
  </si>
  <si>
    <t>ASHLEE</t>
  </si>
  <si>
    <t>DUE</t>
  </si>
  <si>
    <t>CORPORATE SECRETARY</t>
  </si>
  <si>
    <t>Lot 1 E Aguinaldo St and Abacan St Clark Freeport Zone Philippines</t>
  </si>
  <si>
    <t>cprpalmresortcorp@gmail.com</t>
  </si>
  <si>
    <t>499-0944</t>
  </si>
  <si>
    <t>2013-602</t>
  </si>
  <si>
    <t>password</t>
  </si>
  <si>
    <t>/uploads/file-1502328031897.jpg</t>
  </si>
  <si>
    <t>CROWN EQUIPMENT SINGAPORE PTE LTD PHILIPPINE BRANCH</t>
  </si>
  <si>
    <t>Tolentino</t>
  </si>
  <si>
    <t>Vanessa Mae</t>
  </si>
  <si>
    <t>Valera</t>
  </si>
  <si>
    <t>HR Executive</t>
  </si>
  <si>
    <t>Unit 10 Berthaphil Industrial Park 1 Jose Abad Santos Avenue Clark Freeport Zone</t>
  </si>
  <si>
    <t>vanessamae.tolentino@crown.com</t>
  </si>
  <si>
    <t>2016-416</t>
  </si>
  <si>
    <t>Manufacturing</t>
  </si>
  <si>
    <t>Sales and Rental of MHE</t>
  </si>
  <si>
    <t>/uploads/file-1506072092506.png</t>
  </si>
  <si>
    <t>CSMFG, INC.</t>
  </si>
  <si>
    <t>Selumin</t>
  </si>
  <si>
    <t>Flordeliza</t>
  </si>
  <si>
    <t>Socobos</t>
  </si>
  <si>
    <t>cindyisrock@gmail.com</t>
  </si>
  <si>
    <t>2015-172</t>
  </si>
  <si>
    <t>CTOC SERVICES INC</t>
  </si>
  <si>
    <t>DIONISIO JR</t>
  </si>
  <si>
    <t>GEORGE</t>
  </si>
  <si>
    <t>MANALOTO</t>
  </si>
  <si>
    <t>ADMIN</t>
  </si>
  <si>
    <t>UNIT 2F2A PHILEXCEL BUSINESS CENTER 10 PHILEXCEL BUSINESS PARK MA ROXAS HIGHWAY CFZ</t>
  </si>
  <si>
    <t>giodionisio.escpro@gmail.com</t>
  </si>
  <si>
    <t>2016-342</t>
  </si>
  <si>
    <t>/uploads/file-1497324778686.jpg</t>
  </si>
  <si>
    <t>CXC PHILIPPINES LIMITED INC.</t>
  </si>
  <si>
    <t>Chu</t>
  </si>
  <si>
    <t>Gwen Charmaine</t>
  </si>
  <si>
    <t>Tapnio</t>
  </si>
  <si>
    <t>Recruitment Officer</t>
  </si>
  <si>
    <t>gwen.chu@cxcglobal.asia</t>
  </si>
  <si>
    <t>+63 45 499 3281  loc. 202</t>
  </si>
  <si>
    <t>2016-212</t>
  </si>
  <si>
    <t>CXCphils2017</t>
  </si>
  <si>
    <t>Contractor Management</t>
  </si>
  <si>
    <t>D &amp; Y LAUNDRY</t>
  </si>
  <si>
    <t>2016-605</t>
  </si>
  <si>
    <t>JJME2018</t>
  </si>
  <si>
    <t>DARCY'S CUISINE</t>
  </si>
  <si>
    <t>2016-234</t>
  </si>
  <si>
    <t>DBC TECHNOLOGIES CORP</t>
  </si>
  <si>
    <t>Edward Carl</t>
  </si>
  <si>
    <t>UNIT 50B PHILEXCEL BUSINESS PARK MA ROXAS HIGHWAY CLARK FREEPORT ZONE PHILIPPINES 2023</t>
  </si>
  <si>
    <t>edwardcarlocampo@dbctechnologiescorp.com</t>
  </si>
  <si>
    <t>2016-624</t>
  </si>
  <si>
    <t>OCAMPOHR2017</t>
  </si>
  <si>
    <t>DC RAANAN CORP</t>
  </si>
  <si>
    <t>TAYAG</t>
  </si>
  <si>
    <t>RENATO</t>
  </si>
  <si>
    <t>LOT  1 ALONG MA ROXAS HIWAAY CLARKFREEPORT ZONE</t>
  </si>
  <si>
    <t>atoytayag@yahoo.com</t>
  </si>
  <si>
    <t>2014-377</t>
  </si>
  <si>
    <t>DELTA ROV INC</t>
  </si>
  <si>
    <t>Demers</t>
  </si>
  <si>
    <t>Etienne</t>
  </si>
  <si>
    <t>UNIT 17 NO PHILEXCEL BUSINESS PARK MANUEL A ROXAS HIGHWAY CLARK FREEPORT ZONE 2023 PAMPANGA PHILIPPINES</t>
  </si>
  <si>
    <t>etienne@deltarov.com</t>
  </si>
  <si>
    <t>2017-075</t>
  </si>
  <si>
    <t>DELTA_ROV</t>
  </si>
  <si>
    <t>Engineering</t>
  </si>
  <si>
    <t>/uploads/file-1493193208354.jpg</t>
  </si>
  <si>
    <t>DERASGLOBAL CO</t>
  </si>
  <si>
    <t>Quioc</t>
  </si>
  <si>
    <t>Perpetual</t>
  </si>
  <si>
    <t>Acibes</t>
  </si>
  <si>
    <t>Administrative Director</t>
  </si>
  <si>
    <t>Unit 1F  2  4B Business Center 15 Philexcel Business Park Clark Freeport Zone Pampanga  Philippines</t>
  </si>
  <si>
    <t>pher@derasglobal.com</t>
  </si>
  <si>
    <t>2016-090</t>
  </si>
  <si>
    <t>Data Processing</t>
  </si>
  <si>
    <t>/uploads/file-1537429411324.png</t>
  </si>
  <si>
    <t>DEVELOPMENT BANK OF THE PHILIPPINES</t>
  </si>
  <si>
    <t>Bondoc</t>
  </si>
  <si>
    <t>Donna</t>
  </si>
  <si>
    <t>Branch Head</t>
  </si>
  <si>
    <t>Pavilion 1 Clark Center M A Roxas Highway Clark Freeport Zone Philippines</t>
  </si>
  <si>
    <t>clark@dbp.ph</t>
  </si>
  <si>
    <t>499-1649</t>
  </si>
  <si>
    <t>2016-541</t>
  </si>
  <si>
    <t>DF GANGNAM CORP</t>
  </si>
  <si>
    <t>Azucena</t>
  </si>
  <si>
    <t>Gilbert</t>
  </si>
  <si>
    <t>Administration Officer</t>
  </si>
  <si>
    <t>Lilly Hill Commercial Complex	 C M Recto Highway	 Clark Freeport Zone</t>
  </si>
  <si>
    <t>dfgangnamcorp@gmail.com</t>
  </si>
  <si>
    <t>2016-437</t>
  </si>
  <si>
    <t>/uploads/file-1494385307949.png</t>
  </si>
  <si>
    <t>DF GANGNAM KOREAN RESTAURANT</t>
  </si>
  <si>
    <t>Mariella</t>
  </si>
  <si>
    <t>Nunag</t>
  </si>
  <si>
    <t>Waitress</t>
  </si>
  <si>
    <t>Stall No 16 Lilly Hill PLaza C M Recto Highway Clark Freeport Zone</t>
  </si>
  <si>
    <t>2015-262</t>
  </si>
  <si>
    <t>DHAY-DHAY'S CANTEEN</t>
  </si>
  <si>
    <t>2017-031</t>
  </si>
  <si>
    <t>DHL EXPRESS PHILIPPINES CORP</t>
  </si>
  <si>
    <t>Villaruel</t>
  </si>
  <si>
    <t>Edelyn</t>
  </si>
  <si>
    <t>Gordoncillo</t>
  </si>
  <si>
    <t>Administrative Executive</t>
  </si>
  <si>
    <t>Bldg 01 Lot 1 Berthaphil VIII Business Park Manuel Roxas Highway Clark Freeport Zone</t>
  </si>
  <si>
    <t>edelyn.villaruel@dhl.com</t>
  </si>
  <si>
    <t>811-7123 -0917-5787684</t>
  </si>
  <si>
    <t>2014-258</t>
  </si>
  <si>
    <t>Manila12345**</t>
  </si>
  <si>
    <t>DHL GLOBAL FORWARDING PHILIPPINES INC</t>
  </si>
  <si>
    <t>Batac</t>
  </si>
  <si>
    <t>Jocelyn Ronah</t>
  </si>
  <si>
    <t>Tapel</t>
  </si>
  <si>
    <t>Unit 22 AC Philexcel Business Park MA Roxas Highway CSEZ Clarkfield Pampanga 2009</t>
  </si>
  <si>
    <t>jocelynronah.batac@dhl.com</t>
  </si>
  <si>
    <t>2017-070</t>
  </si>
  <si>
    <t>DHLGlobal.123</t>
  </si>
  <si>
    <t>DIANA BAGSIC ANGELES DBA RICE TOPPERS TAPSILOGAN AND SPECIAL LUGAW</t>
  </si>
  <si>
    <t>Angeles</t>
  </si>
  <si>
    <t>Diana</t>
  </si>
  <si>
    <t>Bagsic</t>
  </si>
  <si>
    <t>Berthaphil 2 Berthaphil Compound Jose Abad Santos Avenue Clark Freeport Zone</t>
  </si>
  <si>
    <t>dianeangeles00@gmail.com</t>
  </si>
  <si>
    <t>2017-028</t>
  </si>
  <si>
    <t>DICKERSON  QUINN PHILIPPINES INC DOING BUSINESS UNDER THE NAME  STYLE OF DQ PHILIPPINES</t>
  </si>
  <si>
    <t>BERNARDO</t>
  </si>
  <si>
    <t>HAZEL MARIE</t>
  </si>
  <si>
    <t>SANTOS</t>
  </si>
  <si>
    <t>OFFICE MANAGER</t>
  </si>
  <si>
    <t>BUILDING 3 BERTHAPHIL I COMPOUND JOSE ABAD SANTOS AVENUE CLARK FREEPORT ZONE PAMPANGA</t>
  </si>
  <si>
    <t>h.bernardo@dandq-international.com</t>
  </si>
  <si>
    <t>045-499-0160</t>
  </si>
  <si>
    <t>2016-176</t>
  </si>
  <si>
    <t>Dickerson2014</t>
  </si>
  <si>
    <t>/uploads/file-1491898383258.jpg</t>
  </si>
  <si>
    <t>GAINERSAND CORPORATION</t>
  </si>
  <si>
    <t>ERNI</t>
  </si>
  <si>
    <t>EDWIN</t>
  </si>
  <si>
    <t>CHAVEZ</t>
  </si>
  <si>
    <t>Managing Director</t>
  </si>
  <si>
    <t>bounded by Prince J Balagtas Avenue Sacobia River Bank Clark Special Economic Zone Philippines Clark Freeport Zone Philippines</t>
  </si>
  <si>
    <t>ecerni7@gmail.com</t>
  </si>
  <si>
    <t>0917-526-7800</t>
  </si>
  <si>
    <t>2016-131</t>
  </si>
  <si>
    <t>DNATA CLARK INC</t>
  </si>
  <si>
    <t>Neis</t>
  </si>
  <si>
    <t>Ma Losaly</t>
  </si>
  <si>
    <t>Lim</t>
  </si>
  <si>
    <t>Bldg 7588 Office Area Clark Civil Aviation Complex Clark Freeport Zone Philippines</t>
  </si>
  <si>
    <t>losalyneis@onednata.com</t>
  </si>
  <si>
    <t>02-8796112</t>
  </si>
  <si>
    <t>2016-169</t>
  </si>
  <si>
    <t>DON BRACAT ENTERPRISES</t>
  </si>
  <si>
    <t>Patricia</t>
  </si>
  <si>
    <t>Sunga</t>
  </si>
  <si>
    <t>Representative</t>
  </si>
  <si>
    <t>ArrivalMeetersGreeters Area of Clark International Airport CRK Passenger Terminal Building PTB Civil Aviation Complex Clark Freeport Zone Clark Freeport Zone Philippines</t>
  </si>
  <si>
    <t>patty_1012@yahoo.com</t>
  </si>
  <si>
    <t>2016-284</t>
  </si>
  <si>
    <t>hernandezvard</t>
  </si>
  <si>
    <t>DONGGWANG CLARK CORPORATION 1 DOING BUSINESS UNDER THE NAME AND STYLE OF SUN VALLEY COUNTRY CLUB</t>
  </si>
  <si>
    <t>ESTEBAN</t>
  </si>
  <si>
    <t>NATHANIEL</t>
  </si>
  <si>
    <t>ZARRIS</t>
  </si>
  <si>
    <t>T304 Jose Abad Santos Avenue Clark Freeport Zone Pampanga</t>
  </si>
  <si>
    <t>nathaniel.esteban.dcc@gmail.com</t>
  </si>
  <si>
    <t>2017-017</t>
  </si>
  <si>
    <t>DONGGWANG DEVELOPMENT CORPORATION III</t>
  </si>
  <si>
    <t>Guiao</t>
  </si>
  <si>
    <t>Lady Cristine</t>
  </si>
  <si>
    <t>Gaddi</t>
  </si>
  <si>
    <t>2nd floor B Clark Ode County Building C M Recto Highway Clark Freeport Zone Philippines</t>
  </si>
  <si>
    <t>ladycristine_guiao@yahoo.com</t>
  </si>
  <si>
    <t>499-5147</t>
  </si>
  <si>
    <t>2014-308</t>
  </si>
  <si>
    <t>DORNIER TECHNOLOGY INC</t>
  </si>
  <si>
    <t>Insigne</t>
  </si>
  <si>
    <t>Reizl May</t>
  </si>
  <si>
    <t>Trajeco</t>
  </si>
  <si>
    <t>Sr HR Officer</t>
  </si>
  <si>
    <t>Hangar 7224	 Clark International Airport	 Clark Freeport Zone	 Clarkfield	 Pampanga 2009</t>
  </si>
  <si>
    <t>rinsigne@dorniertechnology.com</t>
  </si>
  <si>
    <t>0965-249-2812</t>
  </si>
  <si>
    <t>2016-014</t>
  </si>
  <si>
    <t>english101</t>
  </si>
  <si>
    <t>/uploads/file-1490919991327.jpg</t>
  </si>
  <si>
    <t>DR KLIPPE PHILIPPINES CORP</t>
  </si>
  <si>
    <t>De Arce</t>
  </si>
  <si>
    <t>Marie Cris</t>
  </si>
  <si>
    <t>Amurao</t>
  </si>
  <si>
    <t>Exec CoordinatorAdminHR</t>
  </si>
  <si>
    <t>Bldg 11C1 Berthaphil I Industrial Park Jose Abad Santos Avenue Clark Freeport Zone Philippines</t>
  </si>
  <si>
    <t>m.dearce@dr-klippe.de</t>
  </si>
  <si>
    <t>045 499 0274</t>
  </si>
  <si>
    <t>2016-082</t>
  </si>
  <si>
    <t>4321kph</t>
  </si>
  <si>
    <t>DREDSLAND GARDEN FUNCTION HALL AND RESTAURANT</t>
  </si>
  <si>
    <t>SARMIENTO</t>
  </si>
  <si>
    <t>mggsantos13@yahoo.com</t>
  </si>
  <si>
    <t>2016-601</t>
  </si>
  <si>
    <t>Mildreds17</t>
  </si>
  <si>
    <t>DSV AIR  SEA INC</t>
  </si>
  <si>
    <t>Edralin</t>
  </si>
  <si>
    <t>Amanda</t>
  </si>
  <si>
    <t>Ruiz</t>
  </si>
  <si>
    <t>BLDG5 BERTHAPHIL II SOUTH BAYANIHAN ST CLARK FIELD PAMPANGA</t>
  </si>
  <si>
    <t>amanda.edralin@ph.dsv.com</t>
  </si>
  <si>
    <t>045-6498561 045-6498560</t>
  </si>
  <si>
    <t>2016-190</t>
  </si>
  <si>
    <t>Freight Forwarding  Warehousing  Broke</t>
  </si>
  <si>
    <t>Dubor Backtrennmittel Und Apparatebau AG Philippines Inc</t>
  </si>
  <si>
    <t>Barbastro</t>
  </si>
  <si>
    <t>Ambrose Marie</t>
  </si>
  <si>
    <t>Urbano</t>
  </si>
  <si>
    <t>HR  Admin Manager</t>
  </si>
  <si>
    <t>Building N2904 Bayanihan Street</t>
  </si>
  <si>
    <t>ambrose@dubor.com</t>
  </si>
  <si>
    <t>0906-571-3671</t>
  </si>
  <si>
    <t>2016-548</t>
  </si>
  <si>
    <t>/uploads/file-1656467093538.jpg</t>
  </si>
  <si>
    <t>DUMPLING LINE FOOD COURT</t>
  </si>
  <si>
    <t>De Leon-Magtoto</t>
  </si>
  <si>
    <t>Rhia</t>
  </si>
  <si>
    <t>n/a</t>
  </si>
  <si>
    <t>Proprietor</t>
  </si>
  <si>
    <t>rhia@dumplingline.com</t>
  </si>
  <si>
    <t>0917-8510050</t>
  </si>
  <si>
    <t>2014-233</t>
  </si>
  <si>
    <t>EAGLE EXPRESS LINES INC</t>
  </si>
  <si>
    <t>Soriano</t>
  </si>
  <si>
    <t>Gwynn Esther</t>
  </si>
  <si>
    <t>Bernarte</t>
  </si>
  <si>
    <t>CRS</t>
  </si>
  <si>
    <t>Room 8B Business Center 1 Philexcel Business Park MA Roxas Highway Clark Freeport Zone Philippines</t>
  </si>
  <si>
    <t>pampanga-sales@eaglegroup.com.ph</t>
  </si>
  <si>
    <t>599-7460</t>
  </si>
  <si>
    <t>2015-220</t>
  </si>
  <si>
    <t>EAGLESKY TECHNOLOGY AMUSEMENT INC FORMERLY EAGLESKY TECHNOLOGY AMUSEMENT AND GAMING INC</t>
  </si>
  <si>
    <t>de Guzman</t>
  </si>
  <si>
    <t>Abegail</t>
  </si>
  <si>
    <t>D</t>
  </si>
  <si>
    <t>Recruitment Specialist</t>
  </si>
  <si>
    <t>KALAYAAN ROAD CM RECTO HIGHWAY CLARK FREEPORT ZONE PAMPANGA</t>
  </si>
  <si>
    <t>abegail@mail.eagleskytech.com</t>
  </si>
  <si>
    <t>045-499-4249</t>
  </si>
  <si>
    <t>2016-236</t>
  </si>
  <si>
    <t>eagleskytech</t>
  </si>
  <si>
    <t>EAGLESKY TECHNOLOGY AMUSEMENT INC HOTEL MIDORI CLARK</t>
  </si>
  <si>
    <t>DE GUZMAN</t>
  </si>
  <si>
    <t>ABEGAIL</t>
  </si>
  <si>
    <t>midoricareers@mail.eagleskytech.com</t>
  </si>
  <si>
    <t>045-649-8298</t>
  </si>
  <si>
    <t>2014-281</t>
  </si>
  <si>
    <t>EAST ASIA FASHION APPAREL INC</t>
  </si>
  <si>
    <t>Guinto</t>
  </si>
  <si>
    <t>Kayla</t>
  </si>
  <si>
    <t>C</t>
  </si>
  <si>
    <t>HR Staff</t>
  </si>
  <si>
    <t>Bldg 7469 Claro M Recto Highway CFZ Clarkfield Pampanga</t>
  </si>
  <si>
    <t>eahrd@conquestphils.com</t>
  </si>
  <si>
    <t>2016-218</t>
  </si>
  <si>
    <t>eastasia</t>
  </si>
  <si>
    <t>EASTWEST BANKING CORPORATION</t>
  </si>
  <si>
    <t>Guia Maria</t>
  </si>
  <si>
    <t>Remollo</t>
  </si>
  <si>
    <t>Pavillion 16 Berthaphil Clark Center Jose Abad Santos Avenue Clark Freeport Zone Clark Field Pampanga</t>
  </si>
  <si>
    <t>GRHernandez@eastwestbanker.com</t>
  </si>
  <si>
    <t>045-499-4382 - 499-4381</t>
  </si>
  <si>
    <t>2016-282</t>
  </si>
  <si>
    <t>EATWITHUS FOOD CART</t>
  </si>
  <si>
    <t>SAN JOSE</t>
  </si>
  <si>
    <t>ANTONIO</t>
  </si>
  <si>
    <t>MORENO</t>
  </si>
  <si>
    <t>Predeparture Area	Clark International Airport Pasenger Terminal Building Clark Freeport Zone	Philippines</t>
  </si>
  <si>
    <t>cftri.anton03@gmail.com</t>
  </si>
  <si>
    <t>045-4990297</t>
  </si>
  <si>
    <t>2016-389</t>
  </si>
  <si>
    <t>EWU@ciac23</t>
  </si>
  <si>
    <t>ECELL PHILIPPINES INC I FORMERLY ELCELL PHILIPPINES INC</t>
  </si>
  <si>
    <t>EGARAN</t>
  </si>
  <si>
    <t>KYLA MARIE</t>
  </si>
  <si>
    <t>GONZALES</t>
  </si>
  <si>
    <t>HR STAFF  RECRUITMENT</t>
  </si>
  <si>
    <t>Office Center 08 Unit IJ Berthaphil III  Clark Center	 Jose Abad Santos Ave  Clark Freeport Zone 2023	 Pampanga</t>
  </si>
  <si>
    <t>k.egaran@ecellglobal.com</t>
  </si>
  <si>
    <t>045 499 0055</t>
  </si>
  <si>
    <t>2016-560</t>
  </si>
  <si>
    <t>EIGHT INTEGRATED DEVELOPMENT CORPORATION</t>
  </si>
  <si>
    <t>Camiguing</t>
  </si>
  <si>
    <t>Ryan</t>
  </si>
  <si>
    <t>Quiazon</t>
  </si>
  <si>
    <t>Manuel A Roxas Highway	 corner Ninoy Aquino Avenue	 Clark Freeport Zone	 Clarkfield	 Pampanga</t>
  </si>
  <si>
    <t>ryankyngft@yahoo.com</t>
  </si>
  <si>
    <t>2016-238</t>
  </si>
  <si>
    <t>Camiguing12010</t>
  </si>
  <si>
    <t>/uploads/file-1494297919166.png</t>
  </si>
  <si>
    <t>ELITECLEAN INC</t>
  </si>
  <si>
    <t>CAPITLY</t>
  </si>
  <si>
    <t>MA RUBINA ANGELICA</t>
  </si>
  <si>
    <t>HROPERATION OFFICER</t>
  </si>
  <si>
    <t>Bldg 12B	 Berthaphil 1 Compund	 Jose Abad Santos Ave Clark Freeport Zone</t>
  </si>
  <si>
    <t>hr1@elitecleaninc.net</t>
  </si>
  <si>
    <t>0907-695-9666</t>
  </si>
  <si>
    <t>2015-047</t>
  </si>
  <si>
    <t>/uploads/file-1751932949703.jpg</t>
  </si>
  <si>
    <t>EMIRATES</t>
  </si>
  <si>
    <t>Silverio</t>
  </si>
  <si>
    <t>Edward</t>
  </si>
  <si>
    <t>Vianzon</t>
  </si>
  <si>
    <t>Airport Services Manager</t>
  </si>
  <si>
    <t>L2195 Mezzanine Level Clark International Airport Terminal 2 Clark Freeport Zone CFZ Philippines 2023</t>
  </si>
  <si>
    <t>edward.silverio@emirates.com</t>
  </si>
  <si>
    <t>2013-536</t>
  </si>
  <si>
    <t>Airlines</t>
  </si>
  <si>
    <t>/uploads/file-1511351000743.png</t>
  </si>
  <si>
    <t>CITICORE ENERGY REIT CORP</t>
  </si>
  <si>
    <t>Quintero</t>
  </si>
  <si>
    <t>Patrick Gil</t>
  </si>
  <si>
    <t>Ferrer</t>
  </si>
  <si>
    <t>Along Prince Balagtas Extension  Clark Freeport Zone Philippines</t>
  </si>
  <si>
    <t>pquintero@crec.com.ph</t>
  </si>
  <si>
    <t>2016-576</t>
  </si>
  <si>
    <t>Solar Power Generation</t>
  </si>
  <si>
    <t>Renewable Energy</t>
  </si>
  <si>
    <t>/uploads/file-1580880535953.PNG</t>
  </si>
  <si>
    <t>ENPLAS SEMICONDUCTOR PERIPHERALS PHILIPPINES, INC.</t>
  </si>
  <si>
    <t>Grace</t>
  </si>
  <si>
    <t>Sabado</t>
  </si>
  <si>
    <t>HR/Admin Manager</t>
  </si>
  <si>
    <t>Bldg. 3 Berthaphil II North Industrial Park Jose Abad Santos Avenue	 Clark Freeport Zone	 Clarkfield	 Pampanga</t>
  </si>
  <si>
    <t>g-lising@enplas.com</t>
  </si>
  <si>
    <t>2016-597</t>
  </si>
  <si>
    <t>Semi-Conductor</t>
  </si>
  <si>
    <t>EPLDT INC</t>
  </si>
  <si>
    <t>Pacifico</t>
  </si>
  <si>
    <t>Ma Esperanza</t>
  </si>
  <si>
    <t>Losanez</t>
  </si>
  <si>
    <t>Talent and Sourcing Acquisition Specialist</t>
  </si>
  <si>
    <t>5th Floor Locsin Bldg Ayala Ave corner Makati Ave Makati City</t>
  </si>
  <si>
    <t>elpacifico@epldt.com</t>
  </si>
  <si>
    <t>2015-179</t>
  </si>
  <si>
    <t>ICT Company</t>
  </si>
  <si>
    <t>ERRIKO CONSTRUCTION CORPORATION</t>
  </si>
  <si>
    <t>Anthonette</t>
  </si>
  <si>
    <t>Office staff</t>
  </si>
  <si>
    <t>RM 5B PHILEXCEL BUSINESS CENTER 1</t>
  </si>
  <si>
    <t>anthonette_pamintuan@yahoo.com</t>
  </si>
  <si>
    <t>2016-290</t>
  </si>
  <si>
    <t>erriko1234</t>
  </si>
  <si>
    <t>EVEREST CASTING MANUFACTURING PHILIPPINES INC</t>
  </si>
  <si>
    <t>NAVARRO</t>
  </si>
  <si>
    <t>JENNIFER</t>
  </si>
  <si>
    <t>LODRONIO</t>
  </si>
  <si>
    <t>ACCTGFINANCE OFFICER</t>
  </si>
  <si>
    <t>BLDG 7232 GAGABAN ROAD CMRECTO HIWAY CFZ	 CLARKFIELD PAMPANGA</t>
  </si>
  <si>
    <t>jl_july01@yahoo.com</t>
  </si>
  <si>
    <t>2014-137</t>
  </si>
  <si>
    <t>ecmpi</t>
  </si>
  <si>
    <t>EVERLEAD COMPANY</t>
  </si>
  <si>
    <t>Ethel Christa</t>
  </si>
  <si>
    <t>Stotsenberg Medical Center Bldg Ninoy Aquino Ave  Clark Freeport zone</t>
  </si>
  <si>
    <t>Everleadco@yahoo.com</t>
  </si>
  <si>
    <t>2016-409</t>
  </si>
  <si>
    <t>odecounty1016</t>
  </si>
  <si>
    <t>EVIESSE INTERNATIONAL GROUP INC</t>
  </si>
  <si>
    <t>NOVICIO</t>
  </si>
  <si>
    <t>MICHAEL</t>
  </si>
  <si>
    <t>REPRESENTATIVE FIELD</t>
  </si>
  <si>
    <t>PORTION OF BLDG 7356 P CRUZ ST	 CLARK FREEPORT ZONE	 PAMPANGA</t>
  </si>
  <si>
    <t>michaeleviesse@gmail.com</t>
  </si>
  <si>
    <t>2015-397</t>
  </si>
  <si>
    <t>eviesse</t>
  </si>
  <si>
    <t>/uploads/file-1498877197686.png</t>
  </si>
  <si>
    <t>EXCELLENT TEXSCREENERS CLARK INC</t>
  </si>
  <si>
    <t>Nepomuceno</t>
  </si>
  <si>
    <t>Anna Bettina</t>
  </si>
  <si>
    <t>Salta</t>
  </si>
  <si>
    <t>HR  Manager</t>
  </si>
  <si>
    <t xml:space="preserve">Bldg 06 PhilExcel Business Park MA Roxas Highway Clark Freeport Zone Philippines </t>
  </si>
  <si>
    <t>hr.etci2022@gmail.com</t>
  </si>
  <si>
    <t>2015-049</t>
  </si>
  <si>
    <t>ETCI_2024</t>
  </si>
  <si>
    <t>EYESECURE INVESTIGATION SECURITY AGENCY INC</t>
  </si>
  <si>
    <t>LUISITO</t>
  </si>
  <si>
    <t>Operation Manager</t>
  </si>
  <si>
    <t>Room 8A AND B Philexcel Business Arcade 1  Philexcel Business Park MA  Roxas Highway Clark Freeport Zone Philippines</t>
  </si>
  <si>
    <t>eyesecure12@gmail.com</t>
  </si>
  <si>
    <t>499-3231</t>
  </si>
  <si>
    <t>2016-192</t>
  </si>
  <si>
    <t>F.M.C.G. PHILS. INT'L. TRADING CORPORATION</t>
  </si>
  <si>
    <t>2016-413</t>
  </si>
  <si>
    <t>F2 GLOBAL LOGISTICS INC</t>
  </si>
  <si>
    <t>SALAS</t>
  </si>
  <si>
    <t>JONATHAN</t>
  </si>
  <si>
    <t>DELA CRUZ</t>
  </si>
  <si>
    <t>Finance Manager Subic</t>
  </si>
  <si>
    <t>Unit 1F9B Philexcel Business Center 6 Philexcel Business Park M Roxas Highway Clark Freeport Zone Philippines</t>
  </si>
  <si>
    <t>jonathan.salas@f2global.com</t>
  </si>
  <si>
    <t>047 250 2010</t>
  </si>
  <si>
    <t>2016-104</t>
  </si>
  <si>
    <t>/uploads/file-1551751179439.png</t>
  </si>
  <si>
    <t>FAIRMONT FURNITURE DESIGNS</t>
  </si>
  <si>
    <t>Agarrado</t>
  </si>
  <si>
    <t>Arvin</t>
  </si>
  <si>
    <t>Gaudia</t>
  </si>
  <si>
    <t>Pavilion 11B Clark Center Jose Abad Santos Avenue Clark Freeport Zone Pampanga</t>
  </si>
  <si>
    <t>aagarrado@yahoo.com</t>
  </si>
  <si>
    <t>2016-488</t>
  </si>
  <si>
    <t>antelope03</t>
  </si>
  <si>
    <t>FAITH IN GOD RPM PROFESSIONAL  TECHNICAL SERVICES CORPORATION</t>
  </si>
  <si>
    <t>Fontillas</t>
  </si>
  <si>
    <t>Shineth</t>
  </si>
  <si>
    <t>Commercial No 2  3 Donggwang Clark ODE County Bldg CM Recto Highway Clark Freeport Zone	 Pampanga</t>
  </si>
  <si>
    <t>pampanga.joborder.management@figrpmptsc.com</t>
  </si>
  <si>
    <t>2014-078</t>
  </si>
  <si>
    <t>/uploads/file-1493969271824.jpg</t>
  </si>
  <si>
    <t>FASHION RACK DESIGNER OUTLET INC</t>
  </si>
  <si>
    <t>Daguioan</t>
  </si>
  <si>
    <t>Rebelyn</t>
  </si>
  <si>
    <t>Samson</t>
  </si>
  <si>
    <t>Clark Airmall Clark international airport fronting departure area</t>
  </si>
  <si>
    <t>2016-415</t>
  </si>
  <si>
    <t>FEDERAL EXPRESS CORPORATION (FEDEX)</t>
  </si>
  <si>
    <t>2015-243</t>
  </si>
  <si>
    <t>FILINVEST MIMOSA, INC.</t>
  </si>
  <si>
    <t>2016-208</t>
  </si>
  <si>
    <t>estatefmi01</t>
  </si>
  <si>
    <t>FLOOD CONTROL ASIA RS CORP</t>
  </si>
  <si>
    <t>FLOOD CONTROL ASIA RS CORPORATION</t>
  </si>
  <si>
    <t>m.dearce@floodcontrol.asia</t>
  </si>
  <si>
    <t>2016-078</t>
  </si>
  <si>
    <t>4321fca</t>
  </si>
  <si>
    <t>FONTANA DEVELOPMENT CORPORATION (FORMERLY: RN DEVELOPMENT CORP.)</t>
  </si>
  <si>
    <t>2016-534</t>
  </si>
  <si>
    <t>development2022</t>
  </si>
  <si>
    <t>/uploads/file-1492998230487.png</t>
  </si>
  <si>
    <t>KOREA COUNTRY CLUB INC</t>
  </si>
  <si>
    <t>TAN</t>
  </si>
  <si>
    <t>MARICEL</t>
  </si>
  <si>
    <t>PRINCE BALAGTAS AVENUE CLARK FREEPORT ZONE PAMPANGA</t>
  </si>
  <si>
    <t>koreacchr@gmail.com</t>
  </si>
  <si>
    <t>2016-244</t>
  </si>
  <si>
    <t>RECREATIONALGOLF COURSE</t>
  </si>
  <si>
    <t>/uploads/file-1491644899281.jpg</t>
  </si>
  <si>
    <t>FONTANA RESORT AND COUNTRY CLUB INC FRCCI</t>
  </si>
  <si>
    <t>FONTANA CLUB HOUSE CM RECTO HIGH WAY CLARK FREEPORT ZONE PAMPANGA</t>
  </si>
  <si>
    <t>-045-5995000 loc 5792</t>
  </si>
  <si>
    <t>2016-533</t>
  </si>
  <si>
    <t>resort2017</t>
  </si>
  <si>
    <t>FOOD AND BEVERAGES  CLARK INC</t>
  </si>
  <si>
    <t>Torno</t>
  </si>
  <si>
    <t>Store Manager</t>
  </si>
  <si>
    <t>NORTHWALK CLARK INC NO 8 MANUEL A ROXAS HIGHWAY  CLARK FREEPORT ZONE PAMPANGA</t>
  </si>
  <si>
    <t>fnbclark@yahoo.com</t>
  </si>
  <si>
    <t>599-6429</t>
  </si>
  <si>
    <t>2016-583</t>
  </si>
  <si>
    <t>FOTON MOTOR PHILIPPINES INC</t>
  </si>
  <si>
    <t>Panlilio</t>
  </si>
  <si>
    <t>Nicolette Heinzy</t>
  </si>
  <si>
    <t>Masilang</t>
  </si>
  <si>
    <t>Lot 1A Lot 1B Lot 2 Prince Balagtas Ave Clark Freeport Zone Pampanga</t>
  </si>
  <si>
    <t>nhpanlilio@foton.com.ph</t>
  </si>
  <si>
    <t>2016-017</t>
  </si>
  <si>
    <t>/uploads/file-1490917950643.png</t>
  </si>
  <si>
    <t>FREEPORT AUTOMOTIVE CORPORATION</t>
  </si>
  <si>
    <t>PAMINTUAN JR</t>
  </si>
  <si>
    <t>RUNDINA</t>
  </si>
  <si>
    <t>SPECIAL PROJECTS OFFICER</t>
  </si>
  <si>
    <t>LGC Automotive Services Building MA Roxas Avenue Clark Pampanga Philippines</t>
  </si>
  <si>
    <t>rrpamintuan@lausgroup.com.ph</t>
  </si>
  <si>
    <t>0918-854-2964</t>
  </si>
  <si>
    <t>2016-526</t>
  </si>
  <si>
    <t>/uploads/file-1528444106178.jpg</t>
  </si>
  <si>
    <t>FRESH N FAMOUS FOODS INC CHOWKING</t>
  </si>
  <si>
    <t>Alpeche</t>
  </si>
  <si>
    <t>Krisha</t>
  </si>
  <si>
    <t>Assistant Restaurant Manager</t>
  </si>
  <si>
    <t>clark center berthaphil</t>
  </si>
  <si>
    <t>ck1733@chowking.net</t>
  </si>
  <si>
    <t>2014-367</t>
  </si>
  <si>
    <t>ck1733</t>
  </si>
  <si>
    <t>FRP COMPOSITE INTERNATIONAL CORPORATION</t>
  </si>
  <si>
    <t>Tidy</t>
  </si>
  <si>
    <t>Cynthia</t>
  </si>
  <si>
    <t>Tabamo</t>
  </si>
  <si>
    <t>Administrative Manager</t>
  </si>
  <si>
    <t>Bayanihan Street	 Furniture Village 	 Clark Freeport Zone	 Angeles City	 Pampanga</t>
  </si>
  <si>
    <t>cyntidy@yahoo.com</t>
  </si>
  <si>
    <t>499-1163-1164 loc 100</t>
  </si>
  <si>
    <t>2017-050</t>
  </si>
  <si>
    <t>/uploads/file-1491375575143.png</t>
  </si>
  <si>
    <t>FRP JHK CORP.</t>
  </si>
  <si>
    <t>Alipio</t>
  </si>
  <si>
    <t>Jane</t>
  </si>
  <si>
    <t>Dalit</t>
  </si>
  <si>
    <t>HR/Accounting Officer</t>
  </si>
  <si>
    <t>jamnd044@gmail.com</t>
  </si>
  <si>
    <t>2016-081</t>
  </si>
  <si>
    <t>/uploads/file-1496972854061.png</t>
  </si>
  <si>
    <t>FUJI PLASTIC INDUSTRY PHILS INC</t>
  </si>
  <si>
    <t>Sales</t>
  </si>
  <si>
    <t>Erikamei Chanelle</t>
  </si>
  <si>
    <t>Reyes</t>
  </si>
  <si>
    <t>Building N2845 Jose Abad Santos Avenue	 Clark Freeport Zone</t>
  </si>
  <si>
    <t>dc1-fip@fuji-pla.com</t>
  </si>
  <si>
    <t>599-3184</t>
  </si>
  <si>
    <t>2016-213</t>
  </si>
  <si>
    <t>fuji06131997</t>
  </si>
  <si>
    <t>FUSO LOGISTICS PHILS INC</t>
  </si>
  <si>
    <t>CORTEZ</t>
  </si>
  <si>
    <t>JOSHMAR</t>
  </si>
  <si>
    <t>LIWANANG</t>
  </si>
  <si>
    <t>Admin AssistantOIC</t>
  </si>
  <si>
    <t>Room 4 Business Arcade 3  Philexcel Business Center MA Roxas Highway Clark Freeport Zone Philippines</t>
  </si>
  <si>
    <t>flp_clark@fusologistics.com</t>
  </si>
  <si>
    <t>2015-075</t>
  </si>
  <si>
    <t>FWU KUANG ENTERPRISES CORP</t>
  </si>
  <si>
    <t>Wage</t>
  </si>
  <si>
    <t>Kathy</t>
  </si>
  <si>
    <t>Fornasdoro</t>
  </si>
  <si>
    <t>Bldg N4355 Panday Pira Avenue and Gil Puyat Highway Clark Freeport Zone Philippines 2023</t>
  </si>
  <si>
    <t>fkecorp@gmail.com</t>
  </si>
  <si>
    <t>045- 499-5888</t>
  </si>
  <si>
    <t>2014-278</t>
  </si>
  <si>
    <t>GASBOY INC</t>
  </si>
  <si>
    <t>CM RECTO HIGHWAY CORNER BFERNANDO ST CLARK FREEPORT ZONE PAMPANGA</t>
  </si>
  <si>
    <t>2015-264</t>
  </si>
  <si>
    <t>GENESEM PHILIPPINES INC</t>
  </si>
  <si>
    <t>MALONZO</t>
  </si>
  <si>
    <t>MARIA ONAYZAH</t>
  </si>
  <si>
    <t>EVAROLA</t>
  </si>
  <si>
    <t>Utility BD SFA Semicon Compund Centennoal Road Clark Freeport Zone Pampanga</t>
  </si>
  <si>
    <t>gpiadmin@gpi-ph.com</t>
  </si>
  <si>
    <t>499-1967</t>
  </si>
  <si>
    <t>2016-020</t>
  </si>
  <si>
    <t>/uploads/file-1666920648168.png</t>
  </si>
  <si>
    <t>GENTRY SCHOOL INCORPORATED</t>
  </si>
  <si>
    <t>Mendoza</t>
  </si>
  <si>
    <t>Ana Mae</t>
  </si>
  <si>
    <t>Balingasa</t>
  </si>
  <si>
    <t>School Director OIC</t>
  </si>
  <si>
    <t>Gentry International School CM Recto Hiway Clark Freeport Pampanga</t>
  </si>
  <si>
    <t>gentryschool@yahoo.com</t>
  </si>
  <si>
    <t>2016-060</t>
  </si>
  <si>
    <t>GFL SYSTEMS CLARK INC</t>
  </si>
  <si>
    <t>Samia</t>
  </si>
  <si>
    <t>Luzy Francis</t>
  </si>
  <si>
    <t>Administrative Assistant</t>
  </si>
  <si>
    <t>1B2F Business Center 6 Philexcel Business Park MA Roxas Highway Clark Freeport Zone Pampanga</t>
  </si>
  <si>
    <t>hr@gflsystemsclark.com</t>
  </si>
  <si>
    <t>2016-351</t>
  </si>
  <si>
    <t>/uploads/file-1491464602501.jpg</t>
  </si>
  <si>
    <t>GJ COFFEES CLARK INC</t>
  </si>
  <si>
    <t>Adornado</t>
  </si>
  <si>
    <t>Consuelo</t>
  </si>
  <si>
    <t>Obosa</t>
  </si>
  <si>
    <t>1601 e rodr sr ave pinagkaisahan cubao</t>
  </si>
  <si>
    <t>con_adornado@yahoo.com.ph</t>
  </si>
  <si>
    <t>2016-558</t>
  </si>
  <si>
    <t>COFFEE SHOP</t>
  </si>
  <si>
    <t>/uploads/file-1502414448305.jpg</t>
  </si>
  <si>
    <t>GLOBAL CLARK ASSETS CORPORATION</t>
  </si>
  <si>
    <t>Gopez</t>
  </si>
  <si>
    <t>Marivel</t>
  </si>
  <si>
    <t>Dimaunahan</t>
  </si>
  <si>
    <t>Site Accountant</t>
  </si>
  <si>
    <t>The Villages Prince Balagtas Avenue Clarkfreeport</t>
  </si>
  <si>
    <t>marivelgopez@yahoo.com</t>
  </si>
  <si>
    <t>499-8148</t>
  </si>
  <si>
    <t>2014-129</t>
  </si>
  <si>
    <t>AIRLINES</t>
  </si>
  <si>
    <t>GLOBAL DEFENSE TECHNOLOGY INC</t>
  </si>
  <si>
    <t>Orozco</t>
  </si>
  <si>
    <t>Ralph Henry</t>
  </si>
  <si>
    <t>Bare</t>
  </si>
  <si>
    <t>Bldg 11 Berthaphil II North Industrial Park Manunggal Street Clark Freeport Zone Pampanga</t>
  </si>
  <si>
    <t>ralphorozco@gdti-online.com</t>
  </si>
  <si>
    <t>045 599 6585</t>
  </si>
  <si>
    <t>2016-580</t>
  </si>
  <si>
    <t>AMO</t>
  </si>
  <si>
    <t>/uploads/file-1517991184386.png</t>
  </si>
  <si>
    <t>Global Gateway Development Corporation</t>
  </si>
  <si>
    <t>Simbul</t>
  </si>
  <si>
    <t>Beatrice Louise</t>
  </si>
  <si>
    <t>Unit 1001 10th floor One West Aeropark Building 2nd St cor 4th Ave Clark Global City Clark Freeport Zone Pampanga 2023</t>
  </si>
  <si>
    <t>hr@udennaland-cgc.ph</t>
  </si>
  <si>
    <t>-6345 598 3110 local 1037</t>
  </si>
  <si>
    <t>2016-510</t>
  </si>
  <si>
    <t>GGDCHR2021</t>
  </si>
  <si>
    <t>Real Estate</t>
  </si>
  <si>
    <t>/uploads/file-1492750797847.jpg</t>
  </si>
  <si>
    <t>GLOBAL MEISHI FOOD INC DOING BUSINESS UNDER THE NAME AND STYLE OF ASIAS CHINABOY</t>
  </si>
  <si>
    <t>Garcia</t>
  </si>
  <si>
    <t>Sarah Jane</t>
  </si>
  <si>
    <t>F</t>
  </si>
  <si>
    <t>Unit 9 GF Northwalk Clark Complex No 8 MA Roxas Highway Clark Freeport Zone Philippines</t>
  </si>
  <si>
    <t>chinaboy2016@yahoo.com</t>
  </si>
  <si>
    <t>2015-137</t>
  </si>
  <si>
    <t>GLOBAL SQUARE PLAZA PHILS CORP</t>
  </si>
  <si>
    <t>Jodan</t>
  </si>
  <si>
    <t>Somera</t>
  </si>
  <si>
    <t>General Admin</t>
  </si>
  <si>
    <t>CM RECTO AND J TOPACIO ROAD</t>
  </si>
  <si>
    <t>globalsquareplazapc@gmail.com</t>
  </si>
  <si>
    <t>2015-253</t>
  </si>
  <si>
    <t>ClarkSquareMall!1</t>
  </si>
  <si>
    <t>Restaurant Hotel Convenience Store</t>
  </si>
  <si>
    <t>/uploads/file-1494315679758.png</t>
  </si>
  <si>
    <t>GLOBAL STANDARD ENGLISH LEARNING CENTER INC FORMERLY NORTH HILL LANGUAGE LEARNING CENTER INC</t>
  </si>
  <si>
    <t>Ana Marie</t>
  </si>
  <si>
    <t>Nagales</t>
  </si>
  <si>
    <t>Benefits Clerk</t>
  </si>
  <si>
    <t>5208 CM Recto Avenue Clark Freeport Zone</t>
  </si>
  <si>
    <t>globalstandard.elc@gmail.com</t>
  </si>
  <si>
    <t>0906-2211-276</t>
  </si>
  <si>
    <t>2016-267</t>
  </si>
  <si>
    <t>gsvictor0724</t>
  </si>
  <si>
    <t>English Second Language</t>
  </si>
  <si>
    <t>/uploads/file-1491784808474.png</t>
  </si>
  <si>
    <t>GLOBAL ZOO AND THEME PARK ALLIANCE INC</t>
  </si>
  <si>
    <t>Agpoon</t>
  </si>
  <si>
    <t>Christian Paul</t>
  </si>
  <si>
    <t>HR Admin Officer</t>
  </si>
  <si>
    <t>T 40 J P Laurel</t>
  </si>
  <si>
    <t>globalzoooperation@gmail.com</t>
  </si>
  <si>
    <t>2015-259</t>
  </si>
  <si>
    <t>GLTEK TRADING CORP.</t>
  </si>
  <si>
    <t>SASAHARA</t>
  </si>
  <si>
    <t>DEBORAH</t>
  </si>
  <si>
    <t>GASPAN</t>
  </si>
  <si>
    <t>sasahara.debbie@gmail.com</t>
  </si>
  <si>
    <t>2017-023</t>
  </si>
  <si>
    <t>/uploads/file-1507538680818.jpg</t>
  </si>
  <si>
    <t>GOBEYOND MARKETING CORPORATION</t>
  </si>
  <si>
    <t>Yap</t>
  </si>
  <si>
    <t>Robin Royce</t>
  </si>
  <si>
    <t>Timbol</t>
  </si>
  <si>
    <t>Unit 33E Philexcel Business Park MA Roxas Highway Clark Freeport Zone Philippines</t>
  </si>
  <si>
    <t>ryap.ocsi@gmail.com</t>
  </si>
  <si>
    <t>0916-595-2543</t>
  </si>
  <si>
    <t>2017-089</t>
  </si>
  <si>
    <t>GOLDEN STONE GARMENTS INC</t>
  </si>
  <si>
    <t>Elenita</t>
  </si>
  <si>
    <t>dela Cruz</t>
  </si>
  <si>
    <t>Bldg5204 Lily Hill Road corner Gil Puyat Avenue	 Clark Freeport Zone	 Angeles City	 Pampanga</t>
  </si>
  <si>
    <t>goldenstone_hr3@yahoo.com</t>
  </si>
  <si>
    <t>045-5995802-05 - 09331113606</t>
  </si>
  <si>
    <t>2015-290</t>
  </si>
  <si>
    <t>GSGIJAN2001</t>
  </si>
  <si>
    <t>/uploads/file-1491529112730.jpg</t>
  </si>
  <si>
    <t>GOLTENS PHILIPPINESBRANCH OFFICE</t>
  </si>
  <si>
    <t>UMALI</t>
  </si>
  <si>
    <t>JOANNA</t>
  </si>
  <si>
    <t>TORRES</t>
  </si>
  <si>
    <t>FINANCEHR MANAGER</t>
  </si>
  <si>
    <t>BUILDING 17A BERTHAPHIL COMPOUND 1 JOSE ABD SANTOS AVENUE CLARK FREEPORT ZONE PAMPANGA 2023</t>
  </si>
  <si>
    <t>joanna.umali@goltens.com</t>
  </si>
  <si>
    <t>2016-097</t>
  </si>
  <si>
    <t>goltens0629</t>
  </si>
  <si>
    <t>GOODLIVING CORPORATION</t>
  </si>
  <si>
    <t>Jheena</t>
  </si>
  <si>
    <t>De Guzman</t>
  </si>
  <si>
    <t>Bldg 7256 CM Recto Highway Civil Aviation Complex	 Clark Freeport Zone Philippines</t>
  </si>
  <si>
    <t>goodliving.lgclark@hotmail.com</t>
  </si>
  <si>
    <t>499-1618</t>
  </si>
  <si>
    <t>2017-055</t>
  </si>
  <si>
    <t>hyunkyungson</t>
  </si>
  <si>
    <t>GWU MKTG CORP</t>
  </si>
  <si>
    <t>Canlas</t>
  </si>
  <si>
    <t>Gozun</t>
  </si>
  <si>
    <t>Admin Staff</t>
  </si>
  <si>
    <t>Unit B  2nd Floor Mercedes Benz Center Berthaphil VIII MA Roxas Highway Clark Freeport Zone 2023 Philippines</t>
  </si>
  <si>
    <t>angelicacanlas@gwumkt.com</t>
  </si>
  <si>
    <t>045-499-5495</t>
  </si>
  <si>
    <t>2016-578</t>
  </si>
  <si>
    <t>gwu</t>
  </si>
  <si>
    <t>Online Marketing</t>
  </si>
  <si>
    <t>/uploads/file-1493788394632.jpg</t>
  </si>
  <si>
    <t>HAAZIN INC DOING BUSINESS UNDER THE NAME AND STYLE OF SOOHYANG RESTAURANT AND SOOHYANG CAFE</t>
  </si>
  <si>
    <t>DIMATULAC</t>
  </si>
  <si>
    <t>WILMA</t>
  </si>
  <si>
    <t>CASHIER</t>
  </si>
  <si>
    <t>LOT 18 4C MA ROXAS HIWAY	 E JACINTO ST	 CLARK FREEPORT ZONE	 PAMPANGA</t>
  </si>
  <si>
    <t>haazin.incorporated@gmail.com</t>
  </si>
  <si>
    <t>2016-258</t>
  </si>
  <si>
    <t>HAITIMA CLARK CORPORATION</t>
  </si>
  <si>
    <t>Bernadez</t>
  </si>
  <si>
    <t>Romellen</t>
  </si>
  <si>
    <t>Espinosa</t>
  </si>
  <si>
    <t>N13636 MA Roxas Highway Clark Freeport Zone Philippines</t>
  </si>
  <si>
    <t>hr_haitimaclark@yahoo.com</t>
  </si>
  <si>
    <t>499-2208</t>
  </si>
  <si>
    <t>2014-005</t>
  </si>
  <si>
    <t>Provs 29:25</t>
  </si>
  <si>
    <t>HANSA CREATION INC formerly HANSA TOY INTERNATIONAL INC</t>
  </si>
  <si>
    <t>MALIG</t>
  </si>
  <si>
    <t>MARIAH</t>
  </si>
  <si>
    <t>Hansa Bldg A Soriano St	 CFZ	 Clarkfield	 Pampanga</t>
  </si>
  <si>
    <t>hr@hansacreation.com</t>
  </si>
  <si>
    <t>045-599-3333</t>
  </si>
  <si>
    <t>2017-005</t>
  </si>
  <si>
    <t>Hansa1994creation</t>
  </si>
  <si>
    <t>Plush Toy Manufacturing</t>
  </si>
  <si>
    <t>/uploads/file-1494831352694.gif</t>
  </si>
  <si>
    <t>HAVAKUK CANTEEN</t>
  </si>
  <si>
    <t>PINKY</t>
  </si>
  <si>
    <t>DEL ROSARIO</t>
  </si>
  <si>
    <t>MANAGER</t>
  </si>
  <si>
    <t>Yokohama Tire Phils Inc Bldg IE 5 Clark Freeport Zone Philippines Clark Freeport Zone Philippines</t>
  </si>
  <si>
    <t>pinkydavid21@yahoo.com</t>
  </si>
  <si>
    <t>2016-241</t>
  </si>
  <si>
    <t>HAWAII FAMILY CENTER BPO INC</t>
  </si>
  <si>
    <t>Gualdad</t>
  </si>
  <si>
    <t>Honeylette</t>
  </si>
  <si>
    <t>Datu</t>
  </si>
  <si>
    <t>Site Director</t>
  </si>
  <si>
    <t>1F 1A  1B Philexcel Business Center  10 Philexcel Business Park Clark Freeport Zone Pampanga</t>
  </si>
  <si>
    <t>hgualdad@hawaiifamilydental.com</t>
  </si>
  <si>
    <t>2016-187</t>
  </si>
  <si>
    <t>Hawaii#1</t>
  </si>
  <si>
    <t>/uploads/file-1490855887992.jpg</t>
  </si>
  <si>
    <t>HBA DESIGN PHILIPPINES INC</t>
  </si>
  <si>
    <t>Tungul</t>
  </si>
  <si>
    <t>Sheryl Anne</t>
  </si>
  <si>
    <t>Torres</t>
  </si>
  <si>
    <t>Unit 20 Philexcel Business Park Manuel Roxas Highway Clark Freeport Zone Pampanga</t>
  </si>
  <si>
    <t>SherylAnne.Tungul@HBA.com</t>
  </si>
  <si>
    <t>2016-546</t>
  </si>
  <si>
    <t>HBArecruitment01</t>
  </si>
  <si>
    <t>/uploads/file-1492503090996.jpg</t>
  </si>
  <si>
    <t>HDP CLARK PHILS INC</t>
  </si>
  <si>
    <t>Bundalian</t>
  </si>
  <si>
    <t>Patricia Mae</t>
  </si>
  <si>
    <t>HR STAFF</t>
  </si>
  <si>
    <t>Warehouse 2 A  B Berthapil IV Clark Freeport Zone Philippines 2010</t>
  </si>
  <si>
    <t>clarkhr@totalpackagingsolutions.com</t>
  </si>
  <si>
    <t>2016-403</t>
  </si>
  <si>
    <t>GODISGOOD</t>
  </si>
  <si>
    <t>/uploads/file-1490925555638.jpg</t>
  </si>
  <si>
    <t>HELPPHILIPPINESCHOOLS FOUNDATION INC</t>
  </si>
  <si>
    <t>Elena</t>
  </si>
  <si>
    <t>Galino</t>
  </si>
  <si>
    <t>AdminSecretary</t>
  </si>
  <si>
    <t>Pavilion 10 B1	 Berthaphil III Clark Center	 Jose Abad Santos Avenue	 Clark Freeport Zone 2023</t>
  </si>
  <si>
    <t>dcelena718@gmail.com</t>
  </si>
  <si>
    <t>0917-506-2470</t>
  </si>
  <si>
    <t>2014-174</t>
  </si>
  <si>
    <t>HPSF2023</t>
  </si>
  <si>
    <t>/uploads/file-1490935386664.jpg</t>
  </si>
  <si>
    <t>HEXUS OUTSOURCING SERVICES INC</t>
  </si>
  <si>
    <t>Sioco</t>
  </si>
  <si>
    <t>Mary Jane</t>
  </si>
  <si>
    <t>Office Center 08P Berthaphil III Clark Center  Clark Freeport Zone Philippines</t>
  </si>
  <si>
    <t>admin@hexus.ph</t>
  </si>
  <si>
    <t>045 499 0007</t>
  </si>
  <si>
    <t>2016-023</t>
  </si>
  <si>
    <t>/uploads/file-1537256925636.png</t>
  </si>
  <si>
    <t>HGIII CURRENCY TRADING</t>
  </si>
  <si>
    <t>CANILAO</t>
  </si>
  <si>
    <t>ALLYZA JEANE</t>
  </si>
  <si>
    <t>PUNZALAN</t>
  </si>
  <si>
    <t>PreDeparture Area Clark International Airport CRK Passenger Terminal Building Clark Freeport Zone Philippines</t>
  </si>
  <si>
    <t>allyzajeanecanilao31@yahoo.com</t>
  </si>
  <si>
    <t>2016-225</t>
  </si>
  <si>
    <t>HLD CLARK STEEL PIPE CO INC</t>
  </si>
  <si>
    <t>Ducut</t>
  </si>
  <si>
    <t>Armie</t>
  </si>
  <si>
    <t>Building N13988 Industrial Estate 5 SCTEX Road South Clark Freeport Zone Clarkfield Pampanga 2023</t>
  </si>
  <si>
    <t>hldclarkhrd@gmail.com</t>
  </si>
  <si>
    <t>2016-528</t>
  </si>
  <si>
    <t>/uploads/file-1490858716373.jpg</t>
  </si>
  <si>
    <t>HMWS INC</t>
  </si>
  <si>
    <t>RIVERA</t>
  </si>
  <si>
    <t>ISABEL</t>
  </si>
  <si>
    <t>DANGANAN</t>
  </si>
  <si>
    <t>OFFICE AND FINANCE MANAGER</t>
  </si>
  <si>
    <t>UNIT 12A PHILEXCEL BUSINESS PARK M ROXAS HIGHWAY CLARK FREEPORT ZONE ANGELES CITY PAMPANGA</t>
  </si>
  <si>
    <t>isa@hmwsinc.com</t>
  </si>
  <si>
    <t>2015-406</t>
  </si>
  <si>
    <t>hmwsinc2012</t>
  </si>
  <si>
    <t>/uploads/file-1652159176493.png</t>
  </si>
  <si>
    <t>HOLE IN ONE KOREAN FAMILY KTV &amp; RESTAURANT, INC. (FORMERLY: HOLE IN ONE KOREAN RESTAURANT INC.)</t>
  </si>
  <si>
    <t>Velasco</t>
  </si>
  <si>
    <t>Marigold</t>
  </si>
  <si>
    <t>Laureano</t>
  </si>
  <si>
    <t>holeinone0001@gmail.com</t>
  </si>
  <si>
    <t>2017-074</t>
  </si>
  <si>
    <t>KIM7GILYANG</t>
  </si>
  <si>
    <t>HONG KONG DRAGON AIRLINES LTD</t>
  </si>
  <si>
    <t>Soliman</t>
  </si>
  <si>
    <t>Fatima Andrea</t>
  </si>
  <si>
    <t>Maniaul</t>
  </si>
  <si>
    <t>Airport Officer</t>
  </si>
  <si>
    <t>Bldg 7549 Passenger Terminal Building A Bonifacio Ave Clark Civil Aviation Complex Clark Freeport Zone Philippines</t>
  </si>
  <si>
    <t>fatima_soliman@cathaypacific.com</t>
  </si>
  <si>
    <t>045-4993075</t>
  </si>
  <si>
    <t>2016-297</t>
  </si>
  <si>
    <t>/uploads/file-1501058148158.png</t>
  </si>
  <si>
    <t>HONG YUN CHINESE CUISINE CORPORATION</t>
  </si>
  <si>
    <t>WONG</t>
  </si>
  <si>
    <t>ARNOLD</t>
  </si>
  <si>
    <t>CHIU</t>
  </si>
  <si>
    <t>Tower 2 Ground Floor Commercial Area No 1 Ode County Building C M Recto Highway Clark Freeport Zone Philippines</t>
  </si>
  <si>
    <t>heartca@yahoo.com</t>
  </si>
  <si>
    <t>2016-470</t>
  </si>
  <si>
    <t>carmiarnold09</t>
  </si>
  <si>
    <t>ICS ICT SUPPORT SERVICES CORP</t>
  </si>
  <si>
    <t>De Leon</t>
  </si>
  <si>
    <t>Gelly</t>
  </si>
  <si>
    <t>Almarez</t>
  </si>
  <si>
    <t>Bldg 19A Berthaphil I	 J Abad Santos Avenue Clark Freeport Zone	 Clark Field Pampanga</t>
  </si>
  <si>
    <t>hrd@ics.com.ph</t>
  </si>
  <si>
    <t>0920-800-1568</t>
  </si>
  <si>
    <t>2015-048</t>
  </si>
  <si>
    <t>IT Industry</t>
  </si>
  <si>
    <t>/uploads/file-1661913486634.jpg</t>
  </si>
  <si>
    <t>IDEAL FASHION INC</t>
  </si>
  <si>
    <t>FELIX</t>
  </si>
  <si>
    <t>ALMA</t>
  </si>
  <si>
    <t>LALIC</t>
  </si>
  <si>
    <t>BUILDING 5205 LILY HILL ROAD CORNER GIL PUYAT AVENUE CLARK FREEPORT ZONE PAMPANGA</t>
  </si>
  <si>
    <t>idealfashion_04@yahoo.com</t>
  </si>
  <si>
    <t>045-599-5802</t>
  </si>
  <si>
    <t>2016-057</t>
  </si>
  <si>
    <t>malaya2020</t>
  </si>
  <si>
    <t>/uploads/file-1491540745879.png</t>
  </si>
  <si>
    <t>ILOVEOVERRUN TRADING INC</t>
  </si>
  <si>
    <t>ANNIE JEANE</t>
  </si>
  <si>
    <t>LIWANAG</t>
  </si>
  <si>
    <t>2nd Floor PreDeparture	 Clark International Airport	 Clark Freeport Zone	 Clarkfield	 Pampanga</t>
  </si>
  <si>
    <t>sanannie12@gmail.com</t>
  </si>
  <si>
    <t>0927-326-8097</t>
  </si>
  <si>
    <t>2014-432</t>
  </si>
  <si>
    <t>/uploads/file-1497590264262.jpg</t>
  </si>
  <si>
    <t>INDODRILL PHILIPPINES, INC.</t>
  </si>
  <si>
    <t>Daine</t>
  </si>
  <si>
    <t>Human Resource Officer</t>
  </si>
  <si>
    <t>d.dizon@indodrill.com</t>
  </si>
  <si>
    <t>499-1159</t>
  </si>
  <si>
    <t>2016-233</t>
  </si>
  <si>
    <t>HRINDODRILL</t>
  </si>
  <si>
    <t>/uploads/file-1491198890858.jpg</t>
  </si>
  <si>
    <t>INFORMED BUSINESS OUTSOURCING CLARK INC</t>
  </si>
  <si>
    <t>Ria</t>
  </si>
  <si>
    <t>Dela Pena</t>
  </si>
  <si>
    <t>HUMAN RESOURCES MANAGER</t>
  </si>
  <si>
    <t>Unit 32 Clark Square Mall Along corner CM Recto Avenue and J Topacio Road Clark Freeport Zone Pampanga 2023</t>
  </si>
  <si>
    <t>rgomez@iboclark.com</t>
  </si>
  <si>
    <t>499-3133</t>
  </si>
  <si>
    <t>2015-204</t>
  </si>
  <si>
    <t>INTERTECH MARKETING SALES AND SERVICES INC</t>
  </si>
  <si>
    <t>Princess</t>
  </si>
  <si>
    <t>AccountingFinance</t>
  </si>
  <si>
    <t>UNIT 33F PHILEXCEL BUSINESS PARKMA ROXAS CLARK FREEPORT ZONE</t>
  </si>
  <si>
    <t>accounts@intertech-mktg.com</t>
  </si>
  <si>
    <t>045-499-5162</t>
  </si>
  <si>
    <t>2017-065</t>
  </si>
  <si>
    <t>IMSSI2016dld</t>
  </si>
  <si>
    <t>/uploads/file-1491559213606.jpg</t>
  </si>
  <si>
    <t>IQOR PHILIPPINES INC</t>
  </si>
  <si>
    <t>Fabian</t>
  </si>
  <si>
    <t>Eduard</t>
  </si>
  <si>
    <t>Bldg 1 Berthaphil III Clark Center Jose Abad Santos Avenue Clark Freeport Zone Clark Freeport Zone Philippines</t>
  </si>
  <si>
    <t>eduard.fabian@iqor.com</t>
  </si>
  <si>
    <t>2016-175</t>
  </si>
  <si>
    <t>iQor2018.!</t>
  </si>
  <si>
    <t>Call Center BPO</t>
  </si>
  <si>
    <t>IREN DORNIER AIRCRAFT INC</t>
  </si>
  <si>
    <t>RODOLFO</t>
  </si>
  <si>
    <t>JOAN</t>
  </si>
  <si>
    <t>ADMINISTRATIVE ASSISTANT</t>
  </si>
  <si>
    <t>HANGAR 7224 CIAC CFZ CLARKFIELD PAMPANGA</t>
  </si>
  <si>
    <t>jdrodolfo@aviation-enterprises.com</t>
  </si>
  <si>
    <t>2013-655</t>
  </si>
  <si>
    <t>IVOLINE IBT CORE INC</t>
  </si>
  <si>
    <t>HIRANO</t>
  </si>
  <si>
    <t>MARIA MARSHA</t>
  </si>
  <si>
    <t>BACONG</t>
  </si>
  <si>
    <t>HR PERSONNEL</t>
  </si>
  <si>
    <t>BLDG 5272 ALONG CM RECTO HIGHWAY CLARK FREEPORT ZONE</t>
  </si>
  <si>
    <t>hibtcore@gmail.com</t>
  </si>
  <si>
    <t>2014-044</t>
  </si>
  <si>
    <t>/uploads/file-1491181627498.png</t>
  </si>
  <si>
    <t>J.B.C. PROPERTY CARE</t>
  </si>
  <si>
    <t>Janet</t>
  </si>
  <si>
    <t>Basilio</t>
  </si>
  <si>
    <t>Proprietress</t>
  </si>
  <si>
    <t>cafemesa123@yahoo.com.ph</t>
  </si>
  <si>
    <t>045-499-0694</t>
  </si>
  <si>
    <t>2016-264</t>
  </si>
  <si>
    <t>JGO BOUTIQUE  SOUVENIRS WIDUS</t>
  </si>
  <si>
    <t>Go</t>
  </si>
  <si>
    <t>Pinpin</t>
  </si>
  <si>
    <t>GF Widus Hotel  Casino Tower 1 CM Recto Hiway Clark Freeport Zone Clarkfield Pampanga</t>
  </si>
  <si>
    <t>jpinpingo@yahoo.com</t>
  </si>
  <si>
    <t>2016-273</t>
  </si>
  <si>
    <t>jologs0415</t>
  </si>
  <si>
    <t>JADE GAMING AND AMUSEMENT TECHNOLOGIES PHILIPPINES CORP II</t>
  </si>
  <si>
    <t>Gaspay</t>
  </si>
  <si>
    <t>Reagan</t>
  </si>
  <si>
    <t>Tubat</t>
  </si>
  <si>
    <t>Finance Officer</t>
  </si>
  <si>
    <t>BLDG 05 BERTHAPHIL NORTH INDUSTRIAL PARK JOSE ABAD SANTOS AVENUE  CLARK FREEPORT ZONE PAMPANGA</t>
  </si>
  <si>
    <t>reagangaspay@jadegaming.com.ph</t>
  </si>
  <si>
    <t>2016-022</t>
  </si>
  <si>
    <t>JAINEVILL INTERNATIONAL INC</t>
  </si>
  <si>
    <t>Dimaculangan</t>
  </si>
  <si>
    <t>Angelita</t>
  </si>
  <si>
    <t>Banares</t>
  </si>
  <si>
    <t>Logistics Manager</t>
  </si>
  <si>
    <t>Unit 17H Philexcel Buss Park	 MA Roxas Highway Clark Freeport Zone</t>
  </si>
  <si>
    <t>adimaculangan@jainevill.com.ph</t>
  </si>
  <si>
    <t>2016-365</t>
  </si>
  <si>
    <t>ipmcmVillao1</t>
  </si>
  <si>
    <t>TRADINGSUPPLIER OF AVIATION RELATED PRT</t>
  </si>
  <si>
    <t>/uploads/file-1496043572342.jpg</t>
  </si>
  <si>
    <t>JAMCO PHILIPPINES INC</t>
  </si>
  <si>
    <t>Sindayen</t>
  </si>
  <si>
    <t>Marleth</t>
  </si>
  <si>
    <t>Lorenzo</t>
  </si>
  <si>
    <t>Manager  HR  Admin</t>
  </si>
  <si>
    <t>Bldg N7000 Gil Puyat Avenue Clark Civil Aviation Complex Clark Freeport Zone Pampanga</t>
  </si>
  <si>
    <t>marleth.sindayen@jamcophilippines.com</t>
  </si>
  <si>
    <t>-045- 499 1515</t>
  </si>
  <si>
    <t>2016-298</t>
  </si>
  <si>
    <t>/uploads/file-1490863366552.jpg</t>
  </si>
  <si>
    <t>JB &amp; F FASTFOOD</t>
  </si>
  <si>
    <t>2016-109</t>
  </si>
  <si>
    <t>JB CRESTA CORPORATION</t>
  </si>
  <si>
    <t>Janga</t>
  </si>
  <si>
    <t>Apple Ann Mae</t>
  </si>
  <si>
    <t>CLUB BUILDING A	 ABACAN AND CHICO STREETS	 CLARK FREEPORT ZONE	 PAMPANGA</t>
  </si>
  <si>
    <t>jbcrestacorp@gmail.com</t>
  </si>
  <si>
    <t>2015-302</t>
  </si>
  <si>
    <t>jbcc1234</t>
  </si>
  <si>
    <t>/uploads/file-1492580109264.png</t>
  </si>
  <si>
    <t>JELFARM FRESH PRODUCE ENT</t>
  </si>
  <si>
    <t>Manalang</t>
  </si>
  <si>
    <t>Accounting Staff</t>
  </si>
  <si>
    <t>Room 9 Philexcel Business Center 1 Philexcel Business Park  MA Roxas Highway Clark Freeport Zone Clarkfield Pampanga</t>
  </si>
  <si>
    <t>jmb@jelfarm.com</t>
  </si>
  <si>
    <t>499 8343</t>
  </si>
  <si>
    <t>2016-123</t>
  </si>
  <si>
    <t>JET MECHS AVIATION SERVICES</t>
  </si>
  <si>
    <t>ROQUE</t>
  </si>
  <si>
    <t>MARIA TERESITA</t>
  </si>
  <si>
    <t>PABUSTAN</t>
  </si>
  <si>
    <t>PROJECT MANAGER</t>
  </si>
  <si>
    <t>Bldg 7588 Airline Offices Civil Aviation Complex DMIA Clark Freeport Zone 2023</t>
  </si>
  <si>
    <t>matrix9811@gmail.com</t>
  </si>
  <si>
    <t>045 499 3158</t>
  </si>
  <si>
    <t>2017-033</t>
  </si>
  <si>
    <t>cdcjmascrk19</t>
  </si>
  <si>
    <t>/uploads/file-1491358305334.jpg</t>
  </si>
  <si>
    <t>JET STAR LAB PHILIPPINES, INC.</t>
  </si>
  <si>
    <t>Rowena</t>
  </si>
  <si>
    <t>Aganan</t>
  </si>
  <si>
    <t>jetlab_philippines@yahoo.com</t>
  </si>
  <si>
    <t>045 499-3387 / 09228972907</t>
  </si>
  <si>
    <t>2016-279</t>
  </si>
  <si>
    <t>JILL ZHEN PARK LAND INC</t>
  </si>
  <si>
    <t>Batacan</t>
  </si>
  <si>
    <t>Maylene</t>
  </si>
  <si>
    <t>Accounting Assistant</t>
  </si>
  <si>
    <t>Infront of the Arrival Area of the Passenger Terminal Building of the Clark International Airport Clark Civil Aviation Complex Clark Freeport Zone Philippines</t>
  </si>
  <si>
    <t>maylene.batacan@regent-trg.com</t>
  </si>
  <si>
    <t>2015-279</t>
  </si>
  <si>
    <t>ACCOUNTING ASSISTANT</t>
  </si>
  <si>
    <t>JM STAR CLARK INC</t>
  </si>
  <si>
    <t>Tanjay</t>
  </si>
  <si>
    <t>Margie</t>
  </si>
  <si>
    <t>Orongan</t>
  </si>
  <si>
    <t>Regency Park Jose Abad Santos AvenueRio Grande and EAguinaldo StreetsClark Freeport ZonePhilippines</t>
  </si>
  <si>
    <t>jmstarclarkinc@gmail.com</t>
  </si>
  <si>
    <t>2016-357</t>
  </si>
  <si>
    <t>JOSEPHINE B. CELIS CATERING</t>
  </si>
  <si>
    <t>2016-124</t>
  </si>
  <si>
    <t>JPAC LOGISTICS INC</t>
  </si>
  <si>
    <t>FERNANDEZ</t>
  </si>
  <si>
    <t>PETER</t>
  </si>
  <si>
    <t>PASCASIO</t>
  </si>
  <si>
    <t>DIRECTOR</t>
  </si>
  <si>
    <t>BUILDING 16A BERTHAPHIL 1 COMPOUND JOSE ABAD SANTOS AVENUE CLARK FREEPORT ZONE PAMPANGA</t>
  </si>
  <si>
    <t>peter@jpac.ph</t>
  </si>
  <si>
    <t>2017-108</t>
  </si>
  <si>
    <t>/uploads/file-1678264282009.jpg</t>
  </si>
  <si>
    <t>JRK CANTEEN</t>
  </si>
  <si>
    <t>Contreras</t>
  </si>
  <si>
    <t>Jellyanne</t>
  </si>
  <si>
    <t>Cortez</t>
  </si>
  <si>
    <t>Gil Puyat Avenue Industrial Estate1 Clark Freeport Zone Philippines</t>
  </si>
  <si>
    <t>rhenzon888@gmail.com</t>
  </si>
  <si>
    <t>2016-364</t>
  </si>
  <si>
    <t>PUNTA LWA PROPERTIES CORPORATION</t>
  </si>
  <si>
    <t>ACLAO</t>
  </si>
  <si>
    <t>APRIL JAY JANE</t>
  </si>
  <si>
    <t>SILO</t>
  </si>
  <si>
    <t>OFFICE ADMIN FINANCE</t>
  </si>
  <si>
    <t>Claro M Recto Highway Cor MA Roxas Highway Clark Freeport Zone</t>
  </si>
  <si>
    <t>janeaclao21@gmail.com</t>
  </si>
  <si>
    <t>2016-063</t>
  </si>
  <si>
    <t>JEESEUNGJIn147258</t>
  </si>
  <si>
    <t>/uploads/file-1508745140807.jpg</t>
  </si>
  <si>
    <t>K LINE LOGISTICS PHILS INC</t>
  </si>
  <si>
    <t>Castillo</t>
  </si>
  <si>
    <t>Evangeline</t>
  </si>
  <si>
    <t>Aguirre</t>
  </si>
  <si>
    <t>Branch Supervisor</t>
  </si>
  <si>
    <t>Room 5A Philexcel  Business Center 1 Philexcel Business Park MA Roxas Highway Clark Freeport Zone Philippines</t>
  </si>
  <si>
    <t>eacastillo@ph.klinelogistics.com</t>
  </si>
  <si>
    <t>045-599-6743</t>
  </si>
  <si>
    <t>2016-111</t>
  </si>
  <si>
    <t>KENJO EATERY</t>
  </si>
  <si>
    <t>Malou</t>
  </si>
  <si>
    <t>Tongol</t>
  </si>
  <si>
    <t>Cfz</t>
  </si>
  <si>
    <t>kenjoeatery@yahoo.com</t>
  </si>
  <si>
    <t>2013-405</t>
  </si>
  <si>
    <t>KILTON MOTOR CORPORATION</t>
  </si>
  <si>
    <t>LOZANO</t>
  </si>
  <si>
    <t>JUDITH</t>
  </si>
  <si>
    <t>MANANSALA</t>
  </si>
  <si>
    <t>Officerin charge</t>
  </si>
  <si>
    <t>bounded by Panday Pira Ave Sitio Pulang Lupa Dolores Creek Clark Freeport Zone Philippines</t>
  </si>
  <si>
    <t>clarkspeedway@gmail.com</t>
  </si>
  <si>
    <t>045 499-8034</t>
  </si>
  <si>
    <t>2016-516</t>
  </si>
  <si>
    <t>/uploads/file-1507775115958.jpg</t>
  </si>
  <si>
    <t>KINGSLEYCLARK HOTEL CORPORATION</t>
  </si>
  <si>
    <t>Villaflor</t>
  </si>
  <si>
    <t>Gina</t>
  </si>
  <si>
    <t>Cordero</t>
  </si>
  <si>
    <t>Pavilion 15 Lot 6 Berthaphil 3 Clark Center Jose Abad Santos Avenue Clark Freeport Zone Pampanga 2023</t>
  </si>
  <si>
    <t>gina@kingsleys.in</t>
  </si>
  <si>
    <t>2014-306</t>
  </si>
  <si>
    <t>HotelBar and Restaurant</t>
  </si>
  <si>
    <t>KINTETSU WORLD EXPRESS CLARK INC</t>
  </si>
  <si>
    <t>Alamag</t>
  </si>
  <si>
    <t>Lorlie</t>
  </si>
  <si>
    <t>Ruzgal</t>
  </si>
  <si>
    <t>N7170A El More Street Clark Freeport Zone Pampanga Philippines</t>
  </si>
  <si>
    <t>lorlie.alamag@kwe.com</t>
  </si>
  <si>
    <t>02-855-3424</t>
  </si>
  <si>
    <t>2015-344</t>
  </si>
  <si>
    <t>kwephilippines</t>
  </si>
  <si>
    <t>KINTETSU WORLD EXPRESS PHILIPPINES INC</t>
  </si>
  <si>
    <t>JJM Bldg 6 AMVEL Compound Ninoy Aquino Ave San Dionisio Paraaque City Philippines</t>
  </si>
  <si>
    <t>02- 855-3424</t>
  </si>
  <si>
    <t>2015-346</t>
  </si>
  <si>
    <t>KITA CORPORATION</t>
  </si>
  <si>
    <t>Palacio</t>
  </si>
  <si>
    <t>Alrose</t>
  </si>
  <si>
    <t>a.hernandez@solidmanila.com.ph</t>
  </si>
  <si>
    <t>2016-024</t>
  </si>
  <si>
    <t>kita7175.</t>
  </si>
  <si>
    <t>KITCHEN BITES FOOD SERVICES NANOX</t>
  </si>
  <si>
    <t>Elinor</t>
  </si>
  <si>
    <t>Buhain</t>
  </si>
  <si>
    <t>IE5 Clark Premiere Industrial Park Phase 1 Lot C2 MA Roxas Highway Clark Freeport Zone Philippines</t>
  </si>
  <si>
    <t>kitchenbiteshrd@gmail.com</t>
  </si>
  <si>
    <t>2016-243</t>
  </si>
  <si>
    <t>/uploads/file-1511484048997.jpg</t>
  </si>
  <si>
    <t>KITCHEN LOVERS CAFETERIA</t>
  </si>
  <si>
    <t>Sabellon</t>
  </si>
  <si>
    <t>Jackielyn</t>
  </si>
  <si>
    <t>Caingat</t>
  </si>
  <si>
    <t>Office Suite 04 A Berthaphil III Clark Center Jose Abad Santos Avenue Clark Freeport Zone Philippines</t>
  </si>
  <si>
    <t>j_sabellon@yahoo.com</t>
  </si>
  <si>
    <t>0917-510-6161</t>
  </si>
  <si>
    <t>2016-010</t>
  </si>
  <si>
    <t>/uploads/file-1516264059638.jpg</t>
  </si>
  <si>
    <t>KNP GLOBAL CORPORATION</t>
  </si>
  <si>
    <t>Dulawan</t>
  </si>
  <si>
    <t>Ruth</t>
  </si>
  <si>
    <t>Gumadang</t>
  </si>
  <si>
    <t>HR Head</t>
  </si>
  <si>
    <t>2F Office Center 08Q Clark Center	 Berthaphil 3 Jose Abad Santos Avenue Clark Freeport Zone Philippines 2023</t>
  </si>
  <si>
    <t>knpglobalhq@gmail.com</t>
  </si>
  <si>
    <t>045 499 0453</t>
  </si>
  <si>
    <t>2016-203</t>
  </si>
  <si>
    <t>KNPG2019</t>
  </si>
  <si>
    <t>/uploads/file-1490927519205.jpg</t>
  </si>
  <si>
    <t>CLARITY CA PHILIPPINES INC formerly KonVert Philippines Inc</t>
  </si>
  <si>
    <t>Tababa</t>
  </si>
  <si>
    <t>Julie</t>
  </si>
  <si>
    <t>Figuerres</t>
  </si>
  <si>
    <t>UNIT 1F56 BUSINESS CENTER 3 PHILIEXCEL BUSINESS PARK MA ROXAS HIGHWAY CLARK FREEPORT ZONE</t>
  </si>
  <si>
    <t>Kon-Vert.Accounts@Claritypg.com.au</t>
  </si>
  <si>
    <t>2014-382</t>
  </si>
  <si>
    <t>Konvert800!</t>
  </si>
  <si>
    <t>/uploads/file-1510269987892.png</t>
  </si>
  <si>
    <t>KOREGON VILLAS INC</t>
  </si>
  <si>
    <t>cleofe</t>
  </si>
  <si>
    <t>Shari</t>
  </si>
  <si>
    <t>Nicdao</t>
  </si>
  <si>
    <t>J Abad Santos Avenue Clark Freeport Zone Pampanga</t>
  </si>
  <si>
    <t>koregonvillas@gmail.com</t>
  </si>
  <si>
    <t>2016-444</t>
  </si>
  <si>
    <t>shakoregon</t>
  </si>
  <si>
    <t>Housing</t>
  </si>
  <si>
    <t>/uploads/file-1503547142756.png</t>
  </si>
  <si>
    <t>KORUCHEM GLOBAL LINKS INC</t>
  </si>
  <si>
    <t>Casabar</t>
  </si>
  <si>
    <t>Joanna</t>
  </si>
  <si>
    <t>Casero</t>
  </si>
  <si>
    <t>Accounting   Gen Admin Officer</t>
  </si>
  <si>
    <t>Bldg 01 Berthaphil II North Industrial Park Manunggal St Clark Freeport Zone</t>
  </si>
  <si>
    <t>acct_admin@kglinks.net</t>
  </si>
  <si>
    <t>0454990149-09995019373</t>
  </si>
  <si>
    <t>2016-557</t>
  </si>
  <si>
    <t>Generaladmin03</t>
  </si>
  <si>
    <t>/uploads/file-1490854990700.jpg</t>
  </si>
  <si>
    <t>KUSINA GRANADOS CATERING SERVICES</t>
  </si>
  <si>
    <t>Granados</t>
  </si>
  <si>
    <t>Errol Lawrence</t>
  </si>
  <si>
    <t>Manalaysay</t>
  </si>
  <si>
    <t>proprietor</t>
  </si>
  <si>
    <t>Jade Canteen Philexcel Business Park M A Roxas Highway Clark Freeport Zone Philippines</t>
  </si>
  <si>
    <t>kusinagranados@gmail.com</t>
  </si>
  <si>
    <t>2015-269</t>
  </si>
  <si>
    <t>Canteen</t>
  </si>
  <si>
    <t>KWAVE LANGUAGE CENTER INC</t>
  </si>
  <si>
    <t>Karla</t>
  </si>
  <si>
    <t>Dela Rosa</t>
  </si>
  <si>
    <t>Office Number S04 5F Clark Center 07 Berthaphil Clark Center Jose Abad Santos Avenue Clark Freeport Zone Philippines</t>
  </si>
  <si>
    <t>lala04261991@gmail.com</t>
  </si>
  <si>
    <t>0965-870-5747</t>
  </si>
  <si>
    <t>2016-527</t>
  </si>
  <si>
    <t>KYBOTECHPH INC</t>
  </si>
  <si>
    <t>CABRERA</t>
  </si>
  <si>
    <t>PAOLA MAE</t>
  </si>
  <si>
    <t>MENESES</t>
  </si>
  <si>
    <t>HR ASSOCIATE</t>
  </si>
  <si>
    <t>Office Center 08 K   L Berthaphil Clark Center 3 Jose Abad Santos Avenue Clark Freeport Zone Philippines</t>
  </si>
  <si>
    <t>paola@kybotech.co.uk</t>
  </si>
  <si>
    <t>045 499-0463</t>
  </si>
  <si>
    <t>2015-118</t>
  </si>
  <si>
    <t>LA ROSE NOIRE FOUNDATION INC</t>
  </si>
  <si>
    <t>SALVADOR</t>
  </si>
  <si>
    <t>JOVELLE CARLA</t>
  </si>
  <si>
    <t>LAGMAN</t>
  </si>
  <si>
    <t>Lot 1C IE5 MA Roxas Highway Clark Freeport Zone</t>
  </si>
  <si>
    <t>LRNFoundationAdminStaff@la-rose-noire.com</t>
  </si>
  <si>
    <t>0947-480-4580</t>
  </si>
  <si>
    <t>2016-100</t>
  </si>
  <si>
    <t>LA ROSE NOIRE PHILIPPINES INC</t>
  </si>
  <si>
    <t>GARCIA</t>
  </si>
  <si>
    <t>Pricilla Jane</t>
  </si>
  <si>
    <t>Olalia</t>
  </si>
  <si>
    <t>Lot 1A  B Clark IE05 Area M A Roxas Highway along IE5 Clark Freeport Zone Philippines</t>
  </si>
  <si>
    <t>pricilla.garcia@la-rose-noire.com</t>
  </si>
  <si>
    <t>499-3010 loc- 8084</t>
  </si>
  <si>
    <t>2016-227</t>
  </si>
  <si>
    <t>Food Products</t>
  </si>
  <si>
    <t>/uploads/file-1502153087989.jpg</t>
  </si>
  <si>
    <t>LAKSHMI BEMT BUILDING ENVELOPE MANUFACTURING  TECHNOLOGIES INC</t>
  </si>
  <si>
    <t>Taruc</t>
  </si>
  <si>
    <t>Allen Mitchell</t>
  </si>
  <si>
    <t>HRADMIN Manager</t>
  </si>
  <si>
    <t>Bldg 39	 Philexcel Business Park	 M Roxas Highway	 Clark Freeport Zone	 Pampanga</t>
  </si>
  <si>
    <t>hr.lakshmibemt@gmail.com</t>
  </si>
  <si>
    <t>2015-065</t>
  </si>
  <si>
    <t>hr.lakshmibemt</t>
  </si>
  <si>
    <t>/uploads/file-1490928131247.jpg</t>
  </si>
  <si>
    <t>LBC EXPRESS INC</t>
  </si>
  <si>
    <t>LAPUS</t>
  </si>
  <si>
    <t>AUGUSTO</t>
  </si>
  <si>
    <t>DELIVERY MANAGER</t>
  </si>
  <si>
    <t>Buildings 02 Berthaphil VIII Manuel Roxas Highway Clark Freeport Zone Philippines</t>
  </si>
  <si>
    <t>aclapus@lbcexpress.com</t>
  </si>
  <si>
    <t>2016-392</t>
  </si>
  <si>
    <t>jaysoncuenco</t>
  </si>
  <si>
    <t>LEATHEX PHILS INC</t>
  </si>
  <si>
    <t>Delos Santos</t>
  </si>
  <si>
    <t>Teresa</t>
  </si>
  <si>
    <t>Magatao</t>
  </si>
  <si>
    <t>Admin Head</t>
  </si>
  <si>
    <t>BLDG 7396 N AQUINO AVE	 CLARK FREEPORT ZONE CLARKFIELD PAMPANGA</t>
  </si>
  <si>
    <t>jenleathexphils@gmail.com</t>
  </si>
  <si>
    <t>2016-328</t>
  </si>
  <si>
    <t>/uploads/file-1491368983885.jpg</t>
  </si>
  <si>
    <t>LEESCHOI INC</t>
  </si>
  <si>
    <t>JAPON</t>
  </si>
  <si>
    <t>VERLIZA</t>
  </si>
  <si>
    <t>TALON</t>
  </si>
  <si>
    <t>Human Resources Manager</t>
  </si>
  <si>
    <t>Lot 4a Bounded By MA Roxas Highway and E Jacinto St Clark Freeport Zone</t>
  </si>
  <si>
    <t>grillseoulmaster@gmail.com</t>
  </si>
  <si>
    <t>045 499 0603</t>
  </si>
  <si>
    <t>2014-468</t>
  </si>
  <si>
    <t>Master122020</t>
  </si>
  <si>
    <t>LESAIR INDUSTRIAL INC</t>
  </si>
  <si>
    <t>Abella</t>
  </si>
  <si>
    <t>Rosal</t>
  </si>
  <si>
    <t>Paller</t>
  </si>
  <si>
    <t>Purchasing Officer</t>
  </si>
  <si>
    <t>Unit 17F Philexcel Business Park MA Roxas Highway Clark Freeport Zone</t>
  </si>
  <si>
    <t>rpaller@geresales.com</t>
  </si>
  <si>
    <t>2017-025</t>
  </si>
  <si>
    <t>LEXICODE HEALTHCARE INC</t>
  </si>
  <si>
    <t>Salazar</t>
  </si>
  <si>
    <t>Ana Karisa</t>
  </si>
  <si>
    <t>Agala</t>
  </si>
  <si>
    <t>HR Associate</t>
  </si>
  <si>
    <t>2nd Floor Business Center 3 Philexcel Compound M Roxas Hwy Clark Freeport Zone</t>
  </si>
  <si>
    <t>anakarisa.salazar@xbpasia.com</t>
  </si>
  <si>
    <t>2016-396</t>
  </si>
  <si>
    <t>Lexicode2023</t>
  </si>
  <si>
    <t>LGC AUTOMOTIVE SERVICES INC</t>
  </si>
  <si>
    <t>MA ROXAS HIGHWAY	 CLARK FREEPORT ZONE</t>
  </si>
  <si>
    <t>2015-296</t>
  </si>
  <si>
    <t>Lasiclark10</t>
  </si>
  <si>
    <t>/uploads/file-1491618053815.bmp</t>
  </si>
  <si>
    <t>LINAHEIM CORPORATE SERVICES INC FORMERLY LINAHEIM PROPERTIES INC</t>
  </si>
  <si>
    <t>Cabigting</t>
  </si>
  <si>
    <t>Ghelou</t>
  </si>
  <si>
    <t>Mitchell Highway Old Coral St Francis St Western Avenue Ernest Street Hongkong Street Clark Freeport Zone Philippines</t>
  </si>
  <si>
    <t>ghelou.cabigting@linaheim.com</t>
  </si>
  <si>
    <t>0917-558-2180</t>
  </si>
  <si>
    <t>2008-036</t>
  </si>
  <si>
    <t>linaheim21</t>
  </si>
  <si>
    <t>LISBON PHIL INDUSTRIAL ESTATE INC</t>
  </si>
  <si>
    <t>Bulaon</t>
  </si>
  <si>
    <t>Andrei</t>
  </si>
  <si>
    <t>Herrera</t>
  </si>
  <si>
    <t>Accounting Associate</t>
  </si>
  <si>
    <t>Bldg 5415 CM Recto Highway Clark Freeport Zone Philippines</t>
  </si>
  <si>
    <t>andrei.bulaon@lisbon-philclark.com</t>
  </si>
  <si>
    <t>2016-304</t>
  </si>
  <si>
    <t>lisambbon01</t>
  </si>
  <si>
    <t>/uploads/file-1616399070612.png</t>
  </si>
  <si>
    <t>LOLA INES CATERING SERVICES</t>
  </si>
  <si>
    <t>De Las Alas</t>
  </si>
  <si>
    <t>Cristine</t>
  </si>
  <si>
    <t>Laurio</t>
  </si>
  <si>
    <t>Cashier</t>
  </si>
  <si>
    <t>Unit 1F1 and 2F Philexcel Business Center 9 Philexcel Business Park Inc M Roxas Highway Clark Freeport Zone Philippines</t>
  </si>
  <si>
    <t>elena_ramos6@yahoo.com</t>
  </si>
  <si>
    <t>2017-016</t>
  </si>
  <si>
    <t>LUBWELL CORPORATION</t>
  </si>
  <si>
    <t>7102 7103 civil aviation complex clark freeport zone clarkfield pampanga</t>
  </si>
  <si>
    <t>2014-097</t>
  </si>
  <si>
    <t>/uploads/file-1514957280233.jpg</t>
  </si>
  <si>
    <t>LUFTHANSA TECHNIK PHILIPPINES INC</t>
  </si>
  <si>
    <t>TENEZA</t>
  </si>
  <si>
    <t>JOSE ROGER</t>
  </si>
  <si>
    <t>B</t>
  </si>
  <si>
    <t>SECTION MANAGER</t>
  </si>
  <si>
    <t>Unit  6 and 7	 Bldg 7588 Airline Office Building	 Civil Aviation Complex	 Clark Freeport Zone Philippines</t>
  </si>
  <si>
    <t>roger.teneza@ltp.com.ph</t>
  </si>
  <si>
    <t>02-8559184</t>
  </si>
  <si>
    <t>2015-249</t>
  </si>
  <si>
    <t>MAG TRAVEL  TOURS INC</t>
  </si>
  <si>
    <t>LISING</t>
  </si>
  <si>
    <t>MANALASTAS</t>
  </si>
  <si>
    <t>Unit 6 Paviliion Mall 	 Philexcel	 Business Park	 Clark Freeport Zone</t>
  </si>
  <si>
    <t>peter@magtravelandtours.com</t>
  </si>
  <si>
    <t>2016-464</t>
  </si>
  <si>
    <t>/uploads/file-1494830167574.png</t>
  </si>
  <si>
    <t>MAGIC LINE CORPORATION</t>
  </si>
  <si>
    <t>Princess Anne</t>
  </si>
  <si>
    <t>Santos</t>
  </si>
  <si>
    <t>Bldg 5210 Lily Hill Street Gil Puyat Avenue Corner CM Recto Hi Way	 CSEZ	 Clarkfield 2030 Angeles City	 Pampanga</t>
  </si>
  <si>
    <t>hr@magiclinecorp.com</t>
  </si>
  <si>
    <t>2016-503</t>
  </si>
  <si>
    <t>/uploads/file-1606964984788.png</t>
  </si>
  <si>
    <t>MAGINAS SNACKHAUS</t>
  </si>
  <si>
    <t>DIZON</t>
  </si>
  <si>
    <t>MA. LUISA</t>
  </si>
  <si>
    <t>O.</t>
  </si>
  <si>
    <t>OWNER MANAGER</t>
  </si>
  <si>
    <t>malou_dizon5@yahoo.com</t>
  </si>
  <si>
    <t>2016-265</t>
  </si>
  <si>
    <t>MALOU FAMELA CUISINE</t>
  </si>
  <si>
    <t>REYES</t>
  </si>
  <si>
    <t>MARILOU</t>
  </si>
  <si>
    <t>MAGTOTO</t>
  </si>
  <si>
    <t>PHILEXCEL BUSINESS PARK	 MA ROXAS HIGHWAY	 CLARK FREEPORT ZONE PHILIPPINES</t>
  </si>
  <si>
    <t>mariloureyes049@gmail.com</t>
  </si>
  <si>
    <t>2016-281</t>
  </si>
  <si>
    <t>malou11173129</t>
  </si>
  <si>
    <t>/uploads/file-1497427165773.JPG</t>
  </si>
  <si>
    <t>MATAMIH AUTHENTIC KAPAMPANGAN CUISINE   GEN MDSE</t>
  </si>
  <si>
    <t>Rodriguez</t>
  </si>
  <si>
    <t>Celine</t>
  </si>
  <si>
    <t>Cayanan</t>
  </si>
  <si>
    <t>Corporate Treasurer</t>
  </si>
  <si>
    <t>Lot 1D along MA Roxas Highway	 E Jacinto St	 Clark Freeport Zone	 Philippines</t>
  </si>
  <si>
    <t>matamihsales@gmail.com</t>
  </si>
  <si>
    <t>2014-070</t>
  </si>
  <si>
    <t>matamihsales2382</t>
  </si>
  <si>
    <t>/uploads/file-1620211682566.jpg</t>
  </si>
  <si>
    <t>MAYBANK PHILIPPINES INC</t>
  </si>
  <si>
    <t>Bartolome</t>
  </si>
  <si>
    <t>Maria Charlene</t>
  </si>
  <si>
    <t>Venturina</t>
  </si>
  <si>
    <t>Service head</t>
  </si>
  <si>
    <t>Pavillion 8 berthaphil 3 jose abad santos clark freeport zone</t>
  </si>
  <si>
    <t>mgventurina@maybank.com</t>
  </si>
  <si>
    <t>2016-072</t>
  </si>
  <si>
    <t>Financial</t>
  </si>
  <si>
    <t>/uploads/file-1533045253405.png</t>
  </si>
  <si>
    <t>MBT INTERNATIONAL FREIGHT FORWARDER INC</t>
  </si>
  <si>
    <t>Jeaneth</t>
  </si>
  <si>
    <t>Merluza</t>
  </si>
  <si>
    <t>Customer Service Assistant</t>
  </si>
  <si>
    <t>Room 3 Business Arcade 2 Philexcel Business Park Clark Freeport Zone Pampanga</t>
  </si>
  <si>
    <t>clarkoffice@mbtphilippines.com.ph</t>
  </si>
  <si>
    <t>0993-520-0731</t>
  </si>
  <si>
    <t>2017-039</t>
  </si>
  <si>
    <t>MDM SYSTEMS INC</t>
  </si>
  <si>
    <t>Felix</t>
  </si>
  <si>
    <t>Eleyna Francesca</t>
  </si>
  <si>
    <t>HR  Admin Officer</t>
  </si>
  <si>
    <t>1st Floor Business Center 7 PhilExcel Business Park MA Roxas HiWay Clark Freeport Zone Pampanga Philippines 2023</t>
  </si>
  <si>
    <t>efelix@mdmsystems.net</t>
  </si>
  <si>
    <t>2015-338</t>
  </si>
  <si>
    <t>mdmsystems0908</t>
  </si>
  <si>
    <t>/uploads/file-1510278557304.gif</t>
  </si>
  <si>
    <t>MECCA MFG PHILS INC</t>
  </si>
  <si>
    <t>CARREON</t>
  </si>
  <si>
    <t>ROWENA</t>
  </si>
  <si>
    <t>Bayanihan st Furniture Village Clark Freeport zone Clarkfield Pampanga</t>
  </si>
  <si>
    <t>meccamfghrd@gmail.com</t>
  </si>
  <si>
    <t>2017-088</t>
  </si>
  <si>
    <t>meccamfg25</t>
  </si>
  <si>
    <t>Furniture and Crafts</t>
  </si>
  <si>
    <t>/uploads/file-1578448840209.bmp</t>
  </si>
  <si>
    <t>MEDINA FLORES  OFRIN LAW OFFICES</t>
  </si>
  <si>
    <t>Eugie</t>
  </si>
  <si>
    <t>Recta</t>
  </si>
  <si>
    <t>Office Suite C1	 Berthaphil Clark Center	 Jose Abad Santos Avenue	 Clark Freeport Zone	 2023 Pampanga	 Philippines</t>
  </si>
  <si>
    <t>eugie@mfoclarklaw.com</t>
  </si>
  <si>
    <t>045-499-2137</t>
  </si>
  <si>
    <t>2016-195</t>
  </si>
  <si>
    <t>/uploads/file-1491555971516.png</t>
  </si>
  <si>
    <t>METRO CLARK INTERNATIONAL DEVELOPMENT CORPORATION</t>
  </si>
  <si>
    <t>CARLA</t>
  </si>
  <si>
    <t>TRINIDAD</t>
  </si>
  <si>
    <t>PURA KALAW COR RAMON MAGSAYSAY AVE</t>
  </si>
  <si>
    <t>mcidc1019@gmail.com</t>
  </si>
  <si>
    <t>2013-318</t>
  </si>
  <si>
    <t>mcidc2020</t>
  </si>
  <si>
    <t>METROJET ENGINEERING CLARK LIMITEDBRANCH OFFICE</t>
  </si>
  <si>
    <t>Bonifacio</t>
  </si>
  <si>
    <t>Babylyn</t>
  </si>
  <si>
    <t>N7727 Civil Aviation Complex Clark Freeport Zone Pampanga</t>
  </si>
  <si>
    <t>Babylyn.bonifacio@metrojet.com</t>
  </si>
  <si>
    <t>2017-068</t>
  </si>
  <si>
    <t>METROPOLITAN BANK AND TRUST COMPANY MBTC</t>
  </si>
  <si>
    <t>Melody</t>
  </si>
  <si>
    <t>Manalili</t>
  </si>
  <si>
    <t>Unit 24 The Pavilion Mall Philexcel Business Park MA Roxas Highway Clark Freeport Zone</t>
  </si>
  <si>
    <t>melody.castro@metrobank.com.ph</t>
  </si>
  <si>
    <t>045-4995411</t>
  </si>
  <si>
    <t>2016-363</t>
  </si>
  <si>
    <t>PACIFIC AIRSIDE SERVICES INC Formerly MIASCOR CLARK AVIATION SERVICES CORPORATION</t>
  </si>
  <si>
    <t>Lutchiang</t>
  </si>
  <si>
    <t>Jonas</t>
  </si>
  <si>
    <t>OIC</t>
  </si>
  <si>
    <t>Bldg 7541 Civil Aviation Complex CFZ Clarkfield Pampanga</t>
  </si>
  <si>
    <t>jonas.lutchiang@mhigrp.com</t>
  </si>
  <si>
    <t>2014-421</t>
  </si>
  <si>
    <t>/uploads/file-1512454913438.jpg</t>
  </si>
  <si>
    <t>MICA BY THE SEA COMPANY</t>
  </si>
  <si>
    <t>Singca</t>
  </si>
  <si>
    <t>Arnulfo</t>
  </si>
  <si>
    <t>G</t>
  </si>
  <si>
    <t>N4018 CENTENNIAL ROAD</t>
  </si>
  <si>
    <t>info@micabythesea.com</t>
  </si>
  <si>
    <t>045 499 8076</t>
  </si>
  <si>
    <t>2015-352</t>
  </si>
  <si>
    <t>mica4338</t>
  </si>
  <si>
    <t>/uploads/file-1528854615049.jpg</t>
  </si>
  <si>
    <t>MICROTEL GLOBAL SOLUTIONS INC</t>
  </si>
  <si>
    <t>Mislang</t>
  </si>
  <si>
    <t>Lorelie</t>
  </si>
  <si>
    <t>Nicolas</t>
  </si>
  <si>
    <t>HR Specialist</t>
  </si>
  <si>
    <t>Unit J Building 16 Philexcel Business Center Clark Freeport Zone Pampanga</t>
  </si>
  <si>
    <t>hr@mtglobalsolutionsinc.com</t>
  </si>
  <si>
    <t>2016-229</t>
  </si>
  <si>
    <t>mgsi101++</t>
  </si>
  <si>
    <t>/uploads/file-1491368616860.jpg</t>
  </si>
  <si>
    <t>MIMOSA CITYSCAPES INC</t>
  </si>
  <si>
    <t>Paz</t>
  </si>
  <si>
    <t>Galang</t>
  </si>
  <si>
    <t>Director of Human Resources</t>
  </si>
  <si>
    <t>Mimosa Drive Mimosa Leisure Estate Clark Freeport Zone 2023</t>
  </si>
  <si>
    <t>clarkhrdir@questhotelsandresorts.com</t>
  </si>
  <si>
    <t>045-599-8000</t>
  </si>
  <si>
    <t>2016-283</t>
  </si>
  <si>
    <t>MITSUTO OPTICAL ELECTRONIC INC</t>
  </si>
  <si>
    <t>MARYJANE</t>
  </si>
  <si>
    <t>SADAC</t>
  </si>
  <si>
    <t>HR ADMIN</t>
  </si>
  <si>
    <t>Bldg 16B Berthaphil 1 Jose Abad Santos Avenue Clark Pampanga</t>
  </si>
  <si>
    <t>s-jane@sz3du.com</t>
  </si>
  <si>
    <t>045-499-8041  -  09176710191</t>
  </si>
  <si>
    <t>2016-450</t>
  </si>
  <si>
    <t>MONTPAC GLOBAL SOLUTIONS INC</t>
  </si>
  <si>
    <t>Salunga</t>
  </si>
  <si>
    <t>Rizzi Anne</t>
  </si>
  <si>
    <t>Mesina</t>
  </si>
  <si>
    <t>Unit 18 A to C PhilExcel Business Park M Roxas Highway Clarkfreeport Zone Angeles City Pampanga</t>
  </si>
  <si>
    <t>hradmin@montpac.com</t>
  </si>
  <si>
    <t>2015-250</t>
  </si>
  <si>
    <t>mgsi2006</t>
  </si>
  <si>
    <t>Accounting BPO</t>
  </si>
  <si>
    <t>/uploads/file-1490922994943.jpg</t>
  </si>
  <si>
    <t>MSIC TRANSPORTATION INC</t>
  </si>
  <si>
    <t>MENDEZ</t>
  </si>
  <si>
    <t>ROXANNE</t>
  </si>
  <si>
    <t>MANINANG</t>
  </si>
  <si>
    <t>UNIT 5 THE PAVILION MALL PHILEXCEL BUSINESS PARK MA ROXAS HIGHWAY CLARK FREEPORT ZONE PHILIPPINES</t>
  </si>
  <si>
    <t>r.maninang@europcar.com.ph</t>
  </si>
  <si>
    <t>2016-445</t>
  </si>
  <si>
    <t>europcar@123</t>
  </si>
  <si>
    <t>MSK GROUP WORK CLARK INC</t>
  </si>
  <si>
    <t>Bautista</t>
  </si>
  <si>
    <t>Sarah</t>
  </si>
  <si>
    <t>Lisbo</t>
  </si>
  <si>
    <t>Creek Side Road Clark Freeport Zone Philippines</t>
  </si>
  <si>
    <t>sarahbautista093012@yahoo.com.ph</t>
  </si>
  <si>
    <t>2016-422</t>
  </si>
  <si>
    <t>mskclark</t>
  </si>
  <si>
    <t>MUSTANG SECURITY AGENCY INC</t>
  </si>
  <si>
    <t>Capati</t>
  </si>
  <si>
    <t>John Lowrence</t>
  </si>
  <si>
    <t>Branch Admin Manager</t>
  </si>
  <si>
    <t>UNIT 1A3 PHILEXCEL BUSINESS PARK CLARK FREEPORT ZONE PAMPANGA</t>
  </si>
  <si>
    <t>jlowcapati@gmail.com</t>
  </si>
  <si>
    <t>2016-402</t>
  </si>
  <si>
    <t>TOA Global  Pampanga</t>
  </si>
  <si>
    <t>Mikaela Isabel</t>
  </si>
  <si>
    <t>Balboa</t>
  </si>
  <si>
    <t>PX Data Management Analytics and Projects Officer</t>
  </si>
  <si>
    <t>1C Philexcel Business Arcade 2 MA Roxas Highway Clark Freeport Zone 2009 Angeles City Pampanga</t>
  </si>
  <si>
    <t>mikaelaisabel.salunga@toaglobal.com</t>
  </si>
  <si>
    <t>2016-608</t>
  </si>
  <si>
    <t>Outsourced Accounting</t>
  </si>
  <si>
    <t>/uploads/file-1491525018295.jpg</t>
  </si>
  <si>
    <t>MY DRONE SERVICES CORP</t>
  </si>
  <si>
    <t>Mitchell</t>
  </si>
  <si>
    <t>Bryce</t>
  </si>
  <si>
    <t>Russell</t>
  </si>
  <si>
    <t>President and CEO</t>
  </si>
  <si>
    <t>Unit 33 IJ Philexcel Business Park MA Roxas Highway Clark Freeport Zone Pampanga</t>
  </si>
  <si>
    <t>bryce@mydroneservices.com</t>
  </si>
  <si>
    <t>-63 45 499 5443</t>
  </si>
  <si>
    <t>2016-473</t>
  </si>
  <si>
    <t>/uploads/file-1497321918739.jpg</t>
  </si>
  <si>
    <t>NARDA'S TRADING CORPORATION</t>
  </si>
  <si>
    <t>2016-222</t>
  </si>
  <si>
    <t>NATIONWIDE AVIATION SUPPORT SERVICES INC</t>
  </si>
  <si>
    <t>Buck</t>
  </si>
  <si>
    <t>Dapinagan</t>
  </si>
  <si>
    <t>Hangar 7230 Diosdado Macapagal International Airport Clark Special Economic Zone Clarkfield Pampanga</t>
  </si>
  <si>
    <t>info@nasserhandling.ph</t>
  </si>
  <si>
    <t>632 852 4340</t>
  </si>
  <si>
    <t>2016-612</t>
  </si>
  <si>
    <t>NEFULDA DE LEON DENTAL CLINIC</t>
  </si>
  <si>
    <t>2015-097</t>
  </si>
  <si>
    <t>DINGDONG2018</t>
  </si>
  <si>
    <t>NICE LOGISTICS AND BUSINESS PARK CO. (FORMERLY NICE APPAREL LTD. CO.)</t>
  </si>
  <si>
    <t>SARAH JANE</t>
  </si>
  <si>
    <t>ANGELES</t>
  </si>
  <si>
    <t>ADMIN. OFFICER</t>
  </si>
  <si>
    <t>NICELOGISTICS2016@gmail.com</t>
  </si>
  <si>
    <t>499-0626</t>
  </si>
  <si>
    <t>2017-001</t>
  </si>
  <si>
    <t>GROSPELITO05</t>
  </si>
  <si>
    <t>/uploads/file-1494483307630.png</t>
  </si>
  <si>
    <t>NIPPON EXPRESS PHILIPPINES CORPORATION</t>
  </si>
  <si>
    <t>ROMEL</t>
  </si>
  <si>
    <t>VILLACORTA</t>
  </si>
  <si>
    <t>ASST  MANAGER</t>
  </si>
  <si>
    <t>Bldg 47 Philexcel Business Park MA Roxas Highway Clark Freeport Zone Philippines</t>
  </si>
  <si>
    <t>romel.punzalan@nipponexpress.com</t>
  </si>
  <si>
    <t>2015-278</t>
  </si>
  <si>
    <t>NISSIN TRANSPORT PHILIPPINES CORPORATION</t>
  </si>
  <si>
    <t>RIO</t>
  </si>
  <si>
    <t>PROCESSOR</t>
  </si>
  <si>
    <t>509 5F Clark Center 07 Berthaphil Clark Center Jose Aband Santos Ave Clark Freeport Zone Philippines</t>
  </si>
  <si>
    <t>rio@nissin.com.ph</t>
  </si>
  <si>
    <t>2016-567</t>
  </si>
  <si>
    <t>NOCHII PHILIPPINES CORPORATION</t>
  </si>
  <si>
    <t>Delfin</t>
  </si>
  <si>
    <t>Lee Ann</t>
  </si>
  <si>
    <t>Serrano</t>
  </si>
  <si>
    <t>Unit 4B Ground Floor  Clark  Center 11 Berthaphil Clark Center Jose Abad Santos Ave Clark Freeport Zone Pampanga</t>
  </si>
  <si>
    <t>lee@cctalent.global</t>
  </si>
  <si>
    <t>2016-367</t>
  </si>
  <si>
    <t>HRlee@Admin1102!</t>
  </si>
  <si>
    <t>Web and Software Development</t>
  </si>
  <si>
    <t>/uploads/file-1494395571915.jpg</t>
  </si>
  <si>
    <t>NORTHPOINT GLOBAL SOLUTIONS, INC.</t>
  </si>
  <si>
    <t>2016-235</t>
  </si>
  <si>
    <t>NORTHWALK CLARK INC</t>
  </si>
  <si>
    <t>Nario</t>
  </si>
  <si>
    <t>Aeron</t>
  </si>
  <si>
    <t>paul</t>
  </si>
  <si>
    <t>aom</t>
  </si>
  <si>
    <t>No 8 MA Roxas Highway Clark freeport Zone</t>
  </si>
  <si>
    <t>nwc.admn.shi2021@gmail.com</t>
  </si>
  <si>
    <t>2016-414</t>
  </si>
  <si>
    <t>leasing</t>
  </si>
  <si>
    <t>NTLIVE INCORPORATED</t>
  </si>
  <si>
    <t>Marimar</t>
  </si>
  <si>
    <t>De Roxas</t>
  </si>
  <si>
    <t>N1471 Rio Grande De Pampanga Cor Abacan Sts Clark Freeport Pampanga Philippines 2023</t>
  </si>
  <si>
    <t>ntli_project@hotmail.com</t>
  </si>
  <si>
    <t>045-499 5599</t>
  </si>
  <si>
    <t>2015-198</t>
  </si>
  <si>
    <t>ForestNTLive2016</t>
  </si>
  <si>
    <t>/uploads/file-1496624712536.jpg</t>
  </si>
  <si>
    <t>NUESMART INC</t>
  </si>
  <si>
    <t>Canivel</t>
  </si>
  <si>
    <t>Kristine</t>
  </si>
  <si>
    <t>Unit MNO Philexcel Business Park MA Roxas Highway CFZ Angeles City 2009 Philippines</t>
  </si>
  <si>
    <t>kristine@nuesmart.com</t>
  </si>
  <si>
    <t>2016-344</t>
  </si>
  <si>
    <t>/uploads/file-1523861536493.JPG</t>
  </si>
  <si>
    <t>NUTRIEXCHANGE FOOD CORP</t>
  </si>
  <si>
    <t>Sophia</t>
  </si>
  <si>
    <t>Loanzon</t>
  </si>
  <si>
    <t>ADMINASST</t>
  </si>
  <si>
    <t>N64106413 MA  ROXAS HIWAY CLARKFREEPORT ZONE</t>
  </si>
  <si>
    <t>sophialoanzon.27@gmail.com</t>
  </si>
  <si>
    <t>0926-388-9694</t>
  </si>
  <si>
    <t>2016-237</t>
  </si>
  <si>
    <t>OAK LEATHER CLARK INC</t>
  </si>
  <si>
    <t>Tumangan</t>
  </si>
  <si>
    <t>Ma Delapaz</t>
  </si>
  <si>
    <t>Javier</t>
  </si>
  <si>
    <t>ADMINFINANCE ASSOCIATE</t>
  </si>
  <si>
    <t>Bldg 7357 Main Zone bounded by G Puyat Avenue and A Soriano Sr Street Clark Freeport Zone Philippines</t>
  </si>
  <si>
    <t>mjt.oakleatherclark@gmail.com</t>
  </si>
  <si>
    <t>045-4993378</t>
  </si>
  <si>
    <t>2016-269</t>
  </si>
  <si>
    <t>olci2018</t>
  </si>
  <si>
    <t>/uploads/file-1491270378858.png</t>
  </si>
  <si>
    <t>OFFICE BEACON PHILIPPINES INC</t>
  </si>
  <si>
    <t>Pascual</t>
  </si>
  <si>
    <t>Maritina</t>
  </si>
  <si>
    <t>Decino</t>
  </si>
  <si>
    <t>1F3 PhilExcel Business Center 10	PhilExcel Business Park MA Roxas Highway Clark Freeport Zone</t>
  </si>
  <si>
    <t>mpascual@officebeacon.com</t>
  </si>
  <si>
    <t>2016-582</t>
  </si>
  <si>
    <t>ferdztinz7</t>
  </si>
  <si>
    <t>/uploads/file-1493888006583.jpg</t>
  </si>
  <si>
    <t>OMNI AVIATION CORPORATION</t>
  </si>
  <si>
    <t>Magat</t>
  </si>
  <si>
    <t>Jefferson</t>
  </si>
  <si>
    <t>Licup</t>
  </si>
  <si>
    <t>HRMD Operations Officer</t>
  </si>
  <si>
    <t>Omni Aviation Complex	 Manuel A. Roxas Hi-way	 Clark Freeport Zone	 Clarkfield	 Pampanga.</t>
  </si>
  <si>
    <t>careers@omniaviation.com</t>
  </si>
  <si>
    <t>(045) 499 - 6664/ 0917 - 650 - 7693</t>
  </si>
  <si>
    <t>2016-053</t>
  </si>
  <si>
    <t>Airline Training Academy</t>
  </si>
  <si>
    <t>/uploads/file-1498887256272.png</t>
  </si>
  <si>
    <t>OMNI INTERNATIONAL CONSULTANTS INC</t>
  </si>
  <si>
    <t>Dranreb</t>
  </si>
  <si>
    <t>Pavilion 06B Berthaphil Clark Center J Abad Santos Ave Clark Pampanga</t>
  </si>
  <si>
    <t>dlaxamana@omnibrokers.co</t>
  </si>
  <si>
    <t>2015-390</t>
  </si>
  <si>
    <t>ONCHAI SHABU SHABU RESTAURANT CORP FORMERLY ONCHAI SHABUYAKI RESTAURANT</t>
  </si>
  <si>
    <t>Flores</t>
  </si>
  <si>
    <t>Cathrine Irish</t>
  </si>
  <si>
    <t>Pecson</t>
  </si>
  <si>
    <t>Units 44D and 45A CFZ Regency Park Jose Abad Santos Avenue Clark Freeport Zone Philippines</t>
  </si>
  <si>
    <t>florescathrineirish@gmail.com</t>
  </si>
  <si>
    <t>0947-875-7550</t>
  </si>
  <si>
    <t>2016-390</t>
  </si>
  <si>
    <t>OPTIMAL OUTSOURCING CORP</t>
  </si>
  <si>
    <t>Ana Maria</t>
  </si>
  <si>
    <t>Uy</t>
  </si>
  <si>
    <t>Room 78 Business Arcade 3 Philexcel Business Park Clarkfield Pampanga</t>
  </si>
  <si>
    <t>ana@navigatornetwork.com.au</t>
  </si>
  <si>
    <t>045 599 6199</t>
  </si>
  <si>
    <t>2016-595</t>
  </si>
  <si>
    <t>OPO123</t>
  </si>
  <si>
    <t>/uploads/file-1492482531705.png</t>
  </si>
  <si>
    <t>ORIGO BPO PHILS LIMITED INC</t>
  </si>
  <si>
    <t>Gacho</t>
  </si>
  <si>
    <t>Jory</t>
  </si>
  <si>
    <t>Pamatmat</t>
  </si>
  <si>
    <t>Sr Manager  HR</t>
  </si>
  <si>
    <t>Clark Center 10 Berthaphil Clark Centre Jose Abad Santos Avenue Clark Free Port Zone</t>
  </si>
  <si>
    <t>hr@origobpo.com</t>
  </si>
  <si>
    <t>045-499-3335</t>
  </si>
  <si>
    <t>2016-027</t>
  </si>
  <si>
    <t>/uploads/file-1649141358071.jfif</t>
  </si>
  <si>
    <t>OUR LADY OF MT CARMEL MEDICAL CENTER  CLARK INC</t>
  </si>
  <si>
    <t>Rustia</t>
  </si>
  <si>
    <t>Guzon</t>
  </si>
  <si>
    <t>Lot 4 Ninoy Aquino Avenue Clark Freeport Zone Philippines 2023</t>
  </si>
  <si>
    <t>yanarustiahr@gmail.com</t>
  </si>
  <si>
    <t>2016-442</t>
  </si>
  <si>
    <t>@Olmcmc01</t>
  </si>
  <si>
    <t>Hospital</t>
  </si>
  <si>
    <t>/uploads/file-1657099923662.png</t>
  </si>
  <si>
    <t>OUTBACK FIVE STAR CLARK PHILIPPINES INC</t>
  </si>
  <si>
    <t>Roque</t>
  </si>
  <si>
    <t>Maricel</t>
  </si>
  <si>
    <t>Bldg N2827 Bayanihan St Clark Freeport Zone Pampanga</t>
  </si>
  <si>
    <t>m.roque@ofscpi.com</t>
  </si>
  <si>
    <t>045- 499 8156 or 8165 loc 1300</t>
  </si>
  <si>
    <t>2016-336</t>
  </si>
  <si>
    <t>outback2017</t>
  </si>
  <si>
    <t>/uploads/file-1491793745956.jpg</t>
  </si>
  <si>
    <t>OWENS ASIA INC</t>
  </si>
  <si>
    <t>Espino</t>
  </si>
  <si>
    <t>Gilda</t>
  </si>
  <si>
    <t>San Jose</t>
  </si>
  <si>
    <t>One West Aeropark Unit 705 55 Gatwick Gateway Global Gateway Logistics City Clark Freeport Zone  Philippines</t>
  </si>
  <si>
    <t>gespino@owensasia.com</t>
  </si>
  <si>
    <t>2014-443</t>
  </si>
  <si>
    <t>cnYIfi$b$48bp7U</t>
  </si>
  <si>
    <t>OXFORD DISTRIBUTIONS INCORPORATED</t>
  </si>
  <si>
    <t>Yao</t>
  </si>
  <si>
    <t>Jorinda</t>
  </si>
  <si>
    <t>Yu</t>
  </si>
  <si>
    <t>VP for Operations</t>
  </si>
  <si>
    <t>Room 9 Philexcel Business Arcade 1 Philexcel Business Park MA Roxas Highway Clark Freeport Zone</t>
  </si>
  <si>
    <t>jorinda.yao@oxford.ph</t>
  </si>
  <si>
    <t>02 85553333</t>
  </si>
  <si>
    <t>2014-261</t>
  </si>
  <si>
    <t>Oxford2021</t>
  </si>
  <si>
    <t>/uploads/file-1494830243628.JPG</t>
  </si>
  <si>
    <t>PALECEK IMPORTS INC</t>
  </si>
  <si>
    <t>Pamela</t>
  </si>
  <si>
    <t>4021A Centennial Road	 Clark Freeport	 Clarkfield	 Pampanga</t>
  </si>
  <si>
    <t>pamg@palecek.com</t>
  </si>
  <si>
    <t>599 3300</t>
  </si>
  <si>
    <t>2016-455</t>
  </si>
  <si>
    <t>Showroom</t>
  </si>
  <si>
    <t>PANALPINA WORLD TRANSPORT PHILS INC</t>
  </si>
  <si>
    <t>Hajji</t>
  </si>
  <si>
    <t>Territory Manager</t>
  </si>
  <si>
    <t>Room 9 Business Center 1 Philexcel Clark Field Pampanga</t>
  </si>
  <si>
    <t>hajji.galang@panalpina.com</t>
  </si>
  <si>
    <t>045 4990455</t>
  </si>
  <si>
    <t>2014-346</t>
  </si>
  <si>
    <t>PAPAS GOOD BOY PIZZA INC</t>
  </si>
  <si>
    <t>dela rosa</t>
  </si>
  <si>
    <t>resty</t>
  </si>
  <si>
    <t>lopez</t>
  </si>
  <si>
    <t>store supervisor</t>
  </si>
  <si>
    <t>Cornerstone Building Berthaphil II Compound Clark Freeport Zone Philippines</t>
  </si>
  <si>
    <t>gghrnndz@yahoo.com</t>
  </si>
  <si>
    <t>2014-338</t>
  </si>
  <si>
    <t>PARIS CITY CAFE CORPORATION GUSTAV</t>
  </si>
  <si>
    <t>CARLOS</t>
  </si>
  <si>
    <t>JOHNNA</t>
  </si>
  <si>
    <t>Lot 2B bounded by MA Roxas Highway and E Jacinto Street Clark Freeport Zone Philippines</t>
  </si>
  <si>
    <t>jona2_prescripto@yahoo.com</t>
  </si>
  <si>
    <t>2016-098</t>
  </si>
  <si>
    <t>PATHWALKER INDUSTRIES CORP</t>
  </si>
  <si>
    <t>Padiernos</t>
  </si>
  <si>
    <t>Ronald</t>
  </si>
  <si>
    <t>Chairman</t>
  </si>
  <si>
    <t>Stall 23 Lilly Hill Plaza CM Recto Hway Clark Freeport Zone</t>
  </si>
  <si>
    <t>rsp@outlook.ph</t>
  </si>
  <si>
    <t>2016-446</t>
  </si>
  <si>
    <t>Prae2019!</t>
  </si>
  <si>
    <t>Energy RD</t>
  </si>
  <si>
    <t>PEREGRINE DEVELOPMENT INTERNATIONAL, INC. (I)</t>
  </si>
  <si>
    <t>GENALYN</t>
  </si>
  <si>
    <t>ORQUIA</t>
  </si>
  <si>
    <t>HR AND ADMIN MANAGER</t>
  </si>
  <si>
    <t>gcastro@peregrinedc.com</t>
  </si>
  <si>
    <t>045 4991103</t>
  </si>
  <si>
    <t>2014-345</t>
  </si>
  <si>
    <t>gcastro1213</t>
  </si>
  <si>
    <t>PERFORMANCE SOFTWARE PHILIPPINES CORPORATION</t>
  </si>
  <si>
    <t>Jonathan KIm</t>
  </si>
  <si>
    <t>Changcoco</t>
  </si>
  <si>
    <t>Accountant</t>
  </si>
  <si>
    <t>Unit 5 GF Clark Center 11 Berthaphil III Jose Abad Santos Ave Clark Freeport Zone Pampanga</t>
  </si>
  <si>
    <t>kim.pineda@psware.com</t>
  </si>
  <si>
    <t>2016-285</t>
  </si>
  <si>
    <t>Psware2016285</t>
  </si>
  <si>
    <t>/uploads/file-1494395772063.png</t>
  </si>
  <si>
    <t>PETRON CORPORATION MANAGEMENT CONTRACT WITH WACHOVIA REALTY  DEVT CORP</t>
  </si>
  <si>
    <t>Moreno</t>
  </si>
  <si>
    <t>Justin Raynier</t>
  </si>
  <si>
    <t>Vitug</t>
  </si>
  <si>
    <t>Area Sales Executive</t>
  </si>
  <si>
    <t>GGLC Property Clark Angeles Pampanga</t>
  </si>
  <si>
    <t>jvmoreno@petron.com</t>
  </si>
  <si>
    <t>0917 567 3245</t>
  </si>
  <si>
    <t>2016-610</t>
  </si>
  <si>
    <t>PHILEXCEL BUSINESS PARK, INC.</t>
  </si>
  <si>
    <t>Marites</t>
  </si>
  <si>
    <t>mcunanan@philexcel.com</t>
  </si>
  <si>
    <t>045 599 2135 / 3166 local 111</t>
  </si>
  <si>
    <t>2015-174</t>
  </si>
  <si>
    <t>PHILIPPE GADGETS  AND ACCESSORIES INC</t>
  </si>
  <si>
    <t>Castaneda</t>
  </si>
  <si>
    <t>Mary Grace</t>
  </si>
  <si>
    <t>Sagun</t>
  </si>
  <si>
    <t>HRAD Supervisor</t>
  </si>
  <si>
    <t>ROOM 9 PHILEXCEL BUSINESS CENTER 2 PHILEXCEL BUSINESS PARK MROXAS HIGHWAY CLARK FREE PORT ZONE</t>
  </si>
  <si>
    <t>marygracescastaneda@philippegadgets.com</t>
  </si>
  <si>
    <t>2017-002</t>
  </si>
  <si>
    <t>Pgahrad</t>
  </si>
  <si>
    <t>Selling</t>
  </si>
  <si>
    <t>PHILIPPINE ACADEMY FOR AVIATION TRAINING INC dbu CAE PHILIPPINES</t>
  </si>
  <si>
    <t>Manuel</t>
  </si>
  <si>
    <t>John William</t>
  </si>
  <si>
    <t>Villaroman</t>
  </si>
  <si>
    <t>HR Business Partner I</t>
  </si>
  <si>
    <t>CM Recto Highway corner Kalaw Street</t>
  </si>
  <si>
    <t>caeph-hr@cae.com</t>
  </si>
  <si>
    <t>2016-502</t>
  </si>
  <si>
    <t>/uploads/file-1496721580658.jpg</t>
  </si>
  <si>
    <t>PHILIPPINE AIRPORT GROUND SUPPORT SOLUTIONS INC PAGSS</t>
  </si>
  <si>
    <t>Andan</t>
  </si>
  <si>
    <t>Ernie Rose</t>
  </si>
  <si>
    <t>Station ManagerCRK</t>
  </si>
  <si>
    <t>AO18 PASSENGER TERMINAL BLDG CLARK CIVIL AVIATION COMPLEX CFZ PHILIPPINES</t>
  </si>
  <si>
    <t>e_alcantara@pagss.com</t>
  </si>
  <si>
    <t>2016-075</t>
  </si>
  <si>
    <t>PHILEXPORT R3</t>
  </si>
  <si>
    <t>Yolanda</t>
  </si>
  <si>
    <t>Dinio</t>
  </si>
  <si>
    <t>Executive Director</t>
  </si>
  <si>
    <t>Deco Central Bldg N3679 CM Recto Highway</t>
  </si>
  <si>
    <t>philexport_region3@yahoo.com.ph</t>
  </si>
  <si>
    <t>599-6214</t>
  </si>
  <si>
    <t>2017-030</t>
  </si>
  <si>
    <t>PHILIPPINE NATIONAL BANKCLARK BRANCH</t>
  </si>
  <si>
    <t>LANSANGAN</t>
  </si>
  <si>
    <t>HEINRICH</t>
  </si>
  <si>
    <t>PABALAN</t>
  </si>
  <si>
    <t>BRANCH HEAD</t>
  </si>
  <si>
    <t>Clark Center Two Building  Retail 04  05 Berthaphil III Clark Center JA Santos Avenue Clark Freeport Zone Philippines</t>
  </si>
  <si>
    <t>lansanganhp@pnb.com.ph</t>
  </si>
  <si>
    <t>045 599-2228</t>
  </si>
  <si>
    <t>2016-087</t>
  </si>
  <si>
    <t>Clark@2030</t>
  </si>
  <si>
    <t>PHILIPPINE SCIENCE HIGH SCHOOL II  CENTRAL LUZON CAMPUS</t>
  </si>
  <si>
    <t>Nedic</t>
  </si>
  <si>
    <t>Fresca</t>
  </si>
  <si>
    <t>Supervising Administrative Officer</t>
  </si>
  <si>
    <t>Lot 3B Lilly Hill Area bounded by CM Recto   Highway and Gil Puyat Avenue Clark Freeport Zone Philippines</t>
  </si>
  <si>
    <t>fsnedic@clc.pshs.edu.ph</t>
  </si>
  <si>
    <t>499-0136</t>
  </si>
  <si>
    <t>2014-270</t>
  </si>
  <si>
    <t>/uploads/file-1699320089002.png</t>
  </si>
  <si>
    <t>PHILIPPINE VETERANS BANK PVB</t>
  </si>
  <si>
    <t>Lastimoza</t>
  </si>
  <si>
    <t>Joy</t>
  </si>
  <si>
    <t>Gaviola</t>
  </si>
  <si>
    <t>Branch Operation Officer</t>
  </si>
  <si>
    <t>Along E Quirino Street cor Malago Street  Clark Freeport Zone Philippines</t>
  </si>
  <si>
    <t>clark@veteransbank.com.ph</t>
  </si>
  <si>
    <t>045-499-0008-045-599-6683</t>
  </si>
  <si>
    <t>2017-097</t>
  </si>
  <si>
    <t>/uploads/file-1516770366857.jpg</t>
  </si>
  <si>
    <t>PILIPINAS SHELL PETROLEUM CORPORATION</t>
  </si>
  <si>
    <t>Malabanan</t>
  </si>
  <si>
    <t>Mark</t>
  </si>
  <si>
    <t>Retail Territory  Manager</t>
  </si>
  <si>
    <t>mark@shell.com</t>
  </si>
  <si>
    <t>045-4990328</t>
  </si>
  <si>
    <t>2016-452</t>
  </si>
  <si>
    <t>PISHON CLARK PHILIPPINES INC</t>
  </si>
  <si>
    <t>Baque</t>
  </si>
  <si>
    <t>Haizel Valerie</t>
  </si>
  <si>
    <t>Lot 4 L Rivera Street corner Kudiaro Street Clark Freeport Zone  Mabalacat 2010 Pampanga</t>
  </si>
  <si>
    <t>hbaque.pishonclark@gmail.com</t>
  </si>
  <si>
    <t>045- 499 3052</t>
  </si>
  <si>
    <t>2016-210</t>
  </si>
  <si>
    <t>Pcpi2025!</t>
  </si>
  <si>
    <t>/uploads/file-1680658062050.jpg</t>
  </si>
  <si>
    <t>PITALICIOUS SHAWARMA &amp; FALAFEL INC.</t>
  </si>
  <si>
    <t>Olivia</t>
  </si>
  <si>
    <t>R</t>
  </si>
  <si>
    <t>joelivz2003@yahoo.com</t>
  </si>
  <si>
    <t>0917-5188805</t>
  </si>
  <si>
    <t>2015-125</t>
  </si>
  <si>
    <t>PLDT CLARK TELECOM INC</t>
  </si>
  <si>
    <t>MANZON</t>
  </si>
  <si>
    <t>ANNABELLE</t>
  </si>
  <si>
    <t>EXEC  ADMIN ASSIST</t>
  </si>
  <si>
    <t>BLDG 5665 CORNER N AQUINO AVENUE  M A ROXAS HIGHWAY CLARKFIELD PAMPANGA</t>
  </si>
  <si>
    <t>ct-admanzon@pldt.com.ph</t>
  </si>
  <si>
    <t>045-5992000</t>
  </si>
  <si>
    <t>2015-151</t>
  </si>
  <si>
    <t>ClarkTel5665</t>
  </si>
  <si>
    <t>POLYMER LINK PHILS INC</t>
  </si>
  <si>
    <t>Raysa</t>
  </si>
  <si>
    <t>Bldg N12347 Clark Civil Aviation Complex IE5 SCTEX ClarkSouth Interchange Road Clark Freeport Zone Philippines</t>
  </si>
  <si>
    <t>r.dizon@polymerlink.net</t>
  </si>
  <si>
    <t>09553586984- 045 499-8341</t>
  </si>
  <si>
    <t>2016-507</t>
  </si>
  <si>
    <t>plp2017ching</t>
  </si>
  <si>
    <t>/uploads/file-1593740417507.jpeg</t>
  </si>
  <si>
    <t>POST10 WORLDWIDE INC</t>
  </si>
  <si>
    <t>Sarmiento</t>
  </si>
  <si>
    <t>Sherilyn</t>
  </si>
  <si>
    <t>Alejandro</t>
  </si>
  <si>
    <t>AdministratorFinance Manager</t>
  </si>
  <si>
    <t>Bldg 12 Berthaphil North II Manunggal St Clark Freeport Zone</t>
  </si>
  <si>
    <t>sheryl.sarmiento@post10worldwide.com</t>
  </si>
  <si>
    <t>2016-260</t>
  </si>
  <si>
    <t>post102017</t>
  </si>
  <si>
    <t>POTS ASIAN FLAVORS RESTAURANT, INC. (FORMERLY BP'S POTS RESTAURANT)</t>
  </si>
  <si>
    <t>2014-316</t>
  </si>
  <si>
    <t>PRECHART SOFTWARE, INC.</t>
  </si>
  <si>
    <t>CHUA</t>
  </si>
  <si>
    <t>OMAR</t>
  </si>
  <si>
    <t>HR/FINANCE OFFICER</t>
  </si>
  <si>
    <t>Suite 15	 Business Center II	 Philexcel Business Park Clark Freeport Zone Pampanga 2023</t>
  </si>
  <si>
    <t>omar@prechart.com</t>
  </si>
  <si>
    <t>0917 5167737</t>
  </si>
  <si>
    <t>2016-126</t>
  </si>
  <si>
    <t>Nescafe3in1</t>
  </si>
  <si>
    <t>PRIME AEGIS CLARK INC</t>
  </si>
  <si>
    <t>SAGAYA</t>
  </si>
  <si>
    <t>ERIN</t>
  </si>
  <si>
    <t>Pavilion 10 AB Berthaphil III	 Clark Center	 Jose Abad Santos Avenue	 Clark Freeport Zone 2023</t>
  </si>
  <si>
    <t>3esagaya@gmail.com</t>
  </si>
  <si>
    <t>2014-109</t>
  </si>
  <si>
    <t>PAC2023</t>
  </si>
  <si>
    <t>/uploads/file-1490935895160.jpg</t>
  </si>
  <si>
    <t>PROFESSIONAL BUSINESS OUTSOURCING GLOBAL LIMITED INC</t>
  </si>
  <si>
    <t>Alvaro</t>
  </si>
  <si>
    <t>Karlo Nicolas</t>
  </si>
  <si>
    <t>1F Clark Center 9  Berthaphil Pinatubo Avenue Clark Freeport Zone Pampanga Philippines 2023</t>
  </si>
  <si>
    <t>karlo.alvaro@pboglobal.com.au</t>
  </si>
  <si>
    <t>2016-259</t>
  </si>
  <si>
    <t>/uploads/file-1494575276070.JPG</t>
  </si>
  <si>
    <t>PROFITMASTER BPO INC</t>
  </si>
  <si>
    <t>MANALAC</t>
  </si>
  <si>
    <t>General Manager</t>
  </si>
  <si>
    <t>Unit A 3rd Floor Clark Center 8 Berthaphil Jose Abad Santos Avenue CFZ Pampanga</t>
  </si>
  <si>
    <t>michael.domingo@profitmaster.com.ph</t>
  </si>
  <si>
    <t>2015-295</t>
  </si>
  <si>
    <t>Today321</t>
  </si>
  <si>
    <t>/uploads/file-1490856381994.jpg</t>
  </si>
  <si>
    <t>PROJEXASIA CONSTRUCTION CORPORATION</t>
  </si>
  <si>
    <t>Muirhead</t>
  </si>
  <si>
    <t>George</t>
  </si>
  <si>
    <t>GM</t>
  </si>
  <si>
    <t>Unit 33B Philexcel Buss Park MA Roxas Highway Clark Freeport Zone Pampanga</t>
  </si>
  <si>
    <t>george.muirhead@projexasia.com</t>
  </si>
  <si>
    <t>045-624-0200</t>
  </si>
  <si>
    <t>2016-084</t>
  </si>
  <si>
    <t>PROTHROWBACKS GENERAL MERCHANDISECLARK BRANCH</t>
  </si>
  <si>
    <t>HARVISON</t>
  </si>
  <si>
    <t>ROSEN</t>
  </si>
  <si>
    <t>PUREGOLD DUTY FREE	 CM RECTO HIWAY COR KALAW ST	 CLARK	 PAMPANGA</t>
  </si>
  <si>
    <t>REEBOKSTORE@HOTMAIL.COM</t>
  </si>
  <si>
    <t>0908-884-9728</t>
  </si>
  <si>
    <t>2015-129</t>
  </si>
  <si>
    <t>/uploads/file-1496205428572.jpg</t>
  </si>
  <si>
    <t>HAESUNG DS PHILIPPINES INC FORMERLY PSMC PHILIPPINES INC</t>
  </si>
  <si>
    <t>Andrea Sophia</t>
  </si>
  <si>
    <t>Dayrit</t>
  </si>
  <si>
    <t>Bldg N2710 E Quirino St Clark Freeport Zone	 Clarkfield	 Pampanga</t>
  </si>
  <si>
    <t>andrea.sioco@haesungds.net</t>
  </si>
  <si>
    <t>045-598-1015</t>
  </si>
  <si>
    <t>2016-253</t>
  </si>
  <si>
    <t>poongsan</t>
  </si>
  <si>
    <t>SemiConductor</t>
  </si>
  <si>
    <t>/uploads/file-1762155128018.jpg</t>
  </si>
  <si>
    <t>PTT PHILIPPINES CORPORATION</t>
  </si>
  <si>
    <t>Vic Gea</t>
  </si>
  <si>
    <t>Basbas</t>
  </si>
  <si>
    <t>HR AssistantHRIS Associate</t>
  </si>
  <si>
    <t>Bldg N1798 Pol Tank Farm Chico St Clark Freeport Zone</t>
  </si>
  <si>
    <t>vicgea.delacruz@pttphils.com</t>
  </si>
  <si>
    <t>2016-532</t>
  </si>
  <si>
    <t>PTT@123</t>
  </si>
  <si>
    <t>/uploads/file-1501122276368.jpg</t>
  </si>
  <si>
    <t>PTT PHILIPPINES TRADING CORPORATION FORMERLY SUBIC BAY FUELS CO INC</t>
  </si>
  <si>
    <t>Fresco</t>
  </si>
  <si>
    <t>Charmie</t>
  </si>
  <si>
    <t>HR and Admin Supervisor</t>
  </si>
  <si>
    <t>charmie.fresco@pttphils.com</t>
  </si>
  <si>
    <t>2016-577</t>
  </si>
  <si>
    <t>/uploads/file-1501122729522.jpg</t>
  </si>
  <si>
    <t>ZHU</t>
  </si>
  <si>
    <t>JESSICA</t>
  </si>
  <si>
    <t>DEL PRADO</t>
  </si>
  <si>
    <t>OFFICE SECRETARY</t>
  </si>
  <si>
    <t>CM Recto Highway and MA Roxas Highway Clark Freeport Zone Philippines</t>
  </si>
  <si>
    <t>puntalwaproperties@gmail.com</t>
  </si>
  <si>
    <t>09451651088-09491812426</t>
  </si>
  <si>
    <t>2016-248</t>
  </si>
  <si>
    <t>PUNTALWA</t>
  </si>
  <si>
    <t>/uploads/file-1508745092271.jpg</t>
  </si>
  <si>
    <t>QATAR AIRWAYS COMPANY WITH LIMITED LIABILITY  PHILIPPINE BRANCH OFFICE</t>
  </si>
  <si>
    <t>Junio</t>
  </si>
  <si>
    <t>Jackielou</t>
  </si>
  <si>
    <t>Sales Manager</t>
  </si>
  <si>
    <t>Bldg 7549 Passenger Terminal Building A Bonifacio Avenue Clark Civil Avaition Complex Clark Freeport Zone</t>
  </si>
  <si>
    <t>crkkkqr@ph.qatarairways.com</t>
  </si>
  <si>
    <t>045 499 0488</t>
  </si>
  <si>
    <t>2016-504</t>
  </si>
  <si>
    <t>Qatar2018</t>
  </si>
  <si>
    <t>QUARTER LINE FOODS CORPORATION</t>
  </si>
  <si>
    <t>OLIVER</t>
  </si>
  <si>
    <t>Restaurant Manager</t>
  </si>
  <si>
    <t>Lot 6 Berthaphil Clark Center Berthaphil III Jose Abad Santos Ave Clark Freeport Zone Philippines</t>
  </si>
  <si>
    <t>oliverdizon2747@yahoo.com</t>
  </si>
  <si>
    <t>2016-138</t>
  </si>
  <si>
    <t>RADIOWORLD BROADCASTING CORPORATION</t>
  </si>
  <si>
    <t>Pamintuan Jr</t>
  </si>
  <si>
    <t>Renato</t>
  </si>
  <si>
    <t>Rundina</t>
  </si>
  <si>
    <t>Special Projects Officer</t>
  </si>
  <si>
    <t>Along CP Garcia St Clark Freeport Zone Philippines</t>
  </si>
  <si>
    <t>2015-113</t>
  </si>
  <si>
    <t>/uploads/file-1557974920540.png</t>
  </si>
  <si>
    <t>RAPAT INDUSTRIES PHIL INC</t>
  </si>
  <si>
    <t>Marian</t>
  </si>
  <si>
    <t>Macabali</t>
  </si>
  <si>
    <t>Building 19 Philexcel Business Park Clark Freeport Zone</t>
  </si>
  <si>
    <t>mmercado@rapat.com</t>
  </si>
  <si>
    <t>2015-003</t>
  </si>
  <si>
    <t>/uploads/file-1496197760907.png</t>
  </si>
  <si>
    <t>REDEL FOODS INC</t>
  </si>
  <si>
    <t>MALLARI</t>
  </si>
  <si>
    <t>NOEL</t>
  </si>
  <si>
    <t>SYHUAT</t>
  </si>
  <si>
    <t>Veterans Bank Bldg E Quirino Street Clarkfield Pampanga</t>
  </si>
  <si>
    <t>redelfoodsin12@gmail.com</t>
  </si>
  <si>
    <t>961-5473</t>
  </si>
  <si>
    <t>2014-020</t>
  </si>
  <si>
    <t>redelclark</t>
  </si>
  <si>
    <t>/uploads/file-1504766896724.jpg</t>
  </si>
  <si>
    <t>REGUS PHILIPPINES CENTRE NO 18 INC</t>
  </si>
  <si>
    <t>de la Cruz</t>
  </si>
  <si>
    <t>Karen Ann</t>
  </si>
  <si>
    <t>Community Sales Manager</t>
  </si>
  <si>
    <t>5F Clark Centre 07Clark Centre Jose Abad Santos Avenue Clark Freeport Zone Pampanga Philippines</t>
  </si>
  <si>
    <t>Clark.ClarkCtr07@Regus.com</t>
  </si>
  <si>
    <t>045 598 7500</t>
  </si>
  <si>
    <t>2016-031</t>
  </si>
  <si>
    <t>REMY PARAS CANTEEN</t>
  </si>
  <si>
    <t>Diamsay</t>
  </si>
  <si>
    <t>Michael Paul</t>
  </si>
  <si>
    <t>PASCUA</t>
  </si>
  <si>
    <t>3rd Floor Factory 1 lot C4 CPIP M A Roxas Avenue Clark Freeport Zone Philippines</t>
  </si>
  <si>
    <t>mike_paul_jam@yahoo.com</t>
  </si>
  <si>
    <t>0917-585-0181</t>
  </si>
  <si>
    <t>2016-460</t>
  </si>
  <si>
    <t>RENEW AND REFRESH LAUNDRY SERVICES</t>
  </si>
  <si>
    <t>Rosa Viren</t>
  </si>
  <si>
    <t>Laundry Room  Admin Building Philexcel Apartments  MA Roxas Highway Philexcel Business Park Clark Freeport Zone</t>
  </si>
  <si>
    <t>renewandrefreshph@gmail.com</t>
  </si>
  <si>
    <t>2016-614</t>
  </si>
  <si>
    <t>RICHETEC INC</t>
  </si>
  <si>
    <t>Agapito</t>
  </si>
  <si>
    <t>Indira</t>
  </si>
  <si>
    <t>P</t>
  </si>
  <si>
    <t>Admin and Finance</t>
  </si>
  <si>
    <t>Room 8A Philexcel Business Park Inc M A Roxas Highway Clark Freeport Zone Philippines</t>
  </si>
  <si>
    <t>indir.agapito@richetecinc.com</t>
  </si>
  <si>
    <t>2014-464</t>
  </si>
  <si>
    <t>RIKKO HOMES II INC CLARK HOSTEL</t>
  </si>
  <si>
    <t>Josie</t>
  </si>
  <si>
    <t>BLDG 2041 NINOY AQUINO AVE M A ROXAS HIGHWAY CFZ PHILS</t>
  </si>
  <si>
    <t>josiecastro113@yahoo.com.ph</t>
  </si>
  <si>
    <t>2016-440</t>
  </si>
  <si>
    <t>RIKKO HOMES INC  PINATUBO STREET AREA</t>
  </si>
  <si>
    <t>2322D PINATUBO ST CLARK FREEPORT ZONE</t>
  </si>
  <si>
    <t>2015-178</t>
  </si>
  <si>
    <t>pinatubo1234</t>
  </si>
  <si>
    <t>RITZVILLE CORPORATION</t>
  </si>
  <si>
    <t>Cayago</t>
  </si>
  <si>
    <t>France Lorence</t>
  </si>
  <si>
    <t>EA to the President</t>
  </si>
  <si>
    <t>Malago St Clark Freeportz Zone</t>
  </si>
  <si>
    <t>ritzvillecorp@yahoo.com</t>
  </si>
  <si>
    <t>0916 692 4082</t>
  </si>
  <si>
    <t>2016-021</t>
  </si>
  <si>
    <t>RIWOO CORPORATION</t>
  </si>
  <si>
    <t>Stall 11  12 Philmade Building Lot 1  2 Corner Jose Abad Santos Avenue and E Quirino Street Clark Freeport Zone Philippines</t>
  </si>
  <si>
    <t>ivoglalma@hotmail.com</t>
  </si>
  <si>
    <t>2016-417</t>
  </si>
  <si>
    <t>ROBINSONS SUPERMARKET CORPORATION under the name Uncle Johns</t>
  </si>
  <si>
    <t>Maniquiz</t>
  </si>
  <si>
    <t>Princess Heidee</t>
  </si>
  <si>
    <t>Vinluan</t>
  </si>
  <si>
    <t>Cornerstore Bldg Berthaphil II Jose Abad Santos Ave</t>
  </si>
  <si>
    <t>Princess.Maniquiz@unclejohns.ph</t>
  </si>
  <si>
    <t>0918 927 5592</t>
  </si>
  <si>
    <t>2013-628</t>
  </si>
  <si>
    <t>ROBINSONS CONVENIENCE STORES INC III</t>
  </si>
  <si>
    <t>Alva</t>
  </si>
  <si>
    <t>Angela</t>
  </si>
  <si>
    <t>Berthaphil IIIClark Center 1	 Retail 1	 Jose Abad Santos Ave 2023	 Clark Freeport Zone	 Philippines</t>
  </si>
  <si>
    <t>angela.alva@ministop.com.ph</t>
  </si>
  <si>
    <t>2013-429</t>
  </si>
  <si>
    <t>ROCK PORT HEALTHCARE SUPPORT SERVICES</t>
  </si>
  <si>
    <t>Bermillo</t>
  </si>
  <si>
    <t>Villanueva</t>
  </si>
  <si>
    <t>marianb.rhss@gmail.com</t>
  </si>
  <si>
    <t>2016-407</t>
  </si>
  <si>
    <t>Rockport16</t>
  </si>
  <si>
    <t>RONDAYVU MANUFACTURING CORPORATION</t>
  </si>
  <si>
    <t>Marc Auden</t>
  </si>
  <si>
    <t>hradmin@rondayvumanufacturing.com</t>
  </si>
  <si>
    <t>(045) 499-0260</t>
  </si>
  <si>
    <t>2016-316</t>
  </si>
  <si>
    <t>ROYAL CARGO INC</t>
  </si>
  <si>
    <t>ESTACIO</t>
  </si>
  <si>
    <t>BISMARCK</t>
  </si>
  <si>
    <t>DIAZ</t>
  </si>
  <si>
    <t>Room 12 Philexcel Business Center 2 Philexcel Business Park MA Roxas Highway Clark Freeport Zone Philiipines</t>
  </si>
  <si>
    <t>Bismarck.Estacio@royalcargo.com</t>
  </si>
  <si>
    <t>2017-076</t>
  </si>
  <si>
    <t>RCI0119</t>
  </si>
  <si>
    <t>RUSTAN COFFEE CORPORATION</t>
  </si>
  <si>
    <t>Aquino</t>
  </si>
  <si>
    <t>Berthaphil III Clark Center Jose Abad santos Avenue Clark  Field Zone</t>
  </si>
  <si>
    <t>332_berthaphil@rustancoffee.ph</t>
  </si>
  <si>
    <t>2014-303</t>
  </si>
  <si>
    <t>SA SARALPH TOPSILOGAN</t>
  </si>
  <si>
    <t>Rhodora</t>
  </si>
  <si>
    <t>Siron</t>
  </si>
  <si>
    <t>Bldg. 2B Berthaphil Industrial Park	 Gil Puyat Avenue	 Clark Freeport Zone</t>
  </si>
  <si>
    <t>roque_dors@yahoo.com</t>
  </si>
  <si>
    <t>2016-261</t>
  </si>
  <si>
    <t>SALMON AND LEMON CATERING SERVICES</t>
  </si>
  <si>
    <t>DARIUS</t>
  </si>
  <si>
    <t>LACSON</t>
  </si>
  <si>
    <t>Philexcel Business Center 5 Philexcel Business Park Inc M Roxas HIghway Clark Freeport Zone Philippines</t>
  </si>
  <si>
    <t>darius.cunanan@gmail.com</t>
  </si>
  <si>
    <t>2016-012</t>
  </si>
  <si>
    <t>SALMON AND LEMON FOOD SERVICES</t>
  </si>
  <si>
    <t>Janairo</t>
  </si>
  <si>
    <t>Zenaida</t>
  </si>
  <si>
    <t>N</t>
  </si>
  <si>
    <t>Canteen 2 L and T International Group Philippines Inc A Bonifacio corner J Tinsay Clark Freeport Zone Mabalacat Pampanga</t>
  </si>
  <si>
    <t>naijanairo@yahoo.com</t>
  </si>
  <si>
    <t>0928 505 0244</t>
  </si>
  <si>
    <t>2016-317</t>
  </si>
  <si>
    <t>KH ELECTRON PHILS CORP FORMERLY SAMBON PE PHILS CORPORATION</t>
  </si>
  <si>
    <t>POQUIZ</t>
  </si>
  <si>
    <t>GERALDINE</t>
  </si>
  <si>
    <t>ZARATE</t>
  </si>
  <si>
    <t>HUMAN RESOURCE ASSISTANT</t>
  </si>
  <si>
    <t>5416 Claro M Recto Highway Clark Freeport Zone Pampanga</t>
  </si>
  <si>
    <t>hrd@khelectron.co.kr</t>
  </si>
  <si>
    <t>2017-052</t>
  </si>
  <si>
    <t>@spepcph123</t>
  </si>
  <si>
    <t>/uploads/file-1647222338871.jpg</t>
  </si>
  <si>
    <t>SCORP PHILIPPINES INC FORMERLY MOMENTUM DATA EASTPHILIPPINES INC</t>
  </si>
  <si>
    <t>Bundang</t>
  </si>
  <si>
    <t>Emelee Ann</t>
  </si>
  <si>
    <t>emelee.bundang@exelaonline.com</t>
  </si>
  <si>
    <t>2016-374</t>
  </si>
  <si>
    <t>Scorp2023</t>
  </si>
  <si>
    <t>SECOMP SOLUTIONS INC FORMERLY DANISH DELICATESSEN INC</t>
  </si>
  <si>
    <t>MEDIAVILLA</t>
  </si>
  <si>
    <t>ROSE</t>
  </si>
  <si>
    <t>1E1 CLARO M RECTO HIGHWAY CLARK FREEPORT ZONE</t>
  </si>
  <si>
    <t>2014-411</t>
  </si>
  <si>
    <t>SEMICONDUCTOR TEST SERVICES LLC</t>
  </si>
  <si>
    <t>Masangkay</t>
  </si>
  <si>
    <t>Jasmin</t>
  </si>
  <si>
    <t>Malate</t>
  </si>
  <si>
    <t>Room 1 Philexcel Business Center 2 MA Roxas Highway Clark Freeport Zone Philippines</t>
  </si>
  <si>
    <t>jmasangkay@semitestcorp.net</t>
  </si>
  <si>
    <t>045-499-2202</t>
  </si>
  <si>
    <t>2015-039</t>
  </si>
  <si>
    <t>SRCI Mfg Inc Formerly SEMIRECYCLING CO INC</t>
  </si>
  <si>
    <t>Albo</t>
  </si>
  <si>
    <t>Vice President</t>
  </si>
  <si>
    <t>Phase II Lot 1A Clark Premiere Industrial Park MA Roxas HIway Clark Freeport Zone Philippines</t>
  </si>
  <si>
    <t>srci@semirecycling.com</t>
  </si>
  <si>
    <t>045 599 6953</t>
  </si>
  <si>
    <t>2016-521</t>
  </si>
  <si>
    <t>srci2692</t>
  </si>
  <si>
    <t>Recycling</t>
  </si>
  <si>
    <t>/uploads/file-1491553704049.jpg</t>
  </si>
  <si>
    <t>SEO KWANG DEVT. CORP.</t>
  </si>
  <si>
    <t>Chang Hyun</t>
  </si>
  <si>
    <t>Ahn</t>
  </si>
  <si>
    <t>President/CEO</t>
  </si>
  <si>
    <t>jerica_aics@yahoo.com</t>
  </si>
  <si>
    <t>499-0850</t>
  </si>
  <si>
    <t>2015-399</t>
  </si>
  <si>
    <t>SERVICE RESOURCES INCORPORATED</t>
  </si>
  <si>
    <t>Ebuenga</t>
  </si>
  <si>
    <t>Kevin</t>
  </si>
  <si>
    <t>Encoder  Office Staff</t>
  </si>
  <si>
    <t>3rd Flr Parathird bldg Blk 11 Lot 23 First St New Balibago Angeles City</t>
  </si>
  <si>
    <t>hr3.clark@serviceresourcesinc.com</t>
  </si>
  <si>
    <t>045-458-1080</t>
  </si>
  <si>
    <t>2016-606</t>
  </si>
  <si>
    <t>kevin2014</t>
  </si>
  <si>
    <t>/uploads/file-1551334978633.jpg</t>
  </si>
  <si>
    <t>SESSCOPHILIPPINES CO</t>
  </si>
  <si>
    <t>Limin II</t>
  </si>
  <si>
    <t>Edghar</t>
  </si>
  <si>
    <t>Quinto</t>
  </si>
  <si>
    <t>Unit 8BC Philexcel Business Park MA Roxas Hiway CFZ Clarkfield Pampanga</t>
  </si>
  <si>
    <t>Edghar.limin@sessco.com</t>
  </si>
  <si>
    <t>045-499-3076 - -639322224416</t>
  </si>
  <si>
    <t>2015-094</t>
  </si>
  <si>
    <t>Sessco030614</t>
  </si>
  <si>
    <t>/uploads/file-1756880122200.png</t>
  </si>
  <si>
    <t>SHI CHENG FREIGHT FORWARDING CORPORATION</t>
  </si>
  <si>
    <t>Alla</t>
  </si>
  <si>
    <t>Aljun Jeff</t>
  </si>
  <si>
    <t>Juntilla</t>
  </si>
  <si>
    <t>shichengfreight@gmail.com</t>
  </si>
  <si>
    <t>2016-631</t>
  </si>
  <si>
    <t>SHI DAO LE CORPORATION</t>
  </si>
  <si>
    <t>DAISY</t>
  </si>
  <si>
    <t>NUQUI</t>
  </si>
  <si>
    <t>COMPANY REPRESENTATIVE</t>
  </si>
  <si>
    <t>Unit No 101102 Gihon Building Jose Abad Santos Avenue corner E Aguinaldo Street Clark Freeport Zone Philippines</t>
  </si>
  <si>
    <t>shidaolecorp@yahoo.com</t>
  </si>
  <si>
    <t>2016-505</t>
  </si>
  <si>
    <t>SHINYOUNG ENTERPRISE CORPORATION</t>
  </si>
  <si>
    <t>Tipay</t>
  </si>
  <si>
    <t>Jose Mari</t>
  </si>
  <si>
    <t>Rafanan</t>
  </si>
  <si>
    <t>44BC Regency Park Townhouses cor J Abad Santos Clark Freeport Zone</t>
  </si>
  <si>
    <t>tipay_josemari@yahoo.com.ph</t>
  </si>
  <si>
    <t>045-499-2177</t>
  </si>
  <si>
    <t>2016-622</t>
  </si>
  <si>
    <t>nathanfiona</t>
  </si>
  <si>
    <t>/uploads/file-1615084683849.jpg</t>
  </si>
  <si>
    <t>SHORE360 INC</t>
  </si>
  <si>
    <t>Senior HR Officer</t>
  </si>
  <si>
    <t>Unit2 2F Business Center 6	 Philexcel Business Park	 Ma Roxas Highway	 Clark Freeport	 Philippines</t>
  </si>
  <si>
    <t>raquel@shore360.com</t>
  </si>
  <si>
    <t>045 499 3268</t>
  </si>
  <si>
    <t>2016-359</t>
  </si>
  <si>
    <t>Shorefam360</t>
  </si>
  <si>
    <t>SICANGCO MENOR VILLANUEVA  CO CPAS</t>
  </si>
  <si>
    <t>Sicangco</t>
  </si>
  <si>
    <t>Mylene</t>
  </si>
  <si>
    <t>Salas</t>
  </si>
  <si>
    <t>Unit 10 7 Workplus Filinvest Mimosa and Leisure Clark Freeport Zone</t>
  </si>
  <si>
    <t>smv_clark@yahoo.com.ph</t>
  </si>
  <si>
    <t>2016-348</t>
  </si>
  <si>
    <t>SMVCo2022</t>
  </si>
  <si>
    <t>SILVER 88 MASSAGE CORP</t>
  </si>
  <si>
    <t>Santeno</t>
  </si>
  <si>
    <t>April</t>
  </si>
  <si>
    <t>Roxas</t>
  </si>
  <si>
    <t>Stall Nos 12 13  14 Second Floor Philmade Building Lot 1  2 corner Jose Abad Santos Avenue and E Quirino Street Clark Freeport Zone Philippines</t>
  </si>
  <si>
    <t>silver88massage@yahoo.com</t>
  </si>
  <si>
    <t>2016-469</t>
  </si>
  <si>
    <t>88Massage</t>
  </si>
  <si>
    <t>SILVER HERITAGE TECHNICAL SERVICES INC</t>
  </si>
  <si>
    <t>Malyn</t>
  </si>
  <si>
    <t>Blgd22	 Berthaphil 1 Industrial Park	 Jose Abad Santos Ave	 Clark Freeport Zone	 Pampanga 2023</t>
  </si>
  <si>
    <t>malyn.bonifacio@hatchasia.com</t>
  </si>
  <si>
    <t>2015-021</t>
  </si>
  <si>
    <t>T3chC3ntr3</t>
  </si>
  <si>
    <t>SIN YANG J.S. PHILS. INC.</t>
  </si>
  <si>
    <t>Ronaliza</t>
  </si>
  <si>
    <t>Arcilla</t>
  </si>
  <si>
    <t>Admin/Finance Manager</t>
  </si>
  <si>
    <t>Unit 101-A The Club Bldg.	 Clark Hills Village	 Abacan and Chico St</t>
  </si>
  <si>
    <t>sinyangjsphils@gmail.com</t>
  </si>
  <si>
    <t>2017-058</t>
  </si>
  <si>
    <t>sinyangjs2014</t>
  </si>
  <si>
    <t>/uploads/file-1496623367103.png</t>
  </si>
  <si>
    <t>SIRUS REALTY SERVICE PHILIPPINES INC</t>
  </si>
  <si>
    <t>Quiambao</t>
  </si>
  <si>
    <t>Rhodel</t>
  </si>
  <si>
    <t>Lot 287 along M A Roxas Highway Clark Freeport Zone Philippines</t>
  </si>
  <si>
    <t>rhodeq@gmail.com</t>
  </si>
  <si>
    <t>2016-552</t>
  </si>
  <si>
    <t>SITE GROUP HOLDINGS PTY LTD DOING BUSINESS UNDER THE NAME AND STYLE OF SITE SKILLS TRAINING CLARK FORMERLY AUSTRALIAN INTERNATIONAL TRAINING AND MANAGEMENT GROUP AITMG PTY LTD</t>
  </si>
  <si>
    <t>BALDONASA</t>
  </si>
  <si>
    <t>LIBERTY</t>
  </si>
  <si>
    <t>SAMPANG</t>
  </si>
  <si>
    <t>CENTENNIAL ROAD CLARK FREEPORT ZONE PAMPANGA</t>
  </si>
  <si>
    <t>sstclark_hrd@yahoo.com</t>
  </si>
  <si>
    <t>2015-124</t>
  </si>
  <si>
    <t>&amp;Stc8rd1032</t>
  </si>
  <si>
    <t>/uploads/file-1502092706075.jpg</t>
  </si>
  <si>
    <t>SKY ACE PETROLEUM STATION INC</t>
  </si>
  <si>
    <t>Cheryl</t>
  </si>
  <si>
    <t>Tayco</t>
  </si>
  <si>
    <t>MA Roxas Highway Clark Freeport Zone Pampanga</t>
  </si>
  <si>
    <t>sapspetron@gmail.com</t>
  </si>
  <si>
    <t>2016-459</t>
  </si>
  <si>
    <t>Petronclark#1</t>
  </si>
  <si>
    <t>SKY FREIGHT FORWARDERS INC</t>
  </si>
  <si>
    <t>Alfred Alexandrius</t>
  </si>
  <si>
    <t>MIS Manager</t>
  </si>
  <si>
    <t>Bldg 34A Philexcel Business Park M Roxas Highway Clark Freeport Zone Pampanga 2009 Philippines</t>
  </si>
  <si>
    <t>arguzman@skyfreight.com.ph</t>
  </si>
  <si>
    <t>2016-531</t>
  </si>
  <si>
    <t>Sfbi.1966</t>
  </si>
  <si>
    <t>SKYMIX READY CONCRETE INC</t>
  </si>
  <si>
    <t>Sucalit</t>
  </si>
  <si>
    <t>Cheryle</t>
  </si>
  <si>
    <t>Amores</t>
  </si>
  <si>
    <t>Clark Branch Officer</t>
  </si>
  <si>
    <t>Clark Branch Gil Puyat Avenue	 Clark Aviation Complex	 CFZ</t>
  </si>
  <si>
    <t>skymixrc_clark@yahoo.com</t>
  </si>
  <si>
    <t>2016-180</t>
  </si>
  <si>
    <t>SMK ELECTRONICS PHILS CORP</t>
  </si>
  <si>
    <t>Namalata</t>
  </si>
  <si>
    <t>Reny Boy</t>
  </si>
  <si>
    <t>Solomon</t>
  </si>
  <si>
    <t>GAHR Deputy Manager</t>
  </si>
  <si>
    <t>Lot C4 Clark Premier Industrial Park	 MA Roxas Highway	 Clark Freeport Zone	 Pampanga</t>
  </si>
  <si>
    <t>renyboy@smk.co.jp</t>
  </si>
  <si>
    <t>045-599-5780 loc 115</t>
  </si>
  <si>
    <t>2016-106</t>
  </si>
  <si>
    <t>SMKrec0405</t>
  </si>
  <si>
    <t>/uploads/file-1491527816933.jpg</t>
  </si>
  <si>
    <t>SOLFRUITS INC</t>
  </si>
  <si>
    <t>Macarayo</t>
  </si>
  <si>
    <t>Shara Krisna</t>
  </si>
  <si>
    <t>Arce</t>
  </si>
  <si>
    <t>Unit 33 M N O Philexcel Business Park MA Roxas Highway Clark Freeport Zone Pampanga</t>
  </si>
  <si>
    <t>shara@solfruits.com</t>
  </si>
  <si>
    <t>2015-382</t>
  </si>
  <si>
    <t>solfruits</t>
  </si>
  <si>
    <t>/uploads/file-1515458453716.png</t>
  </si>
  <si>
    <t>SOLID MASTER PLASTIC ENT CORP</t>
  </si>
  <si>
    <t>ABE</t>
  </si>
  <si>
    <t>MARY ANN</t>
  </si>
  <si>
    <t>SAVELLA</t>
  </si>
  <si>
    <t>7285 GAGABAN ST AND CM RECTO HIGHWAY CLARK FREE PORT ZONE PHILIPPINES</t>
  </si>
  <si>
    <t>maryannabe@yahoo.com</t>
  </si>
  <si>
    <t>2016-568</t>
  </si>
  <si>
    <t>SOMANG GLOBAL CLARK CORPORATION</t>
  </si>
  <si>
    <t>JUICO</t>
  </si>
  <si>
    <t>JECELYN</t>
  </si>
  <si>
    <t>CHICO ST ABACAN ST  E AGUINALDO ST CLARK FREEPORT ZONE PHILIPPINES</t>
  </si>
  <si>
    <t>hotelseoul1987@gmail.com</t>
  </si>
  <si>
    <t>-045- 499 3172</t>
  </si>
  <si>
    <t>2015-133</t>
  </si>
  <si>
    <t>SOMNIUM DEVELOPMENT CORPORATION</t>
  </si>
  <si>
    <t>CHRISTIAN</t>
  </si>
  <si>
    <t>Lot 2 Abacan  Quitangil  Streets	 Clark	 Pampanga</t>
  </si>
  <si>
    <t>somniumdevelopmentcorporation@gmail.com</t>
  </si>
  <si>
    <t>2015-351</t>
  </si>
  <si>
    <t>somnium0007</t>
  </si>
  <si>
    <t>Housing and Resort</t>
  </si>
  <si>
    <t>/uploads/file-1492590352155.png</t>
  </si>
  <si>
    <t>SONIMETRIX INC</t>
  </si>
  <si>
    <t>OROLFO</t>
  </si>
  <si>
    <t>KRISTINE ANNE</t>
  </si>
  <si>
    <t>MERCADO</t>
  </si>
  <si>
    <t>OFFICEACCOUNTS MANAGER</t>
  </si>
  <si>
    <t>7168 CLARO M RECTO HIWAY CLARK FREEPORT ZONE	 PAMPANGA</t>
  </si>
  <si>
    <t>sonimetrix@gmail.com</t>
  </si>
  <si>
    <t>045-499-3109</t>
  </si>
  <si>
    <t>2015-195</t>
  </si>
  <si>
    <t>Proverbs1211</t>
  </si>
  <si>
    <t>SOUTH EAST ASIAN AIRLINES SEAIR INTERNATIONAL INC</t>
  </si>
  <si>
    <t>Olazo</t>
  </si>
  <si>
    <t>Diana Mari</t>
  </si>
  <si>
    <t>Coronel</t>
  </si>
  <si>
    <t>Assistant HR Manager</t>
  </si>
  <si>
    <t>Hangar 7224 Clark Aviation Complex Clark Freeport Zone Pampanga</t>
  </si>
  <si>
    <t>dolazo@iag.aero</t>
  </si>
  <si>
    <t>2014-426</t>
  </si>
  <si>
    <t>HR-XO-2019</t>
  </si>
  <si>
    <t>SPANGLISH RESTAURANT</t>
  </si>
  <si>
    <t>Salvacion</t>
  </si>
  <si>
    <t>Katrina</t>
  </si>
  <si>
    <t>Robledo</t>
  </si>
  <si>
    <t>Unit 7 8 and 9  The Pavilion Mall Philexcel Business Park MA Roxas Highway Clark Freeport Zone Philippines</t>
  </si>
  <si>
    <t>spanglish.ph@gmail.com</t>
  </si>
  <si>
    <t>2015-363</t>
  </si>
  <si>
    <t>2014January09</t>
  </si>
  <si>
    <t>/uploads/file-1507217013696.png</t>
  </si>
  <si>
    <t>SPLICE TECH  LOGISTICS INC</t>
  </si>
  <si>
    <t>DangculosJr</t>
  </si>
  <si>
    <t>Apolinario</t>
  </si>
  <si>
    <t>Muyargas</t>
  </si>
  <si>
    <t>Production Manager</t>
  </si>
  <si>
    <t>Bldg 4 Berthaphil II South Bayanihan St Clark Freeport Zone Pampanga 2023 Philippines</t>
  </si>
  <si>
    <t>apolinario.dangculos@splicegroup.com</t>
  </si>
  <si>
    <t>2015-348</t>
  </si>
  <si>
    <t>splice1234</t>
  </si>
  <si>
    <t>STARBOARD MANPOWER SERVICES INC</t>
  </si>
  <si>
    <t>Michelle Anne</t>
  </si>
  <si>
    <t>Olavario</t>
  </si>
  <si>
    <t>Training and Development Officer</t>
  </si>
  <si>
    <t>107 CLARK WELCOME CENTER OFFICE SUITES BERTHAPHIL VIII COMPOUND SCTEX ROAD CLARK FREEPORT ZONE</t>
  </si>
  <si>
    <t>starboard.trainingndevelopment@gmail.com</t>
  </si>
  <si>
    <t>2017-013</t>
  </si>
  <si>
    <t>/uploads/file-1669883864830.png</t>
  </si>
  <si>
    <t>STMPI CORPORATION DOING BUSINESS UNDER THE NAME OF DUKE SOFTWARE DEVELOPMENT CENTER</t>
  </si>
  <si>
    <t>DE JESUS</t>
  </si>
  <si>
    <t>KRYSTEN ANNE JOYCE</t>
  </si>
  <si>
    <t>Unit 1 2F 2Workplus Filinvest Mimosa Leisure City  Montevista Villas  Acacia Drive  Mimosa Leisure Estate  Clark Freeport Zone  Pampanga</t>
  </si>
  <si>
    <t>kdejesus@dukemfg.com</t>
  </si>
  <si>
    <t>045-599-5855</t>
  </si>
  <si>
    <t>2015-090</t>
  </si>
  <si>
    <t>dsdc2020</t>
  </si>
  <si>
    <t>/uploads/file-1599095649998.jpg</t>
  </si>
  <si>
    <t>STOTSENBERG FUEL AND SERVICES CORPORATION</t>
  </si>
  <si>
    <t>ANNIE</t>
  </si>
  <si>
    <t>STA CRUZ</t>
  </si>
  <si>
    <t>ACCOUNTING STAFF</t>
  </si>
  <si>
    <t>MA ROXAS HIGHWAY CLARK FREEPORT ZONE ANGELES CITY PAMPANGA</t>
  </si>
  <si>
    <t>shellclark2011@gmail.com</t>
  </si>
  <si>
    <t>045 499-2310</t>
  </si>
  <si>
    <t>2017-085</t>
  </si>
  <si>
    <t>STOTSENBERG MEDICAL CENTER INC</t>
  </si>
  <si>
    <t>Jesy Joy</t>
  </si>
  <si>
    <t>SMCI BUILDING NINOY AQUINO AVENUE CLARK FREEPORT PAMPANGA</t>
  </si>
  <si>
    <t>stotsenbergmedicalcenterinc@yahoo.com</t>
  </si>
  <si>
    <t>045 499 0494</t>
  </si>
  <si>
    <t>2017-090</t>
  </si>
  <si>
    <t>/uploads/file-1494397529360.jpg</t>
  </si>
  <si>
    <t>SUBIC DUTY FREE SHOP INC MEAT PLUS CAFE</t>
  </si>
  <si>
    <t>ALDANA</t>
  </si>
  <si>
    <t>NATHACIA JENETH</t>
  </si>
  <si>
    <t>Unit 1B and 2 Ground Floor Northwalk Clark Complex Clark Freeport Zone</t>
  </si>
  <si>
    <t>nathaciaaldana.sdfsihrd@gmail.com</t>
  </si>
  <si>
    <t>2016-394</t>
  </si>
  <si>
    <t>/uploads/file-1565067785437.png</t>
  </si>
  <si>
    <t>SUCCOSO CAFETERIA</t>
  </si>
  <si>
    <t>GUTIERREZ</t>
  </si>
  <si>
    <t>MA FELISA</t>
  </si>
  <si>
    <t>MONTECILLO</t>
  </si>
  <si>
    <t>C1 Building Berthaphil Compound 1 Jose Abad Santos Ave Clark Freeport Zone Philippines</t>
  </si>
  <si>
    <t>felisagutierrez06@gmail.com</t>
  </si>
  <si>
    <t>2013-651</t>
  </si>
  <si>
    <t>Succoso2019</t>
  </si>
  <si>
    <t>SUM NARA CLARK INC</t>
  </si>
  <si>
    <t>kim</t>
  </si>
  <si>
    <t>il</t>
  </si>
  <si>
    <t>tae</t>
  </si>
  <si>
    <t>SUN VALLEY CLUB HOUSE T304 JOSE ABAD SANTOS AVE CLARK FREEPORT ZONE</t>
  </si>
  <si>
    <t>lg35763@naver.com</t>
  </si>
  <si>
    <t>0905-208-0002</t>
  </si>
  <si>
    <t>2016-506</t>
  </si>
  <si>
    <t>SUPERHAWK LOGISTICS INC</t>
  </si>
  <si>
    <t>Magto</t>
  </si>
  <si>
    <t>ODHR Manager</t>
  </si>
  <si>
    <t>Room 11B Philexcel Business Center</t>
  </si>
  <si>
    <t>heidi.salido@aspacphils.com.ph</t>
  </si>
  <si>
    <t>2017-096</t>
  </si>
  <si>
    <t>SUPEX JM CORPORATION</t>
  </si>
  <si>
    <t>Jessa Rica</t>
  </si>
  <si>
    <t>supexjmcorpgmailcom</t>
  </si>
  <si>
    <t>supexjmcorp@gmail.com</t>
  </si>
  <si>
    <t>2015-403</t>
  </si>
  <si>
    <t>SUTAFO VENTURES INC  SitNBull Clark Restaurant</t>
  </si>
  <si>
    <t>CABREROS</t>
  </si>
  <si>
    <t>ROSELYN</t>
  </si>
  <si>
    <t>LAUREDO</t>
  </si>
  <si>
    <t>Unit 18 19  20 The Pavillion Mall Philexcel Business Park MA Roxas Highway Clark Freeport Zone Philippines</t>
  </si>
  <si>
    <t>charliesrestaurantclark@gmail.com</t>
  </si>
  <si>
    <t>0926-348-9285</t>
  </si>
  <si>
    <t>2016-441</t>
  </si>
  <si>
    <t>SUTHERLAND GLOBAL SERVICES PHILIPPINES INC</t>
  </si>
  <si>
    <t>Rina Pauline</t>
  </si>
  <si>
    <t>Manese</t>
  </si>
  <si>
    <t>Associate Manager GEO HR Program HR</t>
  </si>
  <si>
    <t>rinapauline.serrano@sutherlandglobal.com</t>
  </si>
  <si>
    <t>02-4592900</t>
  </si>
  <si>
    <t>2016-423</t>
  </si>
  <si>
    <t>/uploads/file-1493262662932.png</t>
  </si>
  <si>
    <t>SYSCOM COMPUTER CENTER</t>
  </si>
  <si>
    <t>Kimberly</t>
  </si>
  <si>
    <t>Software Engineer</t>
  </si>
  <si>
    <t>Unit 1F9A Philexcel Business Center Park Clark Freeport Zone</t>
  </si>
  <si>
    <t>syscomtech247@yahoo.com</t>
  </si>
  <si>
    <t>2015-333</t>
  </si>
  <si>
    <t>SySCoM413</t>
  </si>
  <si>
    <t>Nippon Sanso Ingasco Clark Inc</t>
  </si>
  <si>
    <t>CENSON</t>
  </si>
  <si>
    <t>LEILA MARIE</t>
  </si>
  <si>
    <t>RAMOS</t>
  </si>
  <si>
    <t>LOT1 PANDAY PIRA AVENUE	 CLARK FREEPORT ZONE	 PAMPAMGA</t>
  </si>
  <si>
    <t>leilamarie.censon@apac.nipponsanso.com</t>
  </si>
  <si>
    <t>045 499 55 46 to 49</t>
  </si>
  <si>
    <t>2016-150</t>
  </si>
  <si>
    <t>TALKINGNET GLOBAL EDUCATION INC</t>
  </si>
  <si>
    <t>Jenielyn</t>
  </si>
  <si>
    <t>na</t>
  </si>
  <si>
    <t>46D Regency Park	 Clark Freeport Zone</t>
  </si>
  <si>
    <t>talkingnet.marketing@gmail.com</t>
  </si>
  <si>
    <t>2013-015</t>
  </si>
  <si>
    <t>talkingnet2019</t>
  </si>
  <si>
    <t>/uploads/file-1490948387394.jpg</t>
  </si>
  <si>
    <t>TANITEC INTERNATIONAL CORPORATION</t>
  </si>
  <si>
    <t>Anunciacion</t>
  </si>
  <si>
    <t>Jennizette</t>
  </si>
  <si>
    <t>Balili</t>
  </si>
  <si>
    <t>Bldg 06 Berthaphil Industrial Park Jose Abad Santos Avenue Clark Freeport Zone Pampanga</t>
  </si>
  <si>
    <t>tichrd@pldtdsl.net</t>
  </si>
  <si>
    <t>599-5210</t>
  </si>
  <si>
    <t>2017-072</t>
  </si>
  <si>
    <t>tanigawa06</t>
  </si>
  <si>
    <t>/uploads/file-1492479753464.bmp</t>
  </si>
  <si>
    <t>TAPA TAPA TAPSILOGAN</t>
  </si>
  <si>
    <t>E. Quirino St. 	 Clark Freeport Zone	 Philippines</t>
  </si>
  <si>
    <t>2016-121</t>
  </si>
  <si>
    <t>TDG ASIA CORPORATION</t>
  </si>
  <si>
    <t>Gozum</t>
  </si>
  <si>
    <t>Jackie</t>
  </si>
  <si>
    <t>Authorized Representative</t>
  </si>
  <si>
    <t>2nd floor Bldg 7585 CASS Cargo Center Civil Aviation Complex Clark Pampanga</t>
  </si>
  <si>
    <t>jackie.gozum@tass.com.ph</t>
  </si>
  <si>
    <t>2015-152</t>
  </si>
  <si>
    <t>TECHNOLOGY ELITE INC</t>
  </si>
  <si>
    <t>Jones</t>
  </si>
  <si>
    <t>Scott Linden</t>
  </si>
  <si>
    <t>6th Floor Berthaphil III Clark Center 11 Jose Abad Santos Ave	 Clark Freeport Zone	 Angeles City	 Pampanga</t>
  </si>
  <si>
    <t>peopleandculture@technologyelite.com.au</t>
  </si>
  <si>
    <t>2016-155</t>
  </si>
  <si>
    <t>Elite072015</t>
  </si>
  <si>
    <t>/uploads/file-1496738916819.jpg</t>
  </si>
  <si>
    <t>TECHNOWOOD MANUFACTURING CORPORATION FORMERLY TONOKURA IKA KOGYO CORP</t>
  </si>
  <si>
    <t>SIONOSA</t>
  </si>
  <si>
    <t>MECHELLE</t>
  </si>
  <si>
    <t>GEAMOGA</t>
  </si>
  <si>
    <t>N2840  Bayanihan St Extn CFZ Pampanga</t>
  </si>
  <si>
    <t>tmc.hrdp@gmail.com</t>
  </si>
  <si>
    <t>045- 599-5570</t>
  </si>
  <si>
    <t>2016-382</t>
  </si>
  <si>
    <t>TECNET ASIA INC</t>
  </si>
  <si>
    <t>Basco</t>
  </si>
  <si>
    <t>Annalee</t>
  </si>
  <si>
    <t>Admin Assistant  PCO</t>
  </si>
  <si>
    <t>Room 103 Clark Welcome Center Office Suites Berthaphil VIII Compound SCTEX Road Clark Freeport Zone</t>
  </si>
  <si>
    <t>annebasco26@gmail.com</t>
  </si>
  <si>
    <t>0998-9644105</t>
  </si>
  <si>
    <t>2016-486</t>
  </si>
  <si>
    <t>t3cNet2017</t>
  </si>
  <si>
    <t>TESOROS MARKETING CORPORATION</t>
  </si>
  <si>
    <t>Agustin</t>
  </si>
  <si>
    <t>KemPerly Joy</t>
  </si>
  <si>
    <t>OPERATIONS</t>
  </si>
  <si>
    <t>PreDeparture Lounge Clark International Airport Terminal Civil Aviation Complex Clark Freeport Zone Philippines</t>
  </si>
  <si>
    <t>tesorosoperations@gmail.com</t>
  </si>
  <si>
    <t>2013-069</t>
  </si>
  <si>
    <t>tesoros1016</t>
  </si>
  <si>
    <t>/uploads/file-1540886199991.jpg</t>
  </si>
  <si>
    <t>TG DOMINANT DOMAIN INC</t>
  </si>
  <si>
    <t>Seo</t>
  </si>
  <si>
    <t>KyungA</t>
  </si>
  <si>
    <t>45B Austine Town Houses Regency Park Jose Abad Santos Avenue CFZ Philippines</t>
  </si>
  <si>
    <t>sspa2014@yahoo.com.ph</t>
  </si>
  <si>
    <t>2016-099</t>
  </si>
  <si>
    <t>THAITIAN CIGARETTES AND TOBACCO CORPORATION I</t>
  </si>
  <si>
    <t>JULAO</t>
  </si>
  <si>
    <t>CANDY</t>
  </si>
  <si>
    <t>BLDG 7 8  9 BERTHAPHIL 1 COMPOUND JOSE ABAD SANTOS AVENUE CLARKFIELD PAMPANGA</t>
  </si>
  <si>
    <t>maryanne571987@gmail.com</t>
  </si>
  <si>
    <t>045-4992216-2217</t>
  </si>
  <si>
    <t>2017-115</t>
  </si>
  <si>
    <t>THE MEDICAL CITY CLARK INC</t>
  </si>
  <si>
    <t>Nantin</t>
  </si>
  <si>
    <t>Annalyn</t>
  </si>
  <si>
    <t>Sierra</t>
  </si>
  <si>
    <t>Assistant Manager Human Resources</t>
  </si>
  <si>
    <t>100 Gatwick Gateway Sabah Al Ahmad GGLC Clark Freeport Zone Pampanga</t>
  </si>
  <si>
    <t>asnantin@themedicalcity.com</t>
  </si>
  <si>
    <t>2014-228</t>
  </si>
  <si>
    <t>THE ONE ST  CLARK CONSTRUCTION CORPORATION</t>
  </si>
  <si>
    <t>APRIL JANINE</t>
  </si>
  <si>
    <t>MACALINO</t>
  </si>
  <si>
    <t>ADMINISTRATIVE HEAD</t>
  </si>
  <si>
    <t>TOWER 3 UNIT 814 CLARK ODE COUNTY BLDG CM RECTO HIGHWAY	 CLARK FREE PORT ZONE PAMPANGA	 2010</t>
  </si>
  <si>
    <t>1stclarklimited@gmail.com</t>
  </si>
  <si>
    <t>499-8314</t>
  </si>
  <si>
    <t>2016-311</t>
  </si>
  <si>
    <t>/uploads/file-1519696844661.png</t>
  </si>
  <si>
    <t>TIMECARGO LOGISTICS CORPORATION</t>
  </si>
  <si>
    <t>OfficerinCharge</t>
  </si>
  <si>
    <t>Rm 11 Business Center 2	 Philexcel Business Park	 CFZ Pampanga</t>
  </si>
  <si>
    <t>mhy_cs@timecargo.ph</t>
  </si>
  <si>
    <t>499-1539</t>
  </si>
  <si>
    <t>2016-327</t>
  </si>
  <si>
    <t>tlcclark</t>
  </si>
  <si>
    <t>TITUS GLOBAL TECH INC</t>
  </si>
  <si>
    <t>Nabong</t>
  </si>
  <si>
    <t>Hilda</t>
  </si>
  <si>
    <t>Abille</t>
  </si>
  <si>
    <t>Admin and Finance Head</t>
  </si>
  <si>
    <t>27E philexcel business park clark freeport zone pampanga</t>
  </si>
  <si>
    <t>titusglobaltech@gmail.com</t>
  </si>
  <si>
    <t>2016-609</t>
  </si>
  <si>
    <t>titus102215</t>
  </si>
  <si>
    <t>TMC RECYCLING TECHNOLOGY CLARK INC</t>
  </si>
  <si>
    <t>Carlo Angelo</t>
  </si>
  <si>
    <t>Ku</t>
  </si>
  <si>
    <t>Berthaphil Compound V Warehouse Bldg  3 Gil Puyat Ave Clark Freeport Zone Philippines 2023</t>
  </si>
  <si>
    <t>carloangelopangilinan@yahoo.com</t>
  </si>
  <si>
    <t>2016-330</t>
  </si>
  <si>
    <t>tmcclark</t>
  </si>
  <si>
    <t>TOP SELLERS PLUS INC</t>
  </si>
  <si>
    <t>Annaliza</t>
  </si>
  <si>
    <t>HR and Accounting Officer</t>
  </si>
  <si>
    <t>Unit B Jose Abad Santos Avenue Clark Center 08 Berthaphil III CFZ</t>
  </si>
  <si>
    <t>hrtsp2017@gmail.com</t>
  </si>
  <si>
    <t>499-2159</t>
  </si>
  <si>
    <t>2016-378</t>
  </si>
  <si>
    <t>/uploads/file-1494316713274.jpg</t>
  </si>
  <si>
    <t>TPR C CORP</t>
  </si>
  <si>
    <t>CAYAGO</t>
  </si>
  <si>
    <t>FRANCE LORENCE</t>
  </si>
  <si>
    <t>EA TO THE PRESIDENT</t>
  </si>
  <si>
    <t>LOT 1 EAGUINALDO ST CLARK FREEPORT ZONE PAMPANGA</t>
  </si>
  <si>
    <t>tprccorp@yahoo.com</t>
  </si>
  <si>
    <t>2013-656</t>
  </si>
  <si>
    <t>Hotel</t>
  </si>
  <si>
    <t>TRACKERTEER WEB DEVELOPER CORP</t>
  </si>
  <si>
    <t>Eireen</t>
  </si>
  <si>
    <t>Unit 52 B2 Philexcel Business Park M Roxas Highway Clark Freeport Zone Philippines</t>
  </si>
  <si>
    <t>hr@trackerteer.com</t>
  </si>
  <si>
    <t>2016-305</t>
  </si>
  <si>
    <t>TRANSORIENT MANPOWER SERVICES INC</t>
  </si>
  <si>
    <t>Andrew Christopher</t>
  </si>
  <si>
    <t>Cabagnot</t>
  </si>
  <si>
    <t>Assistant Operations Manager</t>
  </si>
  <si>
    <t>Unit 120 Welcome Center Suites Berthaphil VIII CFZ Pampanga</t>
  </si>
  <si>
    <t>andrew.bautista@transorientmanpowerservices.com</t>
  </si>
  <si>
    <t>2016-529</t>
  </si>
  <si>
    <t>/uploads/file-1490948546056.jpg</t>
  </si>
  <si>
    <t>TRANSPACIFIC BROADBAND GROUP INTERNATIONAL INC</t>
  </si>
  <si>
    <t>Tiongson</t>
  </si>
  <si>
    <t>Riden</t>
  </si>
  <si>
    <t>Quereza</t>
  </si>
  <si>
    <t>Engineer</t>
  </si>
  <si>
    <t>Bldg 1751 Chico St Clark Freeport Philippines</t>
  </si>
  <si>
    <t>clarknms@yahoo.com</t>
  </si>
  <si>
    <t>499-0938</t>
  </si>
  <si>
    <t>2017-077</t>
  </si>
  <si>
    <t>tbg1clark</t>
  </si>
  <si>
    <t>/uploads/file-1507861193464.png</t>
  </si>
  <si>
    <t>TROPICAL DRAGON CONCEPTS INC</t>
  </si>
  <si>
    <t>Salvador</t>
  </si>
  <si>
    <t>Ramon</t>
  </si>
  <si>
    <t>Rowel</t>
  </si>
  <si>
    <t>mendoza.jovy@yahoo.com</t>
  </si>
  <si>
    <t>09165410980 - 0936-802-5190</t>
  </si>
  <si>
    <t>2016-456</t>
  </si>
  <si>
    <t>TROYCOR LIGHTING CORPORATION FORMERLY VENZON MANUFACTURING CORPORATION</t>
  </si>
  <si>
    <t>SIMBULAN</t>
  </si>
  <si>
    <t>ANABELLE</t>
  </si>
  <si>
    <t>AGARRADO</t>
  </si>
  <si>
    <t>HRA SUPERVISOR</t>
  </si>
  <si>
    <t>IE5 MA ROXAS HIWAY CLARK FREEPORT ZONE CLARKFIELD PAMAPANGA</t>
  </si>
  <si>
    <t>anabelles@troycor.com</t>
  </si>
  <si>
    <t>--  -63 45 499 0522</t>
  </si>
  <si>
    <t>2016-141</t>
  </si>
  <si>
    <t>TRS PHILS CORPORATION FORMERLY TG TECHNOLOGY PHILS CORPORATION</t>
  </si>
  <si>
    <t>Gramonte</t>
  </si>
  <si>
    <t>Marneli</t>
  </si>
  <si>
    <t>Jr Supervisor</t>
  </si>
  <si>
    <t>Bldg 23 Philexcel Business Park M A Roxas Highway Clark Freeport Zone Philippines</t>
  </si>
  <si>
    <t>leng.gramonte@trsphils.com</t>
  </si>
  <si>
    <t>599-7518</t>
  </si>
  <si>
    <t>2016-496</t>
  </si>
  <si>
    <t>TRUST PACIFIC FB INC</t>
  </si>
  <si>
    <t>Jaycel</t>
  </si>
  <si>
    <t>Polangcos</t>
  </si>
  <si>
    <t>Stall Nos 24 to 27 Lilly Hill Commercial Complex CM Recto Avenue Clark Freeport Zone</t>
  </si>
  <si>
    <t>trustpacificfnb@gmail.com</t>
  </si>
  <si>
    <t>2016-303</t>
  </si>
  <si>
    <t>/uploads/file-1517370186355.jpg</t>
  </si>
  <si>
    <t>TURN D'TABLE KITCHEN CATERING SERVICE</t>
  </si>
  <si>
    <t>2015-332</t>
  </si>
  <si>
    <t>TWISTRESOURCES INC</t>
  </si>
  <si>
    <t>ROSCELIE DANIELL</t>
  </si>
  <si>
    <t>People Operations Partner</t>
  </si>
  <si>
    <t>NINOY AQUINO AVE</t>
  </si>
  <si>
    <t>roscelie.dizon@tooltwist.com</t>
  </si>
  <si>
    <t>045 4991161</t>
  </si>
  <si>
    <t>2016-035</t>
  </si>
  <si>
    <t>M0use123</t>
  </si>
  <si>
    <t>U E T INTERNATIONAL CORPORATION</t>
  </si>
  <si>
    <t>Dalina</t>
  </si>
  <si>
    <t>Maria Crisanta</t>
  </si>
  <si>
    <t>Millar</t>
  </si>
  <si>
    <t>Bldg N7111 Panday Pira Ave ext Clark Freeport Zone Pampanga Philippines</t>
  </si>
  <si>
    <t>bdgm12@yahoo.com</t>
  </si>
  <si>
    <t>045 499-3008</t>
  </si>
  <si>
    <t>2016-621</t>
  </si>
  <si>
    <t>uetintl123</t>
  </si>
  <si>
    <t>UET BOX MFG CORP</t>
  </si>
  <si>
    <t>ANNA MARIA DESLYN</t>
  </si>
  <si>
    <t>Bldg 7107 Clark Civil Aviation Complex Clark Freeport Zone Clark Freeport Zone Philippines</t>
  </si>
  <si>
    <t>uetpackaging@gmail.com</t>
  </si>
  <si>
    <t>045 499-3246</t>
  </si>
  <si>
    <t>2016-006</t>
  </si>
  <si>
    <t>uetbox888</t>
  </si>
  <si>
    <t>/uploads/file-1506931967079.png</t>
  </si>
  <si>
    <t>UNION BANK OF THE PHILIPPINES</t>
  </si>
  <si>
    <t>GALANG</t>
  </si>
  <si>
    <t>MYREL</t>
  </si>
  <si>
    <t>SALES AND SERVICE OFFICER</t>
  </si>
  <si>
    <t>THE PAVILION MALL PHILEXCEL BUSINESS PARK MA ROXAS HW CLARK FREEPORT ZONE PAMPANGA 2023</t>
  </si>
  <si>
    <t>mmgalang@unionbankph.com</t>
  </si>
  <si>
    <t>045 499-5141</t>
  </si>
  <si>
    <t>2016-356</t>
  </si>
  <si>
    <t>UNISON GLOBAL TECHNOLOGIES INC</t>
  </si>
  <si>
    <t>Celestino</t>
  </si>
  <si>
    <t>Jocelyn</t>
  </si>
  <si>
    <t>Administrative Operations Officer</t>
  </si>
  <si>
    <t>Mini Warehouse 9 bethaphil II North Manunggal St Clark Freeport Zone Pampanga</t>
  </si>
  <si>
    <t>jocelyn.celestino@unison.com.ph</t>
  </si>
  <si>
    <t>2017-043</t>
  </si>
  <si>
    <t>unison2014</t>
  </si>
  <si>
    <t>/uploads/file-1490932262534.JPG</t>
  </si>
  <si>
    <t>UNIVERSITY OF THE PHILIPPINES</t>
  </si>
  <si>
    <t>Co</t>
  </si>
  <si>
    <t>Edna Estifania</t>
  </si>
  <si>
    <t>Director</t>
  </si>
  <si>
    <t>Ramon Magsaysay Avenue Clark Freeport Zone Mabalacat City</t>
  </si>
  <si>
    <t>updepp@gmail.com</t>
  </si>
  <si>
    <t>2014-193</t>
  </si>
  <si>
    <t>UPDEPP</t>
  </si>
  <si>
    <t>V LOUNGE RESTO BAR</t>
  </si>
  <si>
    <t>VELASCO</t>
  </si>
  <si>
    <t>MARIGOLD</t>
  </si>
  <si>
    <t>LAUREANO</t>
  </si>
  <si>
    <t>Unit 5 Northwak Clark Center M A Roxas Highway Clark Freeport Zone Philippines</t>
  </si>
  <si>
    <t>velascogold25@gmail.com</t>
  </si>
  <si>
    <t>2015-388</t>
  </si>
  <si>
    <t>VALUE CITY SALES INC</t>
  </si>
  <si>
    <t>San Agustin</t>
  </si>
  <si>
    <t>Maria Teresa</t>
  </si>
  <si>
    <t>Muldong</t>
  </si>
  <si>
    <t>Admin Optn Supvr</t>
  </si>
  <si>
    <t>N3620 CM RECTO HWAY CLARK FREEPORT ZONE</t>
  </si>
  <si>
    <t>terrysanagustin@ymail.com</t>
  </si>
  <si>
    <t>045 599-6856</t>
  </si>
  <si>
    <t>2016-140</t>
  </si>
  <si>
    <t>/uploads/file-1494997337298.JPG</t>
  </si>
  <si>
    <t>VENTURESLINK MANAGEMENT SOLUTIONS INC</t>
  </si>
  <si>
    <t>Valido</t>
  </si>
  <si>
    <t>Bernard</t>
  </si>
  <si>
    <t>Recio</t>
  </si>
  <si>
    <t>Unit 1F9C	 Business Center 6	 PHILEXCEL Business Park	 MA Roxas Highway	 CDC</t>
  </si>
  <si>
    <t>kuyangbernz@yahoo.com</t>
  </si>
  <si>
    <t>2015-193</t>
  </si>
  <si>
    <t>/uploads/file-1491545189987.png</t>
  </si>
  <si>
    <t>VERSAR INTERNATIONAL INC ASIAPACIFIC</t>
  </si>
  <si>
    <t>Quito</t>
  </si>
  <si>
    <t>Agnes</t>
  </si>
  <si>
    <t>Regional Director</t>
  </si>
  <si>
    <t>Office Center 08H	 Clark Center	 Berthaphil III	 Jose Abad Santos Ave ClarkFreeport Zone	 Philippines</t>
  </si>
  <si>
    <t>aquito@versar.com</t>
  </si>
  <si>
    <t>2015-142</t>
  </si>
  <si>
    <t>Engineering Services</t>
  </si>
  <si>
    <t>/uploads/file-1491546204024.jpg</t>
  </si>
  <si>
    <t>VILLANUEVA TIANSAY DARVIN LAW OFFICES</t>
  </si>
  <si>
    <t>Princess Mae Anne</t>
  </si>
  <si>
    <t>Liason officer</t>
  </si>
  <si>
    <t>Ground Floor Unit 10 7 Workplus Acacia Drive Filinvest Mimosa and Leisure City Clark Freeport Zone 2023</t>
  </si>
  <si>
    <t>ppsantos@vtdlaw.ph</t>
  </si>
  <si>
    <t>045-499-3185</t>
  </si>
  <si>
    <t>2016-458</t>
  </si>
  <si>
    <t>Since2019*</t>
  </si>
  <si>
    <t>/uploads/file-1613011331058.jpg</t>
  </si>
  <si>
    <t>VIRGINIA YABUT CANTEEN</t>
  </si>
  <si>
    <t>yabut</t>
  </si>
  <si>
    <t>leonor</t>
  </si>
  <si>
    <t>magat</t>
  </si>
  <si>
    <t>manager</t>
  </si>
  <si>
    <t>Bldg. N5215 Lily Hill Road corner Gil Puyat Avenue	 Clark Freeport Zone	 Angeles City</t>
  </si>
  <si>
    <t>2016-329</t>
  </si>
  <si>
    <t>VISKASE ASIA PACIFIC CORP</t>
  </si>
  <si>
    <t>Kaye</t>
  </si>
  <si>
    <t>Duran</t>
  </si>
  <si>
    <t>HR and Admin Manager</t>
  </si>
  <si>
    <t>Lot 1D Industrial Estate 5 MA Roxas Highway Clark Freeport Zone Pampanga</t>
  </si>
  <si>
    <t>Kaye.Santos@viskase.com</t>
  </si>
  <si>
    <t>2016-096</t>
  </si>
  <si>
    <t>W CLARK INTERNATIONAL INC</t>
  </si>
  <si>
    <t>Shandel</t>
  </si>
  <si>
    <t>Blancaflor</t>
  </si>
  <si>
    <t>Lot 7 ODonnel Street Clark freeport Zone</t>
  </si>
  <si>
    <t>wclarkhotel@gmail.com</t>
  </si>
  <si>
    <t>2015-247</t>
  </si>
  <si>
    <t>WALLEM INNOVATIVE SOLUTIONS PHILS INC FORMERLY DEVCO PHILIPPINES INC</t>
  </si>
  <si>
    <t>Camino</t>
  </si>
  <si>
    <t>John Lowell</t>
  </si>
  <si>
    <t>Business Center 11 Philexcel Clark Pampanga</t>
  </si>
  <si>
    <t>wisph@wallem.com</t>
  </si>
  <si>
    <t>045- 599 -5699 loc 117</t>
  </si>
  <si>
    <t>2015-292</t>
  </si>
  <si>
    <t>/uploads/file-1561972337047.png</t>
  </si>
  <si>
    <t>WATERLYMPICS, INC. (WI)</t>
  </si>
  <si>
    <t>Herminia</t>
  </si>
  <si>
    <t>Cabrera</t>
  </si>
  <si>
    <t>Asst. Manager</t>
  </si>
  <si>
    <t>mines_0908@yahoo.com.ph</t>
  </si>
  <si>
    <t>2016-105</t>
  </si>
  <si>
    <t>Nefulda117</t>
  </si>
  <si>
    <t>WESTERN USA SOLUTIONS INC</t>
  </si>
  <si>
    <t>NICCOLO</t>
  </si>
  <si>
    <t>PALAD</t>
  </si>
  <si>
    <t>N5280 CM RECTO HIGHWAY CLARK FREEPORT ZONE PAMPANGA 2023</t>
  </si>
  <si>
    <t>499-1381</t>
  </si>
  <si>
    <t>2016-410</t>
  </si>
  <si>
    <t>western</t>
  </si>
  <si>
    <t>/uploads/file-1525858827589.jpg</t>
  </si>
  <si>
    <t>WIDE WIDE WORLD EXPRESS CORPORATION</t>
  </si>
  <si>
    <t>De Jesus</t>
  </si>
  <si>
    <t>Elizabeth</t>
  </si>
  <si>
    <t>Berthaphil 1 Compound Jose Abad Santos Ave CFZ Clarkfield Pampanga</t>
  </si>
  <si>
    <t>elizabeth.dejesus@wwwexpress.com.ph</t>
  </si>
  <si>
    <t>2017-081</t>
  </si>
  <si>
    <t>HANN HOLDINGS INC</t>
  </si>
  <si>
    <t>Bernardo</t>
  </si>
  <si>
    <t>Shaira Czarena</t>
  </si>
  <si>
    <t>Abalos</t>
  </si>
  <si>
    <t>Talent Acquisition Specialist</t>
  </si>
  <si>
    <t>MA Roxas Highway corner CM Recto Clark Freeport Zone Philippines 2023</t>
  </si>
  <si>
    <t>HR.TalentAcquisition@hannresorts.com</t>
  </si>
  <si>
    <t>306-8000</t>
  </si>
  <si>
    <t>2016-188</t>
  </si>
  <si>
    <t>WIDUS INTERNATIONAL LEISURE INC</t>
  </si>
  <si>
    <t>JOAN CRISTELLE</t>
  </si>
  <si>
    <t>BANAWA</t>
  </si>
  <si>
    <t>ASSISTANT TALENT AND CULTURE MANAGER</t>
  </si>
  <si>
    <t>Bldg 5399 MA Roxas Highway Clarak 2023 Freeport Zone Pampanga Philippines</t>
  </si>
  <si>
    <t>joan.castro@swissotel.com</t>
  </si>
  <si>
    <t>2016-545</t>
  </si>
  <si>
    <t>Password2017</t>
  </si>
  <si>
    <t>/uploads/file-1491529248827.jpeg</t>
  </si>
  <si>
    <t>HANN PHILIPPINES INC</t>
  </si>
  <si>
    <t>2016-211</t>
  </si>
  <si>
    <t>password2017</t>
  </si>
  <si>
    <t>WIN FORMULA INC</t>
  </si>
  <si>
    <t>Justine Mae</t>
  </si>
  <si>
    <t>Viray</t>
  </si>
  <si>
    <t>Bldg Nos 4 5 and 6 Berthaphil I Industrial Park Jose Abad Santos Avenue</t>
  </si>
  <si>
    <t>justinetolentino.wfi@gmail.com</t>
  </si>
  <si>
    <t>045 499-3310</t>
  </si>
  <si>
    <t>2015-093</t>
  </si>
  <si>
    <t>/uploads/file-1491560832418.jpg</t>
  </si>
  <si>
    <t>WIND TUNNEL INTERNATIONAL INC</t>
  </si>
  <si>
    <t>Bangsil</t>
  </si>
  <si>
    <t>Arcie</t>
  </si>
  <si>
    <t>Building 1759 MA Roxas Highway Clark Freeport Zone Philippines</t>
  </si>
  <si>
    <t>windtunnel.international@yahoo.com</t>
  </si>
  <si>
    <t>045-599-6877</t>
  </si>
  <si>
    <t>2016-487</t>
  </si>
  <si>
    <t>WONTECHPHIL INTL CORP WIC</t>
  </si>
  <si>
    <t>Salviejo</t>
  </si>
  <si>
    <t>Shiela Mee</t>
  </si>
  <si>
    <t>Gaspar</t>
  </si>
  <si>
    <t>O5D BERTHAPHIL III CLARK FREE PORT ZONE PAMPANGA</t>
  </si>
  <si>
    <t>wontechphil@hotmail.com</t>
  </si>
  <si>
    <t>499-1692</t>
  </si>
  <si>
    <t>2016-055</t>
  </si>
  <si>
    <t>wonphil001</t>
  </si>
  <si>
    <t>WOODEN TABLE LUTONG BAHAY VERONICA KATRIN T ALCANTARA</t>
  </si>
  <si>
    <t>LOT 2A MA ROXAS HIGHWAY  E JACINTO ST CLARK FREEPORT ZONE</t>
  </si>
  <si>
    <t>2015-362</t>
  </si>
  <si>
    <t>WOODS  DAY INTERNATIONAL BUSINESS SERVICES INC</t>
  </si>
  <si>
    <t>Quijano</t>
  </si>
  <si>
    <t>Arlene</t>
  </si>
  <si>
    <t>Paralegal</t>
  </si>
  <si>
    <t>Office 6E1 Berthapil III Jose Abad Santos Ave Clark Field Mabalacat 2010 Pampanga</t>
  </si>
  <si>
    <t>arlene@wdi.ph</t>
  </si>
  <si>
    <t>2016-589</t>
  </si>
  <si>
    <t>wdicor-2017</t>
  </si>
  <si>
    <t>Legal Services</t>
  </si>
  <si>
    <t>/uploads/file-1501634407168.png</t>
  </si>
  <si>
    <t>WRAP UP UP PLASTIC BAGGAGE CENTER</t>
  </si>
  <si>
    <t>Principe</t>
  </si>
  <si>
    <t>Mia Farrah</t>
  </si>
  <si>
    <t>Belarmino</t>
  </si>
  <si>
    <t>Blk 16 lot 4 banab cor agoho st town and country abnagna norte marilao</t>
  </si>
  <si>
    <t>mayabelarmino44@gmail.com</t>
  </si>
  <si>
    <t>09227860028-09153857056</t>
  </si>
  <si>
    <t>2015-391</t>
  </si>
  <si>
    <t>XENIA HOTEL CORPORATION</t>
  </si>
  <si>
    <t>Paula</t>
  </si>
  <si>
    <t>4030 Claro M Recto Highway Clark Freeport Zone 2009</t>
  </si>
  <si>
    <t>hr@xeniahotel.ph</t>
  </si>
  <si>
    <t>2015-068</t>
  </si>
  <si>
    <t>HotelRestaurant</t>
  </si>
  <si>
    <t>/uploads/file-1490931272780.jpg</t>
  </si>
  <si>
    <t>XYZ GLOBAL EXPRESS CORPORATION</t>
  </si>
  <si>
    <t>Jena</t>
  </si>
  <si>
    <t>Unit 7A Philexcel Buinsess Park  Clark Freeport Zone Philippines</t>
  </si>
  <si>
    <t>jenagarcia2493@yahoo.com</t>
  </si>
  <si>
    <t>2015-050</t>
  </si>
  <si>
    <t>YANMAR ENGINEERING CO LTD</t>
  </si>
  <si>
    <t>IRISH JOYCE</t>
  </si>
  <si>
    <t>Y</t>
  </si>
  <si>
    <t>OFFICE ADMINISTRATOR</t>
  </si>
  <si>
    <t>BLDG 3 bERTHAPHIL II SOUTH BAYANIHAN ST JOSE ABAD SANTOS AVE CLARK FREEPORT ZONE PAMPANGA</t>
  </si>
  <si>
    <t>irishgonzales0317@gmail.com</t>
  </si>
  <si>
    <t>2015-212</t>
  </si>
  <si>
    <t>1933YANMARPH</t>
  </si>
  <si>
    <t>/uploads/file-1496198368201.JPG</t>
  </si>
  <si>
    <t>YOKOHAMA TIRE PHILS INC</t>
  </si>
  <si>
    <t>Mayodong</t>
  </si>
  <si>
    <t>Marjorie</t>
  </si>
  <si>
    <t>Pintes</t>
  </si>
  <si>
    <t>IE 5 Clark Freeport Zone Philippines</t>
  </si>
  <si>
    <t>marjorie.mayodong@ytpi.com</t>
  </si>
  <si>
    <t>599-3603</t>
  </si>
  <si>
    <t>2016-204</t>
  </si>
  <si>
    <t>YTPIHRM</t>
  </si>
  <si>
    <t>/uploads/file-1491981004848.jpg</t>
  </si>
  <si>
    <t>YOKOISADA PHILS CORPORATION</t>
  </si>
  <si>
    <t>Hazel</t>
  </si>
  <si>
    <t>Vital</t>
  </si>
  <si>
    <t>Phase I Lot C2D B Clark Premiere Industrial Park MA Roxas Highway Clark Freeport Zone Pampanga</t>
  </si>
  <si>
    <t>yokoisada.clark@gmail.com</t>
  </si>
  <si>
    <t>499-3028</t>
  </si>
  <si>
    <t>2016-289</t>
  </si>
  <si>
    <t>yokoisada2013</t>
  </si>
  <si>
    <t>/uploads/file-1490917278758.jpg</t>
  </si>
  <si>
    <t>YOUR VIRTUAL PEOPLE INC</t>
  </si>
  <si>
    <t>Tanganco</t>
  </si>
  <si>
    <t>Sukwinder</t>
  </si>
  <si>
    <t>Khamb</t>
  </si>
  <si>
    <t>Rm 12 Philexcel Business Center 1	 MA Roxas Highway	 Clark Freeport Zone	 Pampanga	 Philippines</t>
  </si>
  <si>
    <t>suk.khamb@yourvirtualpeople.com</t>
  </si>
  <si>
    <t>0999 889 2941</t>
  </si>
  <si>
    <t>2015-233</t>
  </si>
  <si>
    <t>Yvp@2017</t>
  </si>
  <si>
    <t>/uploads/file-1509515476712.png</t>
  </si>
  <si>
    <t>YUMI CLARK AGRO, INC.</t>
  </si>
  <si>
    <t>Yumiaco</t>
  </si>
  <si>
    <t>Kelly</t>
  </si>
  <si>
    <t>Rabe</t>
  </si>
  <si>
    <t>yumiclarkagro@yahoo.com</t>
  </si>
  <si>
    <t>2017-015</t>
  </si>
  <si>
    <t>rita2016</t>
  </si>
  <si>
    <t>Agro-Industrial</t>
  </si>
  <si>
    <t>/uploads/file-1494211364569.png</t>
  </si>
  <si>
    <t>YUSEN LOGISTICS PHILIPPINES INC FORMERLY YUSEN AIR AND SEA SERVICES PHILS INC</t>
  </si>
  <si>
    <t>Talao</t>
  </si>
  <si>
    <t>Joanna Marie</t>
  </si>
  <si>
    <t>Montilla</t>
  </si>
  <si>
    <t>Bldg 7585 Diosdado Macapagal International Airport Clark Freeport Zone Philippines</t>
  </si>
  <si>
    <t>joan.talao@ph.yusen-logistics.com</t>
  </si>
  <si>
    <t>02-835-2888</t>
  </si>
  <si>
    <t>2016-508</t>
  </si>
  <si>
    <t>Yusen_2017</t>
  </si>
  <si>
    <t>/uploads/file-1505875172677.png</t>
  </si>
  <si>
    <t>ZENIARK PHILIPPINES CONSULTING CORP</t>
  </si>
  <si>
    <t>Bonita</t>
  </si>
  <si>
    <t>Maria Glenda</t>
  </si>
  <si>
    <t>Maala</t>
  </si>
  <si>
    <t>HR and Admin Officer</t>
  </si>
  <si>
    <t>Philexcel Business Center 1 Rm 08A MA Roxas Highway Clark Freeport Pampanga</t>
  </si>
  <si>
    <t>glendab.zeniark@gmail.com</t>
  </si>
  <si>
    <t>045- 499-0977</t>
  </si>
  <si>
    <t>2013-137</t>
  </si>
  <si>
    <t>/uploads/file-1497936158011.png</t>
  </si>
  <si>
    <t>Conquest Phils Inc</t>
  </si>
  <si>
    <t>Maguddayao</t>
  </si>
  <si>
    <t>Panguio</t>
  </si>
  <si>
    <t>HRD Manager</t>
  </si>
  <si>
    <t>Building 7457  7459  7469 along ML Quezon Street Clark Civil Aviation Complex  Clark Freeport Zone Clarkfield Pampanga Philippines</t>
  </si>
  <si>
    <t>gildacpi@conquestphils.com</t>
  </si>
  <si>
    <t>599-5850</t>
  </si>
  <si>
    <t>2015-206</t>
  </si>
  <si>
    <t>2018-07-01T16:00:00.000Z</t>
  </si>
  <si>
    <t>L K Industries Philippines Inc</t>
  </si>
  <si>
    <t>Sotto</t>
  </si>
  <si>
    <t>Mei Liza</t>
  </si>
  <si>
    <t>HRA  Sr Officer</t>
  </si>
  <si>
    <t>Phase 1 Lot C2  and D M A Roxas Highway Clark Freeport  Zone Philippines</t>
  </si>
  <si>
    <t>mei@lkphls.com</t>
  </si>
  <si>
    <t>599-5136</t>
  </si>
  <si>
    <t>2016-277</t>
  </si>
  <si>
    <t>lnk0304</t>
  </si>
  <si>
    <t>2019-06-10T16:00:00.000Z</t>
  </si>
  <si>
    <t>Dummy Account</t>
  </si>
  <si>
    <t>cdc</t>
  </si>
  <si>
    <t>2016-0000</t>
  </si>
  <si>
    <t>2080-12-24T16:00:00.000Z</t>
  </si>
  <si>
    <t>ict</t>
  </si>
  <si>
    <t>Aerotech Industries Philippines Inc</t>
  </si>
  <si>
    <t>Palmes</t>
  </si>
  <si>
    <t>Resie</t>
  </si>
  <si>
    <t>HRS Officer</t>
  </si>
  <si>
    <t>Bldg 7242 Civil Aviation Complex Clark Freeport Zone</t>
  </si>
  <si>
    <t>hrs@aerotech.ph</t>
  </si>
  <si>
    <t>2017-153</t>
  </si>
  <si>
    <t>2019-12-30T16:00:00.000Z</t>
  </si>
  <si>
    <t>/uploads/file-1492742354154.jpg</t>
  </si>
  <si>
    <t>INVENTASIA PHILIPPINES INC</t>
  </si>
  <si>
    <t>Rea</t>
  </si>
  <si>
    <t>Senior HR Manager</t>
  </si>
  <si>
    <t>Unit 1F1C Philexcel Business Center 10	 Clark Freeport Zone	 Philippines</t>
  </si>
  <si>
    <t>r.rea@prescibe-digital.com</t>
  </si>
  <si>
    <t>2016-408</t>
  </si>
  <si>
    <t>/uploads/file-1559797712934.png</t>
  </si>
  <si>
    <t>SAINT PAUL AMERICAN  SCHOOL INC</t>
  </si>
  <si>
    <t>Isip</t>
  </si>
  <si>
    <t>Marie</t>
  </si>
  <si>
    <t>Ayuyao</t>
  </si>
  <si>
    <t>Berthaphil Clark Center	  Jose Abad Santos Avenue	 Clark Freeport Zone	 Philippines</t>
  </si>
  <si>
    <t>marie.stpaulclark@gmail.com</t>
  </si>
  <si>
    <t>2016-438</t>
  </si>
  <si>
    <t>/uploads/file-1498454146410.jpg</t>
  </si>
  <si>
    <t>GOLD TREE TOBACCO MANUFACTURING CORP</t>
  </si>
  <si>
    <t>VOLANTE</t>
  </si>
  <si>
    <t>JOCELYN</t>
  </si>
  <si>
    <t>DULATRI</t>
  </si>
  <si>
    <t>PERSONNEL AND ADMIN MANAGER</t>
  </si>
  <si>
    <t>Bldg 01 Berthaphil II North Quirino Avenue Clark Freeport Zone Pampanga</t>
  </si>
  <si>
    <t>hr.goldtreetobacco@gmail.com</t>
  </si>
  <si>
    <t>045 499 0238</t>
  </si>
  <si>
    <t>2016-322</t>
  </si>
  <si>
    <t>/uploads/file-1492502212043.jpg</t>
  </si>
  <si>
    <t>FELIZ PREMIUM MFG INC</t>
  </si>
  <si>
    <t>Khiara Jean</t>
  </si>
  <si>
    <t>Gural</t>
  </si>
  <si>
    <t>HR  Assistant</t>
  </si>
  <si>
    <t>J Abad Santos cor Manunggal Street	 Clark Freeport Zone	 Philippines	 Clark Freeport Zone	 Philippines</t>
  </si>
  <si>
    <t>er.cpmi@stella.com.hk</t>
  </si>
  <si>
    <t>0930-728-8580</t>
  </si>
  <si>
    <t>2016-587</t>
  </si>
  <si>
    <t>fpmi</t>
  </si>
  <si>
    <t>/uploads/file-1654593020891.jpg</t>
  </si>
  <si>
    <t>JUPPIR CORPORATION JC</t>
  </si>
  <si>
    <t>Mari</t>
  </si>
  <si>
    <t>Patricia Joana</t>
  </si>
  <si>
    <t>Carpio</t>
  </si>
  <si>
    <t>Accounts Officer</t>
  </si>
  <si>
    <t>Room 106 Clark Welcome Center Office Suites Berthaphil VIII Compound SCTEX Road Clark Freeport Zone</t>
  </si>
  <si>
    <t>pmari.juppir@gmail.com</t>
  </si>
  <si>
    <t>499-8403</t>
  </si>
  <si>
    <t>2015-062</t>
  </si>
  <si>
    <t>EVERTRUST BUSINESS SOLUTIONS INC</t>
  </si>
  <si>
    <t>ALICE</t>
  </si>
  <si>
    <t>CAPITULO</t>
  </si>
  <si>
    <t>05L2 BERTHAPHIL III	 CLARK CENTER JOSE ABAD SANTOS AVE	 CLARK FREEPORT ZONE CLARKFIELD PAMPANGA</t>
  </si>
  <si>
    <t>ajulao@yahoo.com</t>
  </si>
  <si>
    <t>2015-241</t>
  </si>
  <si>
    <t>2016-07-30T16:00:00.000Z</t>
  </si>
  <si>
    <t>X Mansion</t>
  </si>
  <si>
    <t>Xavier</t>
  </si>
  <si>
    <t>Charles</t>
  </si>
  <si>
    <t>Francis</t>
  </si>
  <si>
    <t>Professor</t>
  </si>
  <si>
    <t>1407 Graymalkin Lane	 Salem Center</t>
  </si>
  <si>
    <t>x_admin@xmansion.com</t>
  </si>
  <si>
    <t>045 331 7768</t>
  </si>
  <si>
    <t>x_mansion</t>
  </si>
  <si>
    <t>grad</t>
  </si>
  <si>
    <t>/uploads/file-1499619840313.png</t>
  </si>
  <si>
    <t>DONGEUN PHILIPPINES DEVELOPMENT CORPORATION</t>
  </si>
  <si>
    <t>ESPIRITU</t>
  </si>
  <si>
    <t>ANGELAMOR</t>
  </si>
  <si>
    <t>Lot 2	 Block 1	 located within the Global Clark Assets Corporation  The villages	 Prince Balagtas Avenue	 Clark Freeport Zone	 Philippines</t>
  </si>
  <si>
    <t>dongeundevelopment@gmail.com</t>
  </si>
  <si>
    <t>0908-850-0949</t>
  </si>
  <si>
    <t>2017-135</t>
  </si>
  <si>
    <t>dongeun2024</t>
  </si>
  <si>
    <t>2020-03-20T16:00:00.000Z</t>
  </si>
  <si>
    <t>/uploads/file-1493975463639.jpg</t>
  </si>
  <si>
    <t>YOUTECH PHILIPPINES CORP</t>
  </si>
  <si>
    <t>Lagazon</t>
  </si>
  <si>
    <t>Lomondot</t>
  </si>
  <si>
    <t>SFA Semicon Compound Panday Pira Avenue corner Creekside Road	 Clark Freeport Zone	 Philippines</t>
  </si>
  <si>
    <t>admin@you-tech.co.kr</t>
  </si>
  <si>
    <t>09216805351-499-1737</t>
  </si>
  <si>
    <t>2016-471</t>
  </si>
  <si>
    <t>You-tech123</t>
  </si>
  <si>
    <t>2019-02-22T16:00:00.000Z</t>
  </si>
  <si>
    <t>/uploads/file-1494461903399.png</t>
  </si>
  <si>
    <t>SONGANE RESTAURANT INC</t>
  </si>
  <si>
    <t>Abanico</t>
  </si>
  <si>
    <t>Alvin</t>
  </si>
  <si>
    <t>Calaguas</t>
  </si>
  <si>
    <t>Stall No 9 and 10 Philmade Bldg Lot 1  2	 bounded by Jose Abad Santos and E Quirino Avenue	 Clark Freeport Zone 	 Clark Freeport Zone	 Philippines</t>
  </si>
  <si>
    <t>aejin128@gmail.com</t>
  </si>
  <si>
    <t>2017-044</t>
  </si>
  <si>
    <t>2018-10-20T16:00:00.000Z</t>
  </si>
  <si>
    <t>BOND OF LOVE CANTEEN</t>
  </si>
  <si>
    <t>Unit N7503 A. Bonifacio Avenue corner J. Tinsay St.	 Civil Aviation Complex	 Clark Freeport Zone	 Philippines</t>
  </si>
  <si>
    <t>2017-186</t>
  </si>
  <si>
    <t>REGINA CRUZ</t>
  </si>
  <si>
    <t>2019-01-04T16:00:00.000Z</t>
  </si>
  <si>
    <t>CLEARWATER COUNTRY CLUB INC</t>
  </si>
  <si>
    <t>DELANTAR</t>
  </si>
  <si>
    <t>LEONEL</t>
  </si>
  <si>
    <t>SALUD</t>
  </si>
  <si>
    <t>ACCOUNT OFFICER</t>
  </si>
  <si>
    <t>Bldg 4081 Centennial corner Creekside Roads	 Clark Freeport Zone	 Pampanga</t>
  </si>
  <si>
    <t>Leonel@YatsRestaurant.com</t>
  </si>
  <si>
    <t>-02- 633-1566 loc 103</t>
  </si>
  <si>
    <t>2016-569</t>
  </si>
  <si>
    <t>2019-10-17T16:00:00.000Z</t>
  </si>
  <si>
    <t>GOOD MEMORY ADVENTURE INC</t>
  </si>
  <si>
    <t>O</t>
  </si>
  <si>
    <t>Receptionist</t>
  </si>
  <si>
    <t>Unit 45B 1st  2nd Floor	 Regency Park Townhouses	 Jose Abad Santos Avenue	 Rio Grande and E Aguinaldo Streets 	 Clark Freeport Zone	 Philippines</t>
  </si>
  <si>
    <t>hotelplatanusgmainc@gmail.com</t>
  </si>
  <si>
    <t>045-499-0931</t>
  </si>
  <si>
    <t>2016-599</t>
  </si>
  <si>
    <t>1969-12-31T16:00:00.000Z</t>
  </si>
  <si>
    <t>/uploads/file-1494392041802.jpg</t>
  </si>
  <si>
    <t>GEOPRO GLOBAL SOLUTIONS INC</t>
  </si>
  <si>
    <t>Calbang</t>
  </si>
  <si>
    <t>Annabel Adrianne</t>
  </si>
  <si>
    <t>Commercial Space Nos 301  302	 Lot 1  2 Cor J Abad Santos and Quirino St	 Clark Freeport Zone	 Philippines</t>
  </si>
  <si>
    <t>geoproglobalsolutions@gmail.com</t>
  </si>
  <si>
    <t>2017-144</t>
  </si>
  <si>
    <t>geoproglobal2020</t>
  </si>
  <si>
    <t>2018-02-27T16:00:00.000Z</t>
  </si>
  <si>
    <t>/uploads/file-1565405435326.jpg</t>
  </si>
  <si>
    <t>TORO PHILIPPINES</t>
  </si>
  <si>
    <t>Diaz</t>
  </si>
  <si>
    <t>Camille Ann</t>
  </si>
  <si>
    <t>Tiglao</t>
  </si>
  <si>
    <t>2nd Floor Clark Center 10 Berthpahil Clark Center Jose Abad Santos Ave Clark Freeport Zone Pampanga</t>
  </si>
  <si>
    <t>camille.diaz@torocloud.com</t>
  </si>
  <si>
    <t>2016-535</t>
  </si>
  <si>
    <t>2017-12-30T16:00:00.000Z</t>
  </si>
  <si>
    <t>BPOIT Company</t>
  </si>
  <si>
    <t>/uploads/file-1494467010053.jpg</t>
  </si>
  <si>
    <t>JEON SEUNG PHILS CONSTRUCTION CORP</t>
  </si>
  <si>
    <t>DEVILLES</t>
  </si>
  <si>
    <t>MAE DIANNE</t>
  </si>
  <si>
    <t>ROSALINA</t>
  </si>
  <si>
    <t>ADMIN STAFF</t>
  </si>
  <si>
    <t>Room 1	 Philexcel Business Arcade 1	 Philexcel Business Park	 Inc M A Roxas Highway</t>
  </si>
  <si>
    <t>jspcc_2013@yahoo.com.ph</t>
  </si>
  <si>
    <t>0917-5149-185</t>
  </si>
  <si>
    <t>2015-381</t>
  </si>
  <si>
    <t>jeonseung2013</t>
  </si>
  <si>
    <t>2019-04-29T16:00:00.000Z</t>
  </si>
  <si>
    <t>SG ECO INDUSTRIES INC</t>
  </si>
  <si>
    <t>HATOL</t>
  </si>
  <si>
    <t>ERWIN JUDE</t>
  </si>
  <si>
    <t>REDOLFIN</t>
  </si>
  <si>
    <t>Lot 114 Industrial Estate 5 MA Roxas Highway Clark Freeport Zone	 Philippines</t>
  </si>
  <si>
    <t>office@eco.ph</t>
  </si>
  <si>
    <t>045-499-1037</t>
  </si>
  <si>
    <t>2014-181</t>
  </si>
  <si>
    <t>2017-05-29T16:00:00.000Z</t>
  </si>
  <si>
    <t>DEPTH OFFSHORE INC</t>
  </si>
  <si>
    <t>Gladys Ann</t>
  </si>
  <si>
    <t>Ganzon</t>
  </si>
  <si>
    <t>Finance and Payroll Manager</t>
  </si>
  <si>
    <t>Office Center 08 IJ Bertaphil	 Clark Center	 Jose Abad Santos Avenue	 Clark Freeport Zone	 Philippines</t>
  </si>
  <si>
    <t>gladys@depthlogistics.com</t>
  </si>
  <si>
    <t>045- 280 5298</t>
  </si>
  <si>
    <t>2017-047</t>
  </si>
  <si>
    <t>DOpeople2017</t>
  </si>
  <si>
    <t>MARS JR RESTAURANT</t>
  </si>
  <si>
    <t>Kit</t>
  </si>
  <si>
    <t>Rosalino jr</t>
  </si>
  <si>
    <t>Versoza</t>
  </si>
  <si>
    <t>Unit 4	 Ground Floor NorthWalk	 Clark Freeport Zone	 Philippines</t>
  </si>
  <si>
    <t>marsrestaurant1985@gmail.com</t>
  </si>
  <si>
    <t>2016-607</t>
  </si>
  <si>
    <t>2020-01-07T16:00:00.000Z</t>
  </si>
  <si>
    <t>NK INTERNATIONAL CO LTD</t>
  </si>
  <si>
    <t>SANGUYU</t>
  </si>
  <si>
    <t>CHRISTY</t>
  </si>
  <si>
    <t>MAGLALANG</t>
  </si>
  <si>
    <t>MCIDC Bldg corner P Kalaw and R Magsaysay Avenues	 Clark Freeport Zone	 Philippines</t>
  </si>
  <si>
    <t>info.nkicl@gmail.com</t>
  </si>
  <si>
    <t>045-499-1148</t>
  </si>
  <si>
    <t>2014-029</t>
  </si>
  <si>
    <t>2017-01-20T16:00:00.000Z</t>
  </si>
  <si>
    <t>CLARK DATA CENTER INC</t>
  </si>
  <si>
    <t>Leones</t>
  </si>
  <si>
    <t>Mary Ann</t>
  </si>
  <si>
    <t>Sr Human Resources Associate</t>
  </si>
  <si>
    <t>5th Floor  Office 4 Clark City Front Tower 1 M A Roxas Highway Clark Freeport Zone Philippines</t>
  </si>
  <si>
    <t>mleones@sviisca.com</t>
  </si>
  <si>
    <t>2016-405</t>
  </si>
  <si>
    <t>cdci1996</t>
  </si>
  <si>
    <t>2019-06-25T16:00:00.000Z</t>
  </si>
  <si>
    <t>Data Management</t>
  </si>
  <si>
    <t>/uploads/file-1495169247385.jpg</t>
  </si>
  <si>
    <t>MILLENNIUM TECHNOLOGY SERVICES GROUP PHILIPPINES INC</t>
  </si>
  <si>
    <t>Bongat</t>
  </si>
  <si>
    <t>Marry Ann</t>
  </si>
  <si>
    <t>Unit 3 Second Floor	 Stotsenberg Medical Center Bldg	 Ninoy Aquino Avenue corner S Osmena  E Quirino Streets	 Clark Freeport Zone	 Philippines</t>
  </si>
  <si>
    <t>marryann.bongat@mtscloud.com</t>
  </si>
  <si>
    <t>2017-200</t>
  </si>
  <si>
    <t>IT Services</t>
  </si>
  <si>
    <t>/uploads/file-1495434349224.jpg</t>
  </si>
  <si>
    <t>L C GUINTOS FOOD SERVICES</t>
  </si>
  <si>
    <t>guinto</t>
  </si>
  <si>
    <t>loreta</t>
  </si>
  <si>
    <t>cataquis</t>
  </si>
  <si>
    <t>owner</t>
  </si>
  <si>
    <t>Bldg PTI03 AB OEM International Trading	 Inc Philexcel Business Park	 Inc	 M A Roxas 	 Clark Freeport Zone	 Philippines</t>
  </si>
  <si>
    <t>guintoloreta@yahoo.com</t>
  </si>
  <si>
    <t>2017-009</t>
  </si>
  <si>
    <t>2017-08-06T16:00:00.000Z</t>
  </si>
  <si>
    <t>YI WINE CLUB INC</t>
  </si>
  <si>
    <t>Tayag</t>
  </si>
  <si>
    <t>Sharie</t>
  </si>
  <si>
    <t>Pacnis</t>
  </si>
  <si>
    <t>Accounting  Admin Officer</t>
  </si>
  <si>
    <t>Bldg 4081 Centenial Corner Creekside Road Clark Freeport Zone Pampanga</t>
  </si>
  <si>
    <t>sharie@yatswinecellars.com</t>
  </si>
  <si>
    <t>2013-615</t>
  </si>
  <si>
    <t>Quickbooks1</t>
  </si>
  <si>
    <t>2016-11-03T16:00:00.000Z</t>
  </si>
  <si>
    <t>OUTSOURCED HR SOLUTION CORP</t>
  </si>
  <si>
    <t>Godbehere</t>
  </si>
  <si>
    <t>Tony</t>
  </si>
  <si>
    <t>T</t>
  </si>
  <si>
    <t>Unit 1	 Second Floor	 Northwalk Clark Complex 	 Clark Freeport Zone	 Philippines</t>
  </si>
  <si>
    <t>tony@ohrs.com.ph</t>
  </si>
  <si>
    <t>2017-116</t>
  </si>
  <si>
    <t>2018-01-29T16:00:00.000Z</t>
  </si>
  <si>
    <t>/uploads/file-1499299142416.jpg</t>
  </si>
  <si>
    <t>WELIVELY INC</t>
  </si>
  <si>
    <t>YUMUL</t>
  </si>
  <si>
    <t>BON</t>
  </si>
  <si>
    <t>Building 49 Philexcel Business Park	 MA Roxas Highway		 Clark Freeport Zone	 Philippines</t>
  </si>
  <si>
    <t>bon@welivelyinc.com</t>
  </si>
  <si>
    <t>045-499-4966</t>
  </si>
  <si>
    <t>2017-209</t>
  </si>
  <si>
    <t>welively2017</t>
  </si>
  <si>
    <t>2020-05-13T16:00:00.000Z</t>
  </si>
  <si>
    <t>SHORESUITE NET INC</t>
  </si>
  <si>
    <t>Unit 1F7 Philexcel Business Center 6	 Philexcel Business Park	 MA Roxas Highway	 Clark Freeport Zone	 Philippines</t>
  </si>
  <si>
    <t>499-3268</t>
  </si>
  <si>
    <t>2017-204</t>
  </si>
  <si>
    <t>2019-05-30T16:00:00.000Z</t>
  </si>
  <si>
    <t>/uploads/file-1496390770160.JPG</t>
  </si>
  <si>
    <t>628 MERCHANDISING CORPORATION</t>
  </si>
  <si>
    <t>Along E Quirino st cor Malago st	 Clark Freeport Zone	 Philippines</t>
  </si>
  <si>
    <t>josiecastro113@yahoo.com</t>
  </si>
  <si>
    <t>0925-358-1477</t>
  </si>
  <si>
    <t>2016-156</t>
  </si>
  <si>
    <t>2019-05-29T16:00:00.000Z</t>
  </si>
  <si>
    <t>SUMIDENSO AUTOMOTIVE TECHNOLOGIES ASIA CORPORATION</t>
  </si>
  <si>
    <t>Yutuc</t>
  </si>
  <si>
    <t>Jose Abad Santos Highway corner Bayanihan Street	 Clark Freeport Zone	 Philippines</t>
  </si>
  <si>
    <t>hazel-deleon@sws.com</t>
  </si>
  <si>
    <t>599-5518</t>
  </si>
  <si>
    <t>2015-106</t>
  </si>
  <si>
    <t>satahr1234</t>
  </si>
  <si>
    <t>2018-04-06T16:00:00.000Z</t>
  </si>
  <si>
    <t>Design consultancy service</t>
  </si>
  <si>
    <t>/uploads/file-1496730115814.jpg</t>
  </si>
  <si>
    <t>SOLID STATE LED LIGHTING INC</t>
  </si>
  <si>
    <t>SUMMERS</t>
  </si>
  <si>
    <t>RUSSEL</t>
  </si>
  <si>
    <t>KEITH</t>
  </si>
  <si>
    <t>PRESIDENTCEO</t>
  </si>
  <si>
    <t>Unit 34B	 Philexcel Business Park	 MA Roxas Highway	 Clark Freeport Zone	 Philippines</t>
  </si>
  <si>
    <t>acctg.sslli@gmail.com</t>
  </si>
  <si>
    <t>2015-016</t>
  </si>
  <si>
    <t>SOLIDSTATE</t>
  </si>
  <si>
    <t>2018-02-21T16:00:00.000Z</t>
  </si>
  <si>
    <t>PUREGOLD DUTY FREE INC</t>
  </si>
  <si>
    <t>MA CRISELDA</t>
  </si>
  <si>
    <t>SUAREZ</t>
  </si>
  <si>
    <t>C M Recto Highway cor P Kalaw Street	 Clark Freeport Zone	 Philippines</t>
  </si>
  <si>
    <t>carreoncriselda080@gmail.com</t>
  </si>
  <si>
    <t>09385042844- 599-2348</t>
  </si>
  <si>
    <t>2016-635</t>
  </si>
  <si>
    <t>dutyfree123456</t>
  </si>
  <si>
    <t>2019-07-13T16:00:00.000Z</t>
  </si>
  <si>
    <t>Duty Free shop</t>
  </si>
  <si>
    <t>/uploads/file-1541563742934.png</t>
  </si>
  <si>
    <t>DQ BUSINESS SOLUTIONS INC</t>
  </si>
  <si>
    <t>Macalindong</t>
  </si>
  <si>
    <t>Maria Criselle B Macalindong</t>
  </si>
  <si>
    <t>Braganza</t>
  </si>
  <si>
    <t>Third Floor	 Clark Center 09	 Berthaphil Clark Center	 Jose Abad Santos Avenue		 Clark Freeport Zone	 Philippines</t>
  </si>
  <si>
    <t>criselle.macalindong@dynamicquest.com</t>
  </si>
  <si>
    <t>2016-401</t>
  </si>
  <si>
    <t>BitSavvy18</t>
  </si>
  <si>
    <t>2019-08-20T16:00:00.000Z</t>
  </si>
  <si>
    <t>/uploads/file-1562142852513.png</t>
  </si>
  <si>
    <t>RN3DS CATERING SERVICES</t>
  </si>
  <si>
    <t>MELANIE</t>
  </si>
  <si>
    <t>BANGIT</t>
  </si>
  <si>
    <t>2430 Maloma Street	 Clark Freeport Zone	 Philippines</t>
  </si>
  <si>
    <t>melanie.mercado19@yahoo.com</t>
  </si>
  <si>
    <t>0921-641-9248</t>
  </si>
  <si>
    <t>2017-106</t>
  </si>
  <si>
    <t>2017-10-30T16:00:00.000Z</t>
  </si>
  <si>
    <t>DIRECT SOURCING SOLUTIONS PHILIPPINES INC</t>
  </si>
  <si>
    <t>ANNIELYN</t>
  </si>
  <si>
    <t>BROSAS</t>
  </si>
  <si>
    <t>HUMAN RESOURCES OFFICER</t>
  </si>
  <si>
    <t>Pavilion 06 AB Clark Center Jose Abad Santos Avenue Clark Freeport Zone</t>
  </si>
  <si>
    <t>annielyn.david@dss.asia</t>
  </si>
  <si>
    <t>0917-833-4851</t>
  </si>
  <si>
    <t>2017-169</t>
  </si>
  <si>
    <t>2020-05-30T16:00:00.000Z</t>
  </si>
  <si>
    <t>MEISEI ELECTRIC PHIILS CORPORATION</t>
  </si>
  <si>
    <t>ESPINO</t>
  </si>
  <si>
    <t>ANNA MARIE</t>
  </si>
  <si>
    <t>SANGALANG</t>
  </si>
  <si>
    <t>Meisei	 Berthaphil II Compound	 Manunggal Street	Jose Abad Santos Avenue 	 Clark Freeport Zone	 Philippines</t>
  </si>
  <si>
    <t>annamarie.espino@meiseidenki.ph</t>
  </si>
  <si>
    <t>09176713312 or 045-599-5744</t>
  </si>
  <si>
    <t>2016-536</t>
  </si>
  <si>
    <t>MEISEI@5744</t>
  </si>
  <si>
    <t>2018-12-30T16:00:00.000Z</t>
  </si>
  <si>
    <t>LOS ANGELES FITNESS INC.</t>
  </si>
  <si>
    <t>MARLON AMIEL</t>
  </si>
  <si>
    <t>MENDIOLA</t>
  </si>
  <si>
    <t>CLUB MANAGER</t>
  </si>
  <si>
    <t>GROUND FLOOR CLARK CENTER 8 BERTHAPHIL III	 JOSE ABAD SANTOS AVENUE	 CLARK FREE PORT ZONE	 PHILIPPINES</t>
  </si>
  <si>
    <t>m.santos@goldsgym.com.ph</t>
  </si>
  <si>
    <t>0905 575 8800</t>
  </si>
  <si>
    <t>2016-073</t>
  </si>
  <si>
    <t>FITNESS &amp; HEALTH</t>
  </si>
  <si>
    <t>CLARK AGRI TECH INC</t>
  </si>
  <si>
    <t>BUGUIAS</t>
  </si>
  <si>
    <t>RUCHELLE</t>
  </si>
  <si>
    <t>DAGCUTAN</t>
  </si>
  <si>
    <t>ADMIN  SECRETARY</t>
  </si>
  <si>
    <t>Bldg 7080	 Area 4	 Civil Aviation Complex	 Clark Freeport Zone	 Philippines</t>
  </si>
  <si>
    <t>clarkagritech1@yahoo.com</t>
  </si>
  <si>
    <t>0458756546-47-09253589480</t>
  </si>
  <si>
    <t>2017-130</t>
  </si>
  <si>
    <t>2018-12-29T16:00:00.000Z</t>
  </si>
  <si>
    <t>/uploads/file-1498113843090.JPG</t>
  </si>
  <si>
    <t>AIRCRAFT SUPPORT INDUSTRIES DEVELOPMENT INC</t>
  </si>
  <si>
    <t>April Cline</t>
  </si>
  <si>
    <t>Mangalus</t>
  </si>
  <si>
    <t>PIC Admin</t>
  </si>
  <si>
    <t>Unit 2	 Second Floor	 Stotsenberg Medical Center Inc Building	 E Jacinto Corner Ninoy Aquino Avenue 	 Clark Freeport Zone	 Philippines</t>
  </si>
  <si>
    <t>adizon@asiglobal.net</t>
  </si>
  <si>
    <t>2017-185</t>
  </si>
  <si>
    <t>cdc_admin</t>
  </si>
  <si>
    <t>admin1234-</t>
  </si>
  <si>
    <t>admin</t>
  </si>
  <si>
    <t>JISEN TOURISM INTL CORPORATION</t>
  </si>
  <si>
    <t>SIBUG</t>
  </si>
  <si>
    <t>ADMIN OFFICER</t>
  </si>
  <si>
    <t>Office Suites B	 Berthaphil Clark Center III	 Jose Abad	 Santos Avenue	 Clark Freeport Zone	 Philippines</t>
  </si>
  <si>
    <t>JISENTourism@gmail.com</t>
  </si>
  <si>
    <t>499-0413</t>
  </si>
  <si>
    <t>2015-156</t>
  </si>
  <si>
    <t>jisenTIC</t>
  </si>
  <si>
    <t>/uploads/file-1556524077743.png</t>
  </si>
  <si>
    <t>ZMARTCHOICES INC</t>
  </si>
  <si>
    <t>First Floor Building 43	 Philexcel Business Park MA Roxas Highway</t>
  </si>
  <si>
    <t>WINGLOBAL MANUFACTURING PHILS INC</t>
  </si>
  <si>
    <t>CANLAPAN</t>
  </si>
  <si>
    <t>ABIGAIL</t>
  </si>
  <si>
    <t>BOTIO</t>
  </si>
  <si>
    <t>Company Secretary</t>
  </si>
  <si>
    <t>Bldg N17107 Blue Diamond Corner Basilio  Fernando Street Clark Freeport Zone Pampanga</t>
  </si>
  <si>
    <t>winglobalinc0517@gmail.com</t>
  </si>
  <si>
    <t>-63 963 048 1393</t>
  </si>
  <si>
    <t>2017-210</t>
  </si>
  <si>
    <t>/uploads/file-1515396465883.jpg</t>
  </si>
  <si>
    <t>ELDORADO STONE PHILIPPINES INC</t>
  </si>
  <si>
    <t>Mapa</t>
  </si>
  <si>
    <t>Gapas</t>
  </si>
  <si>
    <t>Accounting Head</t>
  </si>
  <si>
    <t>Bldg N3680 Pura V Kalaw St	 Clark Freeport Zone	 Pampanga</t>
  </si>
  <si>
    <t>mmapa@eldoradostone.com</t>
  </si>
  <si>
    <t>045-4991677</t>
  </si>
  <si>
    <t>2015-350</t>
  </si>
  <si>
    <t>2017-10-18T16:00:00.000Z</t>
  </si>
  <si>
    <t>/uploads/file-1499304751012.jpg</t>
  </si>
  <si>
    <t>CYZERG PHILIPPINES TECHNOLOGY INC</t>
  </si>
  <si>
    <t>Kurt Lauren</t>
  </si>
  <si>
    <t>Villaver</t>
  </si>
  <si>
    <t>Accounting  Financial Manager</t>
  </si>
  <si>
    <t>Unit 1 Ground Floor Clark Center 11 Jose Abad Santos Ave Clark Freeport Mabalacat 2023 Pampanga Philippines</t>
  </si>
  <si>
    <t>kreyes@cyzerg.com</t>
  </si>
  <si>
    <t>0945-174-0427</t>
  </si>
  <si>
    <t>2017-237</t>
  </si>
  <si>
    <t>2018-06-29T16:00:00.000Z</t>
  </si>
  <si>
    <t>NETTDRIVEN INTERNATIONAL CORP</t>
  </si>
  <si>
    <t>Bien</t>
  </si>
  <si>
    <t>Heriberto</t>
  </si>
  <si>
    <t>Reganit</t>
  </si>
  <si>
    <t>Unit 33L	 Philexcel Business Park	 MA Roxas Highway	 Clark Freeport Zone	 Philippines</t>
  </si>
  <si>
    <t>bob@nettdriven.com</t>
  </si>
  <si>
    <t>02-477-5605</t>
  </si>
  <si>
    <t>2016-490</t>
  </si>
  <si>
    <t>2019-09-29T16:00:00.000Z</t>
  </si>
  <si>
    <t>AFF OFFICE SUPPORT SERVICES INC</t>
  </si>
  <si>
    <t>Dimalanta</t>
  </si>
  <si>
    <t>Corporate SecretaryTreasurer</t>
  </si>
  <si>
    <t>Unit 23 The Pavilion Mall Philexcel Business Park M A Roxas Highway Clark Freeport Zone Philippines</t>
  </si>
  <si>
    <t>glenda@australianfinefoods.com</t>
  </si>
  <si>
    <t>2017-098</t>
  </si>
  <si>
    <t>APEM PHILIPPINES INC</t>
  </si>
  <si>
    <t>Joan</t>
  </si>
  <si>
    <t>Navarro</t>
  </si>
  <si>
    <t>Administration Manager</t>
  </si>
  <si>
    <t>Building 0103 Berthaphil Vi Industrial Park Panday Pira Avenue Clark Freeport Zone</t>
  </si>
  <si>
    <t>joan.dizon@asiapem.com</t>
  </si>
  <si>
    <t>499-0067</t>
  </si>
  <si>
    <t>2017-201</t>
  </si>
  <si>
    <t>berthaphil1</t>
  </si>
  <si>
    <t>2017-06-29T16:00:00.000Z</t>
  </si>
  <si>
    <t>/uploads/file-1501562085790.JPG</t>
  </si>
  <si>
    <t>2019-04-15T16:00:00.000Z</t>
  </si>
  <si>
    <t>PHILIPPINE INTERNATIONAL ENGLISH INSTITUTE INC</t>
  </si>
  <si>
    <t>Mandawe</t>
  </si>
  <si>
    <t>Bldg N1473 Unit 203204 Rio Grande de Pampanga cor Abacan Sts Clark Freeport Zone Philippines</t>
  </si>
  <si>
    <t>ginamandawe@yahoo.com</t>
  </si>
  <si>
    <t>2017-263</t>
  </si>
  <si>
    <t>pieiclark2017</t>
  </si>
  <si>
    <t>/uploads/file-1512124769840.png</t>
  </si>
  <si>
    <t>GLYTE AVIATION CORPORATION</t>
  </si>
  <si>
    <t>Lalu</t>
  </si>
  <si>
    <t>Rizalino</t>
  </si>
  <si>
    <t>Del Rosario</t>
  </si>
  <si>
    <t>Treasurer</t>
  </si>
  <si>
    <t>Office Number S05 5F Clark Center 07 Clark Center Jose Abad Santos Avenue  Clark Freeport Zone Philippines</t>
  </si>
  <si>
    <t>rizalino_lalu@yahoo.com</t>
  </si>
  <si>
    <t>2017-142</t>
  </si>
  <si>
    <t>RDLalu123074</t>
  </si>
  <si>
    <t>GIADA LUAN CORP</t>
  </si>
  <si>
    <t>Clariane Angel</t>
  </si>
  <si>
    <t>Ofc 5A Berthaphil 3 Clark Center Jose Abad Santos Ave Clarkfreeport Zone Philippines</t>
  </si>
  <si>
    <t>giadaluan@gmail.com</t>
  </si>
  <si>
    <t>C2017-134</t>
  </si>
  <si>
    <t>OHSUNG MASAYA CORP</t>
  </si>
  <si>
    <t>MUNOZ</t>
  </si>
  <si>
    <t>KEREN</t>
  </si>
  <si>
    <t>RAZON</t>
  </si>
  <si>
    <t>Unit 206 Bldg N1473 Rio Grande de Pampanga cor Abacan Sts Clark Freeport Zone Philippines</t>
  </si>
  <si>
    <t>Ohsungmasayacorp@gmail.com</t>
  </si>
  <si>
    <t>2017-189</t>
  </si>
  <si>
    <t>ohsung2017</t>
  </si>
  <si>
    <t>/uploads/file-1500966112308.png</t>
  </si>
  <si>
    <t>247 BPO SERVICES INC</t>
  </si>
  <si>
    <t>SISON</t>
  </si>
  <si>
    <t>SHAYNE ANNE</t>
  </si>
  <si>
    <t>RECRUITMENT MANAGER</t>
  </si>
  <si>
    <t>Unit B Third Floor Clark Center 7 Berthaphil Clark Center Jose Abad Santos Avenue Clark Freeport Zone Philippines</t>
  </si>
  <si>
    <t>shayne@247bposervices.com</t>
  </si>
  <si>
    <t>2016-513</t>
  </si>
  <si>
    <t>hrrecteam!</t>
  </si>
  <si>
    <t>CALL CENTERBPO</t>
  </si>
  <si>
    <t>/uploads/file-1531192924311.png</t>
  </si>
  <si>
    <t>THE PARK VIEW VILLAGE AND POOL VILLA RESORT CORP</t>
  </si>
  <si>
    <t>Fernandez</t>
  </si>
  <si>
    <t>Rachelle</t>
  </si>
  <si>
    <t>Lot 11 Commercial Mixed Use B CM Recto  Clark Freeport Zone Philippines</t>
  </si>
  <si>
    <t>theparkviewresort@gmail.com</t>
  </si>
  <si>
    <t>045- 499-6490</t>
  </si>
  <si>
    <t>2017-308</t>
  </si>
  <si>
    <t>AIRWORTHY INTERNATIONAL INC</t>
  </si>
  <si>
    <t>Warehouse 1F  1FA Berthaphil IV A Bonifacio Avenue Clark Freeport Zone Pampanga 2023</t>
  </si>
  <si>
    <t>2017-333</t>
  </si>
  <si>
    <t>Aerospace2018</t>
  </si>
  <si>
    <t>/uploads/file-1509613223966.jpg</t>
  </si>
  <si>
    <t>TELEDATA GLOBAL SOLUTIONS INC</t>
  </si>
  <si>
    <t>CARINO</t>
  </si>
  <si>
    <t>MARIA CLARISSA</t>
  </si>
  <si>
    <t>PABLO</t>
  </si>
  <si>
    <t>PURCHASING  LOGISTICS MANAGER</t>
  </si>
  <si>
    <t>Unit 33A Philexcel Business Park M Roxas Highway Clark Freeport Zone Philippines</t>
  </si>
  <si>
    <t>purchasing.tgsi@teledata.com.ph</t>
  </si>
  <si>
    <t>2017-279</t>
  </si>
  <si>
    <t>ABC College</t>
  </si>
  <si>
    <t>Pons</t>
  </si>
  <si>
    <t>Instructor</t>
  </si>
  <si>
    <t>Angeles City</t>
  </si>
  <si>
    <t>pvdcruz@gmail.com</t>
  </si>
  <si>
    <t>abc_college</t>
  </si>
  <si>
    <t>City College of Angeles</t>
  </si>
  <si>
    <t>Arayat Blvd Barangay Pampang Angeles City</t>
  </si>
  <si>
    <t>cca_college</t>
  </si>
  <si>
    <t>Guagua National Colleges</t>
  </si>
  <si>
    <t>Guagua Pampanga</t>
  </si>
  <si>
    <t>gn_college</t>
  </si>
  <si>
    <t>deanengg2017</t>
  </si>
  <si>
    <t>/uploads/file-1507011854722.JPG</t>
  </si>
  <si>
    <t>PRIME CONSULTING AND SVCS INC</t>
  </si>
  <si>
    <t>GUINTU</t>
  </si>
  <si>
    <t>SHAIRA</t>
  </si>
  <si>
    <t>GAMBOA</t>
  </si>
  <si>
    <t>212B 2nd Floor Philmade Building Lot 1 and 2 corner Jose Abad Santos Avenue and E Quirino Street Clark Freeport Zone Philippines</t>
  </si>
  <si>
    <t>pcasi2016@gmail.com</t>
  </si>
  <si>
    <t>2017-102</t>
  </si>
  <si>
    <t>pcasi2016</t>
  </si>
  <si>
    <t>OFFICE SPACE</t>
  </si>
  <si>
    <t>/uploads/file-1547096153458.jpg</t>
  </si>
  <si>
    <t>MATHPIA CORP</t>
  </si>
  <si>
    <t>RATO</t>
  </si>
  <si>
    <t>TAMCHIATCO</t>
  </si>
  <si>
    <t>Unit 202A Bldg N1473 Rio Grande de Pampanga cor Abacan St Clark Freeport Zone Philippines</t>
  </si>
  <si>
    <t>eqt123@gmail.com</t>
  </si>
  <si>
    <t>499 22 76</t>
  </si>
  <si>
    <t>2017-254</t>
  </si>
  <si>
    <t>NP GLOBAL MACHINE TECHNOLOGIES INC</t>
  </si>
  <si>
    <t>BOGNOT</t>
  </si>
  <si>
    <t>MARY ROSELLE</t>
  </si>
  <si>
    <t>BALUYUT</t>
  </si>
  <si>
    <t>IMPEX OFFICER</t>
  </si>
  <si>
    <t>Unit 27IL Philexcel Business Park MA Roxas Highway Clark Freeport Zone Philippines</t>
  </si>
  <si>
    <t>null</t>
  </si>
  <si>
    <t>roselle@npmanila.com</t>
  </si>
  <si>
    <t>2017-294</t>
  </si>
  <si>
    <t>NPG27IL</t>
  </si>
  <si>
    <t>/uploads/file-1507860141105.jpg</t>
  </si>
  <si>
    <t>BOUTIQUE MANAGEMENT SOLUTIONS PTY LTD  PHILIPPINE BRANCH</t>
  </si>
  <si>
    <t>Pabustan</t>
  </si>
  <si>
    <t>Sharmaine</t>
  </si>
  <si>
    <t>Del Fin</t>
  </si>
  <si>
    <t>3rd Floor Clark Center 08 Berthaphil III Center at Clark Jose Abad Santos  Avenue Clark Freeport Zone Philippines</t>
  </si>
  <si>
    <t>sharmaine@bms.net.ph</t>
  </si>
  <si>
    <t>2017-111</t>
  </si>
  <si>
    <t>BDO UNIBANK INC</t>
  </si>
  <si>
    <t>Maxlen</t>
  </si>
  <si>
    <t>Tagle</t>
  </si>
  <si>
    <t>Unit 12910 GF Clark Center 14Clark CenterJose Abad Santos AveClark Freeport Zone Pampanga</t>
  </si>
  <si>
    <t>bh.bdo-clark-center@bdo.com.ph</t>
  </si>
  <si>
    <t>2014-406</t>
  </si>
  <si>
    <t>Banking</t>
  </si>
  <si>
    <t>/uploads/file-1509975246355.png</t>
  </si>
  <si>
    <t>GREEN CANYON LEISURE FARMS CORPORATION</t>
  </si>
  <si>
    <t>Limjap</t>
  </si>
  <si>
    <t>Geraldine</t>
  </si>
  <si>
    <t>hr officer</t>
  </si>
  <si>
    <t>Sitio Balacbac San Vicente Bamban Tarlac Clark Special Economic Zone SubZone Clark Freeport Zone Philippines</t>
  </si>
  <si>
    <t>humanresources@greencanyon.com.ph</t>
  </si>
  <si>
    <t>GCLFC</t>
  </si>
  <si>
    <t>Tourism State</t>
  </si>
  <si>
    <t>JTA VMI CORPORATION</t>
  </si>
  <si>
    <t>ABA</t>
  </si>
  <si>
    <t>ELLEN JOY</t>
  </si>
  <si>
    <t>Unit 46A Philexcel Business Park M Roxas Highway Clark Freeport Zone Philippines</t>
  </si>
  <si>
    <t>ellenjoy05.jta@gmail.com</t>
  </si>
  <si>
    <t>2017-300</t>
  </si>
  <si>
    <t>japantakeshiro</t>
  </si>
  <si>
    <t>DEPED Angeles city</t>
  </si>
  <si>
    <t>deped_angelescity</t>
  </si>
  <si>
    <t>ACCELIGENT SOLUTIONS INTERNATIONAL INC</t>
  </si>
  <si>
    <t>ESTILLORE</t>
  </si>
  <si>
    <t>ARTMEL</t>
  </si>
  <si>
    <t>V</t>
  </si>
  <si>
    <t>Unit 33H Philexcel Business Park M A Roxas Highway Clark Freeport Zone Philippines</t>
  </si>
  <si>
    <t>art.estillore@acceligent.com.ph</t>
  </si>
  <si>
    <t>2017-133</t>
  </si>
  <si>
    <t>SHORE MKTG ASIA INC</t>
  </si>
  <si>
    <t>Unit 1F6 Philexcel Business Center 6 Philexcel Business Park M A Roxas Highway Clark Freeport Zone Philippines</t>
  </si>
  <si>
    <t>2017-243</t>
  </si>
  <si>
    <t>sfroe360</t>
  </si>
  <si>
    <t>ESCPRO BUSINESS SERVICES  ENTERPRISE</t>
  </si>
  <si>
    <t>Room 11  14B Philexcel Business Center 1 M Roxas Highway Clark Freeport Zone Philippines</t>
  </si>
  <si>
    <t>2016-493</t>
  </si>
  <si>
    <t>/uploads/file-1508390964260.jpg</t>
  </si>
  <si>
    <t>AVANTI GARAGE DOOR OPENERS INC</t>
  </si>
  <si>
    <t>Jonia Jelly</t>
  </si>
  <si>
    <t>HUMAN RESOURCE OFFICER</t>
  </si>
  <si>
    <t>Unit 25A1 and Extension Unit A1 Clark Freeport Zone Philippines</t>
  </si>
  <si>
    <t>jocampo-avanti-gdo@hotmail.com</t>
  </si>
  <si>
    <t>2017-271</t>
  </si>
  <si>
    <t>Manufacturing Automatic Garage Door</t>
  </si>
  <si>
    <t>/uploads/file-1512693298662.png</t>
  </si>
  <si>
    <t>OFFSURE GLOBAL OUTSOURCING INC</t>
  </si>
  <si>
    <t>Rechenberg</t>
  </si>
  <si>
    <t>Jason Stanley</t>
  </si>
  <si>
    <t>Unit 2F1A Philexcel Business Center 10 Philexcel Business Park MA Roxas Highway Clark Freeport Zone Philippines</t>
  </si>
  <si>
    <t>jason@offsure.com</t>
  </si>
  <si>
    <t>2017-281</t>
  </si>
  <si>
    <t>MERCANTILE VENTURE PARTNERS ASIA PACIFIC INC</t>
  </si>
  <si>
    <t>Narciso</t>
  </si>
  <si>
    <t>Jessie Rey</t>
  </si>
  <si>
    <t>Caudal</t>
  </si>
  <si>
    <t>Sr People  Culture manager</t>
  </si>
  <si>
    <t>Unit 1F2 Philexcel Business Center 10 Philexcel Business Park M Roxas Highway Clark Freeport Zone Philippines</t>
  </si>
  <si>
    <t>jessie.narciso@findyourmvp.com</t>
  </si>
  <si>
    <t>2017-306</t>
  </si>
  <si>
    <t>MVPAsia2023!</t>
  </si>
  <si>
    <t>ConsultancySoftware Development</t>
  </si>
  <si>
    <t>/uploads/file-1641791697065.png</t>
  </si>
  <si>
    <t>ROLCOASIA INC</t>
  </si>
  <si>
    <t>SALAMAT</t>
  </si>
  <si>
    <t>EDGAR ALLAN</t>
  </si>
  <si>
    <t>PLANT MANAGER</t>
  </si>
  <si>
    <t>Bldg 01 Berthaphil II North E Quirino Avenue  Clark Freeport Zone Philippines</t>
  </si>
  <si>
    <t>esalamat@rolco.net.au</t>
  </si>
  <si>
    <t>2017-361</t>
  </si>
  <si>
    <t>/uploads/file-1533605754999.jpg</t>
  </si>
  <si>
    <t>BOOMERING INC</t>
  </si>
  <si>
    <t>Dungao</t>
  </si>
  <si>
    <t>Tipon</t>
  </si>
  <si>
    <t>Human Resource Manager</t>
  </si>
  <si>
    <t>Unit 1 Philexcel Retail Building 2 Philexcel Business Park M A Roxas Highway Clark Freeport Zone Philippines 2023</t>
  </si>
  <si>
    <t>hr-team@boomering.ph</t>
  </si>
  <si>
    <t>2017-328</t>
  </si>
  <si>
    <t>/uploads/file-1607047186308.png</t>
  </si>
  <si>
    <t>KEDI INDUSTRY PHILS INC</t>
  </si>
  <si>
    <t>Unit 35A Philexcel Business Park M A Roxas Highway Clark Freeport Zone Philippines</t>
  </si>
  <si>
    <t>2017-151</t>
  </si>
  <si>
    <t>kedi2019</t>
  </si>
  <si>
    <t>GASTROPUB INC</t>
  </si>
  <si>
    <t>ACCOUNTING</t>
  </si>
  <si>
    <t>Bldg 1984 along Mimosa Drive within the former Mimosa Leisure Estate Clark Freeport Zone Philippines</t>
  </si>
  <si>
    <t>leonel@yatsrestaurant.com</t>
  </si>
  <si>
    <t>09175559593-4991177</t>
  </si>
  <si>
    <t>2013-641</t>
  </si>
  <si>
    <t>PHILIPPINE SEVEN CORPORATION Franchisee Operated BRANDO C GAMUEDA</t>
  </si>
  <si>
    <t>Bldg 02  Retail 1 Berthaphil IV Clark Aviation Complex A Bonifacio Avenue Clark Freeport Zone Philippines</t>
  </si>
  <si>
    <t>rdavid_taxconsultant@yahoo.com</t>
  </si>
  <si>
    <t>pongsai97</t>
  </si>
  <si>
    <t>CITCO INTERNATIONAL SUPPORT SERVICES LIMITED CISSL PHILIPPINE BRANCH</t>
  </si>
  <si>
    <t>Fabunan</t>
  </si>
  <si>
    <t>Filomeno</t>
  </si>
  <si>
    <t>Finones</t>
  </si>
  <si>
    <t>HR Business Partner</t>
  </si>
  <si>
    <t>Clark Center 08 2nd Floor Berthaphil Clark Center J Abad Santos Avenue Clark Freeport Zone Philippines</t>
  </si>
  <si>
    <t>FFabunan@citco.com</t>
  </si>
  <si>
    <t>2017-215</t>
  </si>
  <si>
    <t>Citco1234</t>
  </si>
  <si>
    <t>PESO Capas</t>
  </si>
  <si>
    <t>Capas</t>
  </si>
  <si>
    <t>PESO_Capas</t>
  </si>
  <si>
    <t>ALLIANCE MANSOLS INC</t>
  </si>
  <si>
    <t>John Carlo</t>
  </si>
  <si>
    <t>HR Asst Supervisor</t>
  </si>
  <si>
    <t>Unit No 327 3rd Floor KACC Philmade Building Lot 12 corner Jose Abad Santos Avenue and E Quirino Street Clark Freeport Zone Clark Pampanga Philippines</t>
  </si>
  <si>
    <t>carloaguilar@espi.com.ph</t>
  </si>
  <si>
    <t>2017-336</t>
  </si>
  <si>
    <t>emsgroupclark</t>
  </si>
  <si>
    <t>Office space</t>
  </si>
  <si>
    <t>/uploads/file-1511513305042.png</t>
  </si>
  <si>
    <t>PESO Lubao</t>
  </si>
  <si>
    <t>Lubao Pampanga</t>
  </si>
  <si>
    <t>PESO_Lubao</t>
  </si>
  <si>
    <t>PESO Florida</t>
  </si>
  <si>
    <t>Florida Pampanga</t>
  </si>
  <si>
    <t>PESO_Florida</t>
  </si>
  <si>
    <t>/uploads/file-1512440348222.jpg</t>
  </si>
  <si>
    <t>Mabalacat City College</t>
  </si>
  <si>
    <t>Mabalacat City</t>
  </si>
  <si>
    <t>CONSOLIDATED GLOBAL IMPORTS INC</t>
  </si>
  <si>
    <t>SOLANO</t>
  </si>
  <si>
    <t>RYAN</t>
  </si>
  <si>
    <t>VALLEJO</t>
  </si>
  <si>
    <t>AREA OPERATIONS SUPERVISOR</t>
  </si>
  <si>
    <t>Convenience Store 1 Philexcel Business Park M A Roxas Highway Clark Freeport Zone Philippines</t>
  </si>
  <si>
    <t>ryan.solano@ministop.com.ph</t>
  </si>
  <si>
    <t>2017-372</t>
  </si>
  <si>
    <t>MARIETS CUISINE</t>
  </si>
  <si>
    <t>Bldg 36  37J A Santos Avenue Clark Freeport Zone Philippines</t>
  </si>
  <si>
    <t>rowena_cortez23@yahoo.com</t>
  </si>
  <si>
    <t>2017-171</t>
  </si>
  <si>
    <t>MERCEDESBENZ GROUP SERVICES PHILS INC</t>
  </si>
  <si>
    <t>MARIO</t>
  </si>
  <si>
    <t>L</t>
  </si>
  <si>
    <t>HR GENERALIST</t>
  </si>
  <si>
    <t>Unit AB 5th Floor MercedesBenz Center Berthaphil VIII Manuel A Roxas Highway Clark Freeport Zone Philippines</t>
  </si>
  <si>
    <t>mario_jr.espino@daimler.com</t>
  </si>
  <si>
    <t>2017-216</t>
  </si>
  <si>
    <t>MBGSP2019</t>
  </si>
  <si>
    <t>/uploads/file-1511406835372.png</t>
  </si>
  <si>
    <t>RAFAEL L LAZATIN MEMORIAL HIGH SCHOOL  SENIOR HIGH SCHOOL</t>
  </si>
  <si>
    <t>Maryleen</t>
  </si>
  <si>
    <t>HT1</t>
  </si>
  <si>
    <t>Quezon New Valley Street Mountain View Balibago Angeles City</t>
  </si>
  <si>
    <t>maryleen.vitug@deped.gov.ph</t>
  </si>
  <si>
    <t>rllmhs-shs</t>
  </si>
  <si>
    <t>rl307201</t>
  </si>
  <si>
    <t>7S BROKERAGE AND TRUCKING SERVICES</t>
  </si>
  <si>
    <t>Ivy</t>
  </si>
  <si>
    <t>N13636 Haitima Clark Compound M A Roxas Highway Clark Freeport Zone Philippines</t>
  </si>
  <si>
    <t>sevensbrokerage@yahoo.com</t>
  </si>
  <si>
    <t>2017-073</t>
  </si>
  <si>
    <t>7sbrokerage2017</t>
  </si>
  <si>
    <t>OLIVE NAV AIR INTERNATIONAL INC formerly Aventure Aviation Philippines Inc</t>
  </si>
  <si>
    <t>DON COLLINS</t>
  </si>
  <si>
    <t>J</t>
  </si>
  <si>
    <t>LOGISTICS DIRECTOR</t>
  </si>
  <si>
    <t>Unit 33D Philexcel Business Park M Roxas Highway Clark Freeport Zone Philippines</t>
  </si>
  <si>
    <t>collins.olivenavair@gmail.com</t>
  </si>
  <si>
    <t>2016-168</t>
  </si>
  <si>
    <t>collins143</t>
  </si>
  <si>
    <t>/uploads/file-1512309274847.jpg</t>
  </si>
  <si>
    <t>NEW AROMA EXPRESO RESTO BAR CORPORATION</t>
  </si>
  <si>
    <t>13B Pavilion Berthaphil Clark Center Jose Abad Santos Avenue Clark Freeport Zone Philippines</t>
  </si>
  <si>
    <t>2017-149</t>
  </si>
  <si>
    <t>RANS FOOD PLACE CORNER CORP</t>
  </si>
  <si>
    <t>LUCILLA</t>
  </si>
  <si>
    <t>LEONORA</t>
  </si>
  <si>
    <t>CORONEL</t>
  </si>
  <si>
    <t>ACCOUNTANT</t>
  </si>
  <si>
    <t>Pavilion 13A Berthaphil Clark Center Jose Abad Santos Avenue Clark Freeport Zone Philippines</t>
  </si>
  <si>
    <t>ynor0713@gmail.com</t>
  </si>
  <si>
    <t>2016-615</t>
  </si>
  <si>
    <t>FUTURE ASSIST AUSTRALIA INC</t>
  </si>
  <si>
    <t>TARUC</t>
  </si>
  <si>
    <t>KATHRINE</t>
  </si>
  <si>
    <t>MAGDAONG</t>
  </si>
  <si>
    <t>Unit 1F 1 Philexcel Business Center 15 Philexcel Business Park M A Roxas Clark Freeport Zone Philippines</t>
  </si>
  <si>
    <t>ktaruc@futureassist.com.au</t>
  </si>
  <si>
    <t>499-8047</t>
  </si>
  <si>
    <t>2017-435</t>
  </si>
  <si>
    <t>DRAGON 24 DESIGN AND PRINTING CORP</t>
  </si>
  <si>
    <t>PARAS</t>
  </si>
  <si>
    <t>ROANA MARIE</t>
  </si>
  <si>
    <t>SARABOSING</t>
  </si>
  <si>
    <t>Building 42 Philexcel Business Park M A Roxas Highway Clark Freeport Zone Philippines</t>
  </si>
  <si>
    <t>dragon24corp@gmail.com</t>
  </si>
  <si>
    <t>499-8081</t>
  </si>
  <si>
    <t>2017-439</t>
  </si>
  <si>
    <t>/uploads/file-1546565301484.jpg</t>
  </si>
  <si>
    <t>EDGE CANTEEN</t>
  </si>
  <si>
    <t>MACAPINLAC</t>
  </si>
  <si>
    <t>EDGIE</t>
  </si>
  <si>
    <t>Bldg 5204 Lily Hill Road corner Gil Puyat Avenue Clark Freeport Zone Philippines</t>
  </si>
  <si>
    <t>macapinlac003@gmail.com</t>
  </si>
  <si>
    <t>2017-433</t>
  </si>
  <si>
    <t>ALPHALAND AVIATION  PAMPANGA INC</t>
  </si>
  <si>
    <t>Arroyo</t>
  </si>
  <si>
    <t>Carl Joseph</t>
  </si>
  <si>
    <t>Bldg 7570 Clark Civil Aviation Complex Clark Freeport Zone Philippines</t>
  </si>
  <si>
    <t>cfarroyo@alphaland.com.ph</t>
  </si>
  <si>
    <t>2017-011</t>
  </si>
  <si>
    <t>365 DREAM MART INC</t>
  </si>
  <si>
    <t>FRING</t>
  </si>
  <si>
    <t>CRISTINO</t>
  </si>
  <si>
    <t>DIMAUN</t>
  </si>
  <si>
    <t>HRADMIN</t>
  </si>
  <si>
    <t>AGUINALDO</t>
  </si>
  <si>
    <t>chrisdfring@gmail.com</t>
  </si>
  <si>
    <t>2017-416</t>
  </si>
  <si>
    <t>RURAL BANK OF PORAC PAMPANGA INC DOING BUSINESS UNDER THE NAME AND STYLE OF PORAC BANK A RURAL BANK</t>
  </si>
  <si>
    <t>Gutierrez</t>
  </si>
  <si>
    <t>Corpuz</t>
  </si>
  <si>
    <t>AVP for HR</t>
  </si>
  <si>
    <t>Clark Hauz Bldg Lot 2 Bayanihan Park Angeles City Clark Freeport Zone Philippines</t>
  </si>
  <si>
    <t>ccgutierrez@poracbank.com</t>
  </si>
  <si>
    <t>MEU FELIZ FOOD SERVICE</t>
  </si>
  <si>
    <t>COMILANG</t>
  </si>
  <si>
    <t>AMELIA</t>
  </si>
  <si>
    <t>BUMANLAG</t>
  </si>
  <si>
    <t>SUPERVISOR</t>
  </si>
  <si>
    <t>Bldg N2710 E Quirino St Clark Freeport Zone Clark Freeport Zone Clark Freeport Zone Philippines</t>
  </si>
  <si>
    <t>gomezshira828@gmail.com</t>
  </si>
  <si>
    <t>2017-464</t>
  </si>
  <si>
    <t>/uploads/file-1546489501340.png</t>
  </si>
  <si>
    <t>BURYUNG CORPORATION</t>
  </si>
  <si>
    <t>Gubguban</t>
  </si>
  <si>
    <t>Honey</t>
  </si>
  <si>
    <t>Administrative Secretary</t>
  </si>
  <si>
    <t>Unit No 310 3rd Floor Philmade Building Lot 12 corner Jose Abad Santos Avenue and E Quirino Street Clark Freeport Zone Philippines</t>
  </si>
  <si>
    <t>buryungcorpsec@gmail.com</t>
  </si>
  <si>
    <t>2017-233</t>
  </si>
  <si>
    <t>BURYUNG2017</t>
  </si>
  <si>
    <t>/uploads/file-1520211198687.png</t>
  </si>
  <si>
    <t>GOLDEN LEAF MFG INTERNATIONAL INC</t>
  </si>
  <si>
    <t>Bldg 2A Berthaphil V Industrial Park Gil Puyat Avenue Clark Freeport Zone Philippines</t>
  </si>
  <si>
    <t>mtpf.amandavelasco@gmail.com</t>
  </si>
  <si>
    <t>045-322-8033</t>
  </si>
  <si>
    <t>2015-108</t>
  </si>
  <si>
    <t>CHINA BANKING CORPORATION</t>
  </si>
  <si>
    <t>LUGTU</t>
  </si>
  <si>
    <t>PAUL ANDREI</t>
  </si>
  <si>
    <t>FLORES</t>
  </si>
  <si>
    <t>Unit 2 Level 1  Unit 2 Level 2 Stotsenberg Medical Center Inc Building Ninoy Aquino Avenue corner S Osmena  E Jacinto Streets  Clark Freeport Zone Philippines</t>
  </si>
  <si>
    <t>PAFLUGTU@CHINABANK.PH</t>
  </si>
  <si>
    <t>499-8060</t>
  </si>
  <si>
    <t>2016-562</t>
  </si>
  <si>
    <t>ALORICA CLARK PHILIPPINES INC</t>
  </si>
  <si>
    <t>Chang</t>
  </si>
  <si>
    <t>Sr Director Human Resources</t>
  </si>
  <si>
    <t>1st Building of BC4 and 2nd building of BC5 Philexcel Business Park MA Roxas Highway Clark Freeport Zone Philippines</t>
  </si>
  <si>
    <t>catherine.sakay@alorica.com</t>
  </si>
  <si>
    <t>2017-170</t>
  </si>
  <si>
    <t>/uploads/file-1620354499776.png</t>
  </si>
  <si>
    <t>TRAVEL  LEISURE GLOBAL SUPPORT SERVICES PHILIPPINES INC</t>
  </si>
  <si>
    <t>Jaime</t>
  </si>
  <si>
    <t>Senior HR Business Partner</t>
  </si>
  <si>
    <t>Philexcel Business Center 17 M A Roxas Highway Clark Freeport Zone Pampanga Philippines</t>
  </si>
  <si>
    <t>HR.Clark@wyn.com</t>
  </si>
  <si>
    <t>045 599 8158</t>
  </si>
  <si>
    <t>2017-177</t>
  </si>
  <si>
    <t>C3 BURGER INC</t>
  </si>
  <si>
    <t>DEL AYRE</t>
  </si>
  <si>
    <t>FATIMA</t>
  </si>
  <si>
    <t>DICHOSO</t>
  </si>
  <si>
    <t>STORE MANAGER</t>
  </si>
  <si>
    <t>L4004 D DOMESTIC FOURTH LEVEL AIRSIDE CLARK FREEPORT ZONE</t>
  </si>
  <si>
    <t>151wendyscrkairport@gmail.com</t>
  </si>
  <si>
    <t>2017-147</t>
  </si>
  <si>
    <t>151WENDYSCLARKAIRPORT</t>
  </si>
  <si>
    <t>JB CLARK HILLS CORP</t>
  </si>
  <si>
    <t>Ablan</t>
  </si>
  <si>
    <t>Jullian Rosni</t>
  </si>
  <si>
    <t>Idday</t>
  </si>
  <si>
    <t>JB CLARK HILLS CORP OFFICE THE SHARP CLARK HILLS JOSE ABAD SANTOS AVE CLARK FREEPORT ZONE PAMPANGA PHILIPPINES 2023</t>
  </si>
  <si>
    <t>jbclarkhills@gmail.com</t>
  </si>
  <si>
    <t>2017-495</t>
  </si>
  <si>
    <t>November62017</t>
  </si>
  <si>
    <t>GOLD ONE ENTERPRISES INC</t>
  </si>
  <si>
    <t>Lofamia</t>
  </si>
  <si>
    <t>Christopher</t>
  </si>
  <si>
    <t>N6410N6413 M A Roxas Highway Clark Freeport Zone Clark Freeport Zone Philippines</t>
  </si>
  <si>
    <t>flyingv.goldone@gmail.com</t>
  </si>
  <si>
    <t>599-5578</t>
  </si>
  <si>
    <t>2016-549</t>
  </si>
  <si>
    <t>GOEI@UPPI</t>
  </si>
  <si>
    <t>CAA OUTSOURCING DESK INC</t>
  </si>
  <si>
    <t>Kimillie</t>
  </si>
  <si>
    <t>Baun</t>
  </si>
  <si>
    <t>Room 1A Philexcel Business Arcade 2 Philexcel Business Park MA Roxas Highway Clark Freeport Zone Philippines</t>
  </si>
  <si>
    <t>mskim@coghlans.ph</t>
  </si>
  <si>
    <t>2017-423</t>
  </si>
  <si>
    <t>Accounting</t>
  </si>
  <si>
    <t>Accounting Firm</t>
  </si>
  <si>
    <t>CHECKER HK SERVICES PHILIPPINES INC</t>
  </si>
  <si>
    <t>Camille</t>
  </si>
  <si>
    <t>Punzalan</t>
  </si>
  <si>
    <t>Administrative Staff</t>
  </si>
  <si>
    <t>Unit 1F3B 3C Philexcel Business Center 11 Philexcel Business Park Clark Freeport Zone Pampanga Philippines</t>
  </si>
  <si>
    <t>admin@checkerglobal.com</t>
  </si>
  <si>
    <t>2017-419</t>
  </si>
  <si>
    <t>/uploads/file-1521084263951.png</t>
  </si>
  <si>
    <t>SINGAPORE SCHOOL CLARK INC</t>
  </si>
  <si>
    <t>Cano</t>
  </si>
  <si>
    <t>Maria Florentina</t>
  </si>
  <si>
    <t>Lizares</t>
  </si>
  <si>
    <t>Head of School for Operations</t>
  </si>
  <si>
    <t>Clark Sun Valley Resort and Country Club Jose Abad Santos Avenue Clark Freeport Zone Philippines</t>
  </si>
  <si>
    <t>inahcano@singaporeschoolclark.com</t>
  </si>
  <si>
    <t>2017-214</t>
  </si>
  <si>
    <t>Choi Oriental Gardenplace Inc</t>
  </si>
  <si>
    <t>Hipolito</t>
  </si>
  <si>
    <t>Eugene</t>
  </si>
  <si>
    <t>M A Roxas St corner N Aquino Ave Clark Freeport Zone Philippines</t>
  </si>
  <si>
    <t>hreugenehipolito@gmail.com</t>
  </si>
  <si>
    <t>2017-422</t>
  </si>
  <si>
    <t>choi101917</t>
  </si>
  <si>
    <t>/uploads/file-1647666335549.jpg</t>
  </si>
  <si>
    <t>URBAN INTEGRATED CONSULTANTS INC</t>
  </si>
  <si>
    <t>Winstonita</t>
  </si>
  <si>
    <t>ATP</t>
  </si>
  <si>
    <t>Office Space  316 Lot 1  2 Corner Jose Abad Santos Ave and E Quirino St Clark Freeport Zone Philippines</t>
  </si>
  <si>
    <t>uicicfz@gmail.com</t>
  </si>
  <si>
    <t>499-8236</t>
  </si>
  <si>
    <t>2017-232</t>
  </si>
  <si>
    <t>EUDOXIA INC formerly INCLAWOOD DESIGN INC</t>
  </si>
  <si>
    <t>JOYCE CHRISTIAN</t>
  </si>
  <si>
    <t>Corp Secretary</t>
  </si>
  <si>
    <t>Bldg 3678	 CM Recto Highway	 Clark Freeport Zone	 Philippines</t>
  </si>
  <si>
    <t>inclawood.clark@gmail.com</t>
  </si>
  <si>
    <t>2017-213</t>
  </si>
  <si>
    <t>loveagain0628</t>
  </si>
  <si>
    <t>2020-02-19T16:00:00.000Z</t>
  </si>
  <si>
    <t>Business CenterCommercial</t>
  </si>
  <si>
    <t>/uploads/file-1515494054390.jpg</t>
  </si>
  <si>
    <t>NPI PLASTIC INTERNATIONAL INC</t>
  </si>
  <si>
    <t>Dalusung</t>
  </si>
  <si>
    <t>Mark Louie</t>
  </si>
  <si>
    <t>Tubera</t>
  </si>
  <si>
    <t>Unit 35D Philexcel Business Park M A Roxas Highway Clark Freeport Zone Philippines</t>
  </si>
  <si>
    <t>mark.npiplastic18@gmail.com</t>
  </si>
  <si>
    <t>2017-478</t>
  </si>
  <si>
    <t>/uploads/file-1564646883647.png</t>
  </si>
  <si>
    <t>ACESTAR INTERNATIONAL SERVICE CORPORATION</t>
  </si>
  <si>
    <t>Ochoada</t>
  </si>
  <si>
    <t>Richard</t>
  </si>
  <si>
    <t>Operation in Charge</t>
  </si>
  <si>
    <t>Office Number 511 5F Clark Center 07 Jose Abad Santos Avenue Clark Freeport Zone Philippines</t>
  </si>
  <si>
    <t>cs.clark@acestar.com.ph</t>
  </si>
  <si>
    <t>2017-252</t>
  </si>
  <si>
    <t>FILINVEST CLARK MIMOSA INC</t>
  </si>
  <si>
    <t>BALADAD</t>
  </si>
  <si>
    <t>SHERYL LYN</t>
  </si>
  <si>
    <t>Acacia Drive Mimosa Leisure Estate Clark Freeport Zone Philippines</t>
  </si>
  <si>
    <t>sheryl.baladad@proexcel.com.ph</t>
  </si>
  <si>
    <t>045- 499-3376</t>
  </si>
  <si>
    <t>2017-317</t>
  </si>
  <si>
    <t>real property</t>
  </si>
  <si>
    <t>COLABORATIVE ASSOCIATION OF RESPONSIBLE EMPLOYEES CARE CONSUMERS COOPERATIVE</t>
  </si>
  <si>
    <t>Nabung</t>
  </si>
  <si>
    <t>Nomerlita</t>
  </si>
  <si>
    <t>Manabat</t>
  </si>
  <si>
    <t>Lot 1A Lot 1B Lot 2 Prince Balagtas Ave Clark Freeport Zone Philippines</t>
  </si>
  <si>
    <t>carecoop2016@gmail.com</t>
  </si>
  <si>
    <t>2017-014</t>
  </si>
  <si>
    <t>HANN FOUNDATION INC</t>
  </si>
  <si>
    <t>2017-269</t>
  </si>
  <si>
    <t>GOLDENRIVER VILLE INC</t>
  </si>
  <si>
    <t>CALILUNG</t>
  </si>
  <si>
    <t>RIA LOU</t>
  </si>
  <si>
    <t>E Aguinlado St Redwood Villas Clark Freeport Zone Pampanga Philippines</t>
  </si>
  <si>
    <t>rialouc@gmail.com</t>
  </si>
  <si>
    <t>2017-474</t>
  </si>
  <si>
    <t>/uploads/file-1519967604073.jpg</t>
  </si>
  <si>
    <t>INTERCOMMERCE NETWORK SERVICES INC</t>
  </si>
  <si>
    <t>ADRIANO</t>
  </si>
  <si>
    <t>RIBERTA</t>
  </si>
  <si>
    <t>MARKETING OFFICER</t>
  </si>
  <si>
    <t>Room 19 Philexcel Business Center 2 MA Roxas Highway Clark Freeport Zone Philippines</t>
  </si>
  <si>
    <t>jadriano@intercommerce.com.ph</t>
  </si>
  <si>
    <t>2017-137</t>
  </si>
  <si>
    <t>SENSTAR CORPORATION UNDER THE NAME SENSTAR CORPORATION PHILLIPINE BRANCH</t>
  </si>
  <si>
    <t>ARDILLO</t>
  </si>
  <si>
    <t>DONALD</t>
  </si>
  <si>
    <t>BULAON</t>
  </si>
  <si>
    <t>RESIDENT AGENT</t>
  </si>
  <si>
    <t>Office Center 05F1 Berthaphil Clark Center Jose Abad Santos Avenue Clark Freeport Zone Philippines</t>
  </si>
  <si>
    <t>donaldardillo@yahoo.com</t>
  </si>
  <si>
    <t>0905-518-7793</t>
  </si>
  <si>
    <t>2018-011</t>
  </si>
  <si>
    <t>senstar2018</t>
  </si>
  <si>
    <t>Services</t>
  </si>
  <si>
    <t>DNS SHUTTLE SERVICE CLARK INC</t>
  </si>
  <si>
    <t>NOVILLA</t>
  </si>
  <si>
    <t>MARY JOY</t>
  </si>
  <si>
    <t>PANGAN</t>
  </si>
  <si>
    <t>ADMINISTRATIVE OFFICER</t>
  </si>
  <si>
    <t>ROOM 6 ARCADE 1 PHILEXCEL BUSINESS PARK</t>
  </si>
  <si>
    <t>maryjoynovilla@dns.com.ph</t>
  </si>
  <si>
    <t>2016-515</t>
  </si>
  <si>
    <t>Transport</t>
  </si>
  <si>
    <t>DANTY FOODILICIOUS INC</t>
  </si>
  <si>
    <t>Florentino</t>
  </si>
  <si>
    <t>Diona</t>
  </si>
  <si>
    <t>Vigo</t>
  </si>
  <si>
    <t>Assistant</t>
  </si>
  <si>
    <t>Creekside Road Clark Freeport Zone Philippines</t>
  </si>
  <si>
    <t>dantyfoodiliciousinc@gmail.com</t>
  </si>
  <si>
    <t>2017-061</t>
  </si>
  <si>
    <t>danty2017</t>
  </si>
  <si>
    <t>ATE MALOUS CATERING</t>
  </si>
  <si>
    <t>Robert</t>
  </si>
  <si>
    <t>Bldg 5400 MA Roxas Highway Clark Freeport Zone Philippines</t>
  </si>
  <si>
    <t>atemalouwidus@yahoo.com</t>
  </si>
  <si>
    <t>0905-361-9899</t>
  </si>
  <si>
    <t>2017-368</t>
  </si>
  <si>
    <t>GOLDEN WORLD DEVELOPMENT CORPORATION FORMERLY ARJAN TRADING CORPORATION</t>
  </si>
  <si>
    <t>Karen Joy</t>
  </si>
  <si>
    <t>Delgado</t>
  </si>
  <si>
    <t>Office Staff</t>
  </si>
  <si>
    <t>Bldg 5276 C M Recto Highway Clark Freeport Zone Philippines</t>
  </si>
  <si>
    <t>arjan5276@gmail.com</t>
  </si>
  <si>
    <t>499-8698</t>
  </si>
  <si>
    <t>2016-287</t>
  </si>
  <si>
    <t>arjantrading</t>
  </si>
  <si>
    <t>JJGZ KITCHENETTE CORNER</t>
  </si>
  <si>
    <t>TOSSYN</t>
  </si>
  <si>
    <t>JULIET</t>
  </si>
  <si>
    <t>IGNACIO</t>
  </si>
  <si>
    <t>MESSENGER</t>
  </si>
  <si>
    <t>4032 CM Recto HiWay Parkson Duty Free Clark Freeport Zone Philippines</t>
  </si>
  <si>
    <t>juliet_v_ignacio08@yahoo.com.ph</t>
  </si>
  <si>
    <t>2016-603</t>
  </si>
  <si>
    <t>PHILIPPINE DISASTER RESILIENCE FOUNDATION INC</t>
  </si>
  <si>
    <t>Montano</t>
  </si>
  <si>
    <t>Rubio</t>
  </si>
  <si>
    <t>Buildings 1080 and 1081 located within the Clark Polytechnic compound along Jose Abad Santos Avenue CFZ Clark Freeport Zone Philippines</t>
  </si>
  <si>
    <t>grmontano@pdrf.org.ph</t>
  </si>
  <si>
    <t>PDRFI</t>
  </si>
  <si>
    <t>RELIANCE BROADCASTING UNLIMITED INC FORMERLY INFORMATION BROADCAST UNLIMITED INC</t>
  </si>
  <si>
    <t>FIALDE</t>
  </si>
  <si>
    <t>AMATHEA</t>
  </si>
  <si>
    <t>ORA</t>
  </si>
  <si>
    <t>SALES ACCOUNT SUPERVISOR</t>
  </si>
  <si>
    <t>Ground Floor Comclark Building MA Roxas Highway Clark Freeport Zone Philippines</t>
  </si>
  <si>
    <t>rbu-amathea.fialde@convergeict.com</t>
  </si>
  <si>
    <t>0931-155-1661</t>
  </si>
  <si>
    <t>2016-555</t>
  </si>
  <si>
    <t>SKY CALL ASIA TECHNOLOGIES CO INC</t>
  </si>
  <si>
    <t>Manipon</t>
  </si>
  <si>
    <t>Rochelle</t>
  </si>
  <si>
    <t>Lacson</t>
  </si>
  <si>
    <t>Bldg N7547 E Andrew St A Bonifacio Avenue Clark Freeport Zone Philippines</t>
  </si>
  <si>
    <t>rlm.skycall@gmail.com</t>
  </si>
  <si>
    <t>2017-468</t>
  </si>
  <si>
    <t>!sierra0915</t>
  </si>
  <si>
    <t>/uploads/file-1518083761117.png</t>
  </si>
  <si>
    <t>KERRY LOGISTICS PHILS INC FORMERLY KERRY ATS LOGISTICS INC</t>
  </si>
  <si>
    <t>MALIWAT</t>
  </si>
  <si>
    <t xml:space="preserve">JESSA </t>
  </si>
  <si>
    <t>BRANCH SUPERVISOR</t>
  </si>
  <si>
    <t>ROOM 1A PHILEXCEL BUSINESS ARCADE 1 PHILEXCEL BUSINESS PARK MA ROXAS HIGHWAY CLARK FREEPORT ZONE PHILIPPINES 2009</t>
  </si>
  <si>
    <t>Jessa.Maliwat@kerrylogistics.com</t>
  </si>
  <si>
    <t>2015-132</t>
  </si>
  <si>
    <t>EMMANUEL JACOB KITCHENETTE</t>
  </si>
  <si>
    <t>ANN LORRAINE</t>
  </si>
  <si>
    <t>Bayanihan St  Furniture Village Clark Freeport Zone Philippines</t>
  </si>
  <si>
    <t>annlorraine_manalastas@yahoo.com</t>
  </si>
  <si>
    <t>2017-429</t>
  </si>
  <si>
    <t>TRANSCONTAINER TCL PHILIPPINES INC</t>
  </si>
  <si>
    <t>ESMELYN</t>
  </si>
  <si>
    <t>BUCASAS</t>
  </si>
  <si>
    <t>CORPORATE AFFAIRS STAFF ASSISTANT</t>
  </si>
  <si>
    <t>2nd Flr Bldg 7585 Civil Aviation Complex Diosdado Macapagal International Airport DMIA Clark Freeport Zone Clark Freeport Zone Philippines</t>
  </si>
  <si>
    <t>esmelyn.ramos@tcl.com.ph</t>
  </si>
  <si>
    <t>2016-135</t>
  </si>
  <si>
    <t>TCLADMIN</t>
  </si>
  <si>
    <t>PHILIPPINE DISASTER RECOVERY FOUNDATION INC</t>
  </si>
  <si>
    <t>2018-052</t>
  </si>
  <si>
    <t>Blue Solution Networks Phils Corp</t>
  </si>
  <si>
    <t>Cadiang</t>
  </si>
  <si>
    <t>Ella Jane</t>
  </si>
  <si>
    <t>Maniebog</t>
  </si>
  <si>
    <t>Unit 319  317 KACC Philmade Bldg Lot 1  2</t>
  </si>
  <si>
    <t>bnetworksphilscorp@gmail.com</t>
  </si>
  <si>
    <t>2017-414</t>
  </si>
  <si>
    <t>BSNPC_1010</t>
  </si>
  <si>
    <t>/uploads/file-1523352734167.png</t>
  </si>
  <si>
    <t>GLC SYNERGY SOLUTIONS CORP GLCSSC</t>
  </si>
  <si>
    <t>Kate Anne</t>
  </si>
  <si>
    <t>Office 04C Berthaphil III Clark Center Clark Freeport Zone Philippines</t>
  </si>
  <si>
    <t>accounting@glcsynergysolutions.com</t>
  </si>
  <si>
    <t>2017-417</t>
  </si>
  <si>
    <t>DOUBLE 8 DIAMOND LENDING CORPORATION</t>
  </si>
  <si>
    <t>Punzal</t>
  </si>
  <si>
    <t>Gyle Rusezll</t>
  </si>
  <si>
    <t>Simbillo</t>
  </si>
  <si>
    <t>Loan Officer</t>
  </si>
  <si>
    <t>Office Center No 06D2 Berthaphil III Clark Center Jose Abad Santos Avenue Clark Freeport Zone Philippines</t>
  </si>
  <si>
    <t>double8diamondlending@gmail.com</t>
  </si>
  <si>
    <t>499 8329</t>
  </si>
  <si>
    <t>2016-293</t>
  </si>
  <si>
    <t>POKHARA CORP</t>
  </si>
  <si>
    <t>Torlao</t>
  </si>
  <si>
    <t>Kathleen Faith</t>
  </si>
  <si>
    <t>Human Resources Staff</t>
  </si>
  <si>
    <t>Tower 1 Ground Floor Commercial Area Ode County Building CM Recto Highway Clark Freeport Zone Philippines</t>
  </si>
  <si>
    <t>apice.hrstaff@gmail.com</t>
  </si>
  <si>
    <t>0927-666-7087</t>
  </si>
  <si>
    <t>2017-292</t>
  </si>
  <si>
    <t>ANTONIA CHONG</t>
  </si>
  <si>
    <t>Chong</t>
  </si>
  <si>
    <t>Antonia</t>
  </si>
  <si>
    <t>Bldgs 7501 and 7502 L  T Compound  A Bonifacio corner J Tinsay Street   Clark Freeport Zone Philippines</t>
  </si>
  <si>
    <t>antoniachong1954@gmail.com</t>
  </si>
  <si>
    <t>2017-041</t>
  </si>
  <si>
    <t>KWALITY PHILFOOD INC</t>
  </si>
  <si>
    <t>Menor</t>
  </si>
  <si>
    <t>Mariurani</t>
  </si>
  <si>
    <t>Olarte</t>
  </si>
  <si>
    <t>Unit 17E Philexcel Business Park M A Roxas Highway Clark Freeport Zone Philippines</t>
  </si>
  <si>
    <t>hrd@kwality.com.ph</t>
  </si>
  <si>
    <t>0917-850-8985</t>
  </si>
  <si>
    <t>2016-366</t>
  </si>
  <si>
    <t>DEPARTMENT OF TRANSPORTATION DOTr</t>
  </si>
  <si>
    <t>Parungao</t>
  </si>
  <si>
    <t>Karl</t>
  </si>
  <si>
    <t>Gascon</t>
  </si>
  <si>
    <t>Administrative Officer V</t>
  </si>
  <si>
    <t>Bldg Nos 25232530 25322534 along S Osmena St Clark Freeport Zone Philippines</t>
  </si>
  <si>
    <t>karl.parungao@dotr.gov.ph</t>
  </si>
  <si>
    <t>2017-467</t>
  </si>
  <si>
    <t>National Government Agency</t>
  </si>
  <si>
    <t>/uploads/file-1531216160172.jpg</t>
  </si>
  <si>
    <t>GONGHANG CORP</t>
  </si>
  <si>
    <t>MARISSA</t>
  </si>
  <si>
    <t>Bldg 7256  CM Recto Avenue Clark Civil Aviation Complex Clark Freeport Zone Philippines</t>
  </si>
  <si>
    <t>mariz1004@yahoo.com</t>
  </si>
  <si>
    <t>499-8085</t>
  </si>
  <si>
    <t>2017-497</t>
  </si>
  <si>
    <t>RIZAL COMMERCIAL BANKING CORPORATION</t>
  </si>
  <si>
    <t>LAPID</t>
  </si>
  <si>
    <t>ROSSET</t>
  </si>
  <si>
    <t>SM</t>
  </si>
  <si>
    <t>GF 01 Mercedes Benz Center  Clark Freeport Zone Pampanga 2023</t>
  </si>
  <si>
    <t>boo_clark@rcbc.com</t>
  </si>
  <si>
    <t>045 5993058</t>
  </si>
  <si>
    <t>2016-368</t>
  </si>
  <si>
    <t>PHILIPPINE SEVEN CORPORATION Company Operated</t>
  </si>
  <si>
    <t>Talamera</t>
  </si>
  <si>
    <t>Mark Angelo Ryan</t>
  </si>
  <si>
    <t>Leono</t>
  </si>
  <si>
    <t>Unit 103 Gihon Building Regency Park Townhouses Jose Abad Santos Avenue corner E Aguinaldo Street Clark Freeport Zone Philippines</t>
  </si>
  <si>
    <t>st1938@store.philseven.com</t>
  </si>
  <si>
    <t>0998-590-0945</t>
  </si>
  <si>
    <t>2016-319</t>
  </si>
  <si>
    <t>DEMAGUS TRADING CORPORATION ORIENTAL DUTY FREE</t>
  </si>
  <si>
    <t>RICHARD</t>
  </si>
  <si>
    <t>GABRIEL</t>
  </si>
  <si>
    <t>PAYROLL OFFICER</t>
  </si>
  <si>
    <t>Bldg 7272 C M Recto Highway Clark Freeport Zone Philippines</t>
  </si>
  <si>
    <t>demaguscorp@gmail.com</t>
  </si>
  <si>
    <t>2016-425</t>
  </si>
  <si>
    <t>dema7272</t>
  </si>
  <si>
    <t>SYNKOM IC TECHNOLOGY INC SITI</t>
  </si>
  <si>
    <t>Stephane</t>
  </si>
  <si>
    <t>Minoy</t>
  </si>
  <si>
    <t>Room 18 Philexcel Business Center 2 Philexcel Business Park M A Roxas Highway Clark Freeport Zone Philippines</t>
  </si>
  <si>
    <t>stephane.alvarez@synkom.co.jp</t>
  </si>
  <si>
    <t>2018-053</t>
  </si>
  <si>
    <t>synkom123</t>
  </si>
  <si>
    <t>PLATINUM FOX INC</t>
  </si>
  <si>
    <t>CABIGTING</t>
  </si>
  <si>
    <t>AMALIA</t>
  </si>
  <si>
    <t>MACAPAGAL</t>
  </si>
  <si>
    <t>LIAISON OFFICER</t>
  </si>
  <si>
    <t>N2821 Aquino Avenue Industrial Estate 1 Clark Freeport Zone Philippines</t>
  </si>
  <si>
    <t>platinum_pfi@yahoo.com</t>
  </si>
  <si>
    <t>2012-277</t>
  </si>
  <si>
    <t>MACE SHOPVILLE ENTERPRISES INC</t>
  </si>
  <si>
    <t>MercedesBenz Clark Freeport Business CenterGround Floor Retail 4 Manuel A Roxas Highway Clark Freeport Zone Philippines</t>
  </si>
  <si>
    <t>2017-378</t>
  </si>
  <si>
    <t>LAND SPICES FOOD PRODUCTS</t>
  </si>
  <si>
    <t>Baumgardner</t>
  </si>
  <si>
    <t>Gellian</t>
  </si>
  <si>
    <t>4th floor Mercedes Benz Center Berthaphil VIII MA Roxas Highway Clark Freeport Zone Philippines</t>
  </si>
  <si>
    <t>gelbaum22@gmail.com</t>
  </si>
  <si>
    <t>0917-624-8096</t>
  </si>
  <si>
    <t>2018-110</t>
  </si>
  <si>
    <t>PAWNSOFT SERVICES INC OPERATING UNDER THE BUSINESS NAME OF CEBUANA LHUILLIER PAWNSHOP</t>
  </si>
  <si>
    <t>JAN PHILIP</t>
  </si>
  <si>
    <t>Q</t>
  </si>
  <si>
    <t>FISCAL COMPLIANCE SPECIALIST</t>
  </si>
  <si>
    <t>Level 1 of tower 4 Retail Areas MA Roxas Highway Clark Freeport Zone Philippines</t>
  </si>
  <si>
    <t>pssi_pawnsoft@yahoo.com</t>
  </si>
  <si>
    <t>2015-237</t>
  </si>
  <si>
    <t>FINE TME INC</t>
  </si>
  <si>
    <t>BONDOC</t>
  </si>
  <si>
    <t>ROSELLE</t>
  </si>
  <si>
    <t>CANLAS</t>
  </si>
  <si>
    <t>Unit 205A Bldg N1473 Rio Grande de Pampanga cor Abacan Sts Clark Freeport Zone Philippines</t>
  </si>
  <si>
    <t>finetmeinc@gmail.com</t>
  </si>
  <si>
    <t>0966 660 0727</t>
  </si>
  <si>
    <t>2018-043</t>
  </si>
  <si>
    <t>/uploads/file-1688956925583.jpg</t>
  </si>
  <si>
    <t>FOODSTA RESTO INC</t>
  </si>
  <si>
    <t>Teopaco</t>
  </si>
  <si>
    <t>Francine Lyra</t>
  </si>
  <si>
    <t>Lot 183A bounded by MA Roxas Highway and E Jacinto Street Clark Freeport Zone Philippines</t>
  </si>
  <si>
    <t>foodstaresto@gmail.com</t>
  </si>
  <si>
    <t>2018-127</t>
  </si>
  <si>
    <t>/uploads/file-1669113011571.jpg</t>
  </si>
  <si>
    <t>CET Cosmo Construction Inc</t>
  </si>
  <si>
    <t>Escobar</t>
  </si>
  <si>
    <t>Kate lynne</t>
  </si>
  <si>
    <t>Lacangan</t>
  </si>
  <si>
    <t>Unit 201 On Commercial Building Lot 1 E Aguinaldo St Clark Freeport Zone Pampanga</t>
  </si>
  <si>
    <t>katelynne.escobar@gmail.com</t>
  </si>
  <si>
    <t>2018-119</t>
  </si>
  <si>
    <t>cetcosmoph2019</t>
  </si>
  <si>
    <t>RCMIRANDA FOOD SNACKS</t>
  </si>
  <si>
    <t>Raynes</t>
  </si>
  <si>
    <t>Calillung</t>
  </si>
  <si>
    <t>Berthaphil 2 Compound Jose Abad Santos Avenue Clark Freeport Zone Philippines</t>
  </si>
  <si>
    <t>rcm_mimosa@yahoo.com</t>
  </si>
  <si>
    <t>2016-095</t>
  </si>
  <si>
    <t>XIANG JI INCORPORATED DOING BUSINESS UNDER THE NAME AND STYLE OF XIANG JI BENTO</t>
  </si>
  <si>
    <t>Cuenco</t>
  </si>
  <si>
    <t>Joerem</t>
  </si>
  <si>
    <t>Unit 5 CSM Building CM Recto Avenue cor J Topacio Street Clark Freeport Zone Philippines</t>
  </si>
  <si>
    <t>primetech.joerem@icloud.com</t>
  </si>
  <si>
    <t>2017-476</t>
  </si>
  <si>
    <t>MR LAZATIN ENTERPRISE</t>
  </si>
  <si>
    <t>Lazatin</t>
  </si>
  <si>
    <t>Marlon</t>
  </si>
  <si>
    <t>Pavilion 20A Berthaphil Clark Center Jose Abad Santos Avenue Clark Freeport Zone Philippines</t>
  </si>
  <si>
    <t>marlonlazatin@gmail.com</t>
  </si>
  <si>
    <t>0919-913-0508</t>
  </si>
  <si>
    <t>2018-067</t>
  </si>
  <si>
    <t>/uploads/file-1524793560153.jpg</t>
  </si>
  <si>
    <t>PAN  TREE RESTAURANT</t>
  </si>
  <si>
    <t>Pavilion 20B Berthaphil Clark Center Jose Abad Santos Avenue  Clark Freeport Zone Philippines</t>
  </si>
  <si>
    <t>2018-064</t>
  </si>
  <si>
    <t>/uploads/file-1530579476300.png</t>
  </si>
  <si>
    <t>ANGELES FORTUNE HONGKONG SEAFOOD RESTAURANT INC</t>
  </si>
  <si>
    <t>Marivic</t>
  </si>
  <si>
    <t>Stall No 121314  15 Lily Hill Commercial Plaza Clark Freeport Zone Philippines</t>
  </si>
  <si>
    <t>afhsr_fortune@yahoo.com</t>
  </si>
  <si>
    <t>2017-445</t>
  </si>
  <si>
    <t>/uploads/file-1691391017997.png</t>
  </si>
  <si>
    <t>ACGN FOOD AND CATERING SERVICES</t>
  </si>
  <si>
    <t>Coral</t>
  </si>
  <si>
    <t>Leny</t>
  </si>
  <si>
    <t>N2835 Jose abad Santos Avenue corner Bayanihan St Clark Freeport Zone Philippines</t>
  </si>
  <si>
    <t>lheneck143@yahoo.com</t>
  </si>
  <si>
    <t>2017-145</t>
  </si>
  <si>
    <t>EMBASSY CUISINE FOOD MANUFACTURING</t>
  </si>
  <si>
    <t>Nacpil</t>
  </si>
  <si>
    <t>Industrial Estate 5 MA Roxas Highway Clark Freeport Zone Philippines</t>
  </si>
  <si>
    <t>embassycuisine49@gmail.com</t>
  </si>
  <si>
    <t>2017-158</t>
  </si>
  <si>
    <t>MEGAWIDE GMR CONSTRUCTION JV INC</t>
  </si>
  <si>
    <t>ENRIQUEZ</t>
  </si>
  <si>
    <t>FRANSCOISE</t>
  </si>
  <si>
    <t>E</t>
  </si>
  <si>
    <t>FINANCE OFFICER</t>
  </si>
  <si>
    <t>Bldg 7080 Cabangbang St Clark Civil Aviation Complex Clark Freeport Zone Philippines</t>
  </si>
  <si>
    <t>fenriquez@megawide.com.ph</t>
  </si>
  <si>
    <t>2018-169</t>
  </si>
  <si>
    <t>LULU FINANCIAL SERVICES PHILS INC</t>
  </si>
  <si>
    <t>Ariane</t>
  </si>
  <si>
    <t>Oliveros</t>
  </si>
  <si>
    <t>Admin HR Executive</t>
  </si>
  <si>
    <t>L1AHS13 Ground Level Arrival Hall Landslide Clark International Airport Terminal 2 Clark Freeport Zone Philippines</t>
  </si>
  <si>
    <t>ariane.principe@ph.lulumoney.com</t>
  </si>
  <si>
    <t>09176346740 - -02- 8511 1835</t>
  </si>
  <si>
    <t>2018-179</t>
  </si>
  <si>
    <t>Financial Services</t>
  </si>
  <si>
    <t>LAKA CASTLE PHILIPPINES CORPORATION</t>
  </si>
  <si>
    <t>RAYSA</t>
  </si>
  <si>
    <t>Unit 14D Philexcel Business Park M Roxas Highway  Clark Freeport Zone Philippines</t>
  </si>
  <si>
    <t>499-8217</t>
  </si>
  <si>
    <t>2018-115</t>
  </si>
  <si>
    <t>PRIVATE CDC</t>
  </si>
  <si>
    <t>Clark Marriott Hotel</t>
  </si>
  <si>
    <t>PACUAN</t>
  </si>
  <si>
    <t>KRISTAL ANN</t>
  </si>
  <si>
    <t>5398 Manuel A Roxas Highway Clark Freeport Zone Pampanga Philippines 2023</t>
  </si>
  <si>
    <t>KristalAnn.Pacuan@marriott.com</t>
  </si>
  <si>
    <t>2017-194A</t>
  </si>
  <si>
    <t>/uploads/file-1568259625702.jpg</t>
  </si>
  <si>
    <t>GENUINE ITALY INC</t>
  </si>
  <si>
    <t>Manalad</t>
  </si>
  <si>
    <t>Ma Cristina</t>
  </si>
  <si>
    <t>Office Center 05L1 Berthaphil Clark Center Jose Abad Santos Avenue Clark Freeport Zone Clark Pampanga Philippines</t>
  </si>
  <si>
    <t>marketing@genuineitaly.ph</t>
  </si>
  <si>
    <t>0917-620-1057</t>
  </si>
  <si>
    <t>2017-356</t>
  </si>
  <si>
    <t>/uploads/file-1532066449642.jpg</t>
  </si>
  <si>
    <t>PSI AIR 2007 INC</t>
  </si>
  <si>
    <t>PASIA</t>
  </si>
  <si>
    <t>JERLYN</t>
  </si>
  <si>
    <t>LAS PINAS</t>
  </si>
  <si>
    <t>ADMIN SUPERVISOR</t>
  </si>
  <si>
    <t>Bldg 7212 General Aviation Area Civil Aviation Complex Clark Freeport Zone Philippines</t>
  </si>
  <si>
    <t>jerlyn.pasia.psiair@gmail.com</t>
  </si>
  <si>
    <t>2017-394</t>
  </si>
  <si>
    <t>ROBINSONS CONVENIENCE STORES INC II</t>
  </si>
  <si>
    <t>Philexcel Convenience Store 1 Philexcel Business Park M A Roxas Highway Clark Freeport Zone Philippines</t>
  </si>
  <si>
    <t>2014-262</t>
  </si>
  <si>
    <t>VAG GENERAL MERCHANDISE</t>
  </si>
  <si>
    <t>CORPUS</t>
  </si>
  <si>
    <t>EDWARD</t>
  </si>
  <si>
    <t>Unit 344 3rd Floor Philmade Building Lot 12 corner Jose Abad Santos Avenue and E Quirino Street Clark Freeport Zone Philippines</t>
  </si>
  <si>
    <t>vag_genmerchandise@yahoo.com</t>
  </si>
  <si>
    <t>2018-181</t>
  </si>
  <si>
    <t>vagabc1986</t>
  </si>
  <si>
    <t>PANCAKE HOUSE RESTO PORT CORPORATION</t>
  </si>
  <si>
    <t>Clarinan</t>
  </si>
  <si>
    <t>Shanice</t>
  </si>
  <si>
    <t>Picardal</t>
  </si>
  <si>
    <t>LGC Automotive Services Bldg MA Roxas Highway Clark Freeport Zone Philippines</t>
  </si>
  <si>
    <t>ph.carmall@pancakehouse.com.ph</t>
  </si>
  <si>
    <t>09992271415-499-8525</t>
  </si>
  <si>
    <t>2018-196</t>
  </si>
  <si>
    <t>/uploads/file-1577001969655.png</t>
  </si>
  <si>
    <t>7107 CONSTRUCTION  CONSULTANCY INC</t>
  </si>
  <si>
    <t>Cangayo</t>
  </si>
  <si>
    <t>Valencia</t>
  </si>
  <si>
    <t>Officer In Charge</t>
  </si>
  <si>
    <t>Club Building 2B Clark Hills Village Abacan  Chico Streets  Clark Freeport Zone Philippines</t>
  </si>
  <si>
    <t>catiemielle@gmail.com</t>
  </si>
  <si>
    <t>2018-155</t>
  </si>
  <si>
    <t>cciclark</t>
  </si>
  <si>
    <t>/uploads/file-1527061726800.jpg</t>
  </si>
  <si>
    <t>CJ LOGISTICS PH CORP</t>
  </si>
  <si>
    <t>CHARMANE</t>
  </si>
  <si>
    <t>LIBOON</t>
  </si>
  <si>
    <t>COORDINATOR</t>
  </si>
  <si>
    <t>Office Space No 325 3rd Floor Philmade Building Lot 12 corner Jose Abad Santos Avenue Clark Freeport Zone Philippines</t>
  </si>
  <si>
    <t>charmane.dizon@cj.net</t>
  </si>
  <si>
    <t>63-045-499-8501</t>
  </si>
  <si>
    <t>2018-091</t>
  </si>
  <si>
    <t>/uploads/file-1527555118441.png</t>
  </si>
  <si>
    <t>PAPA JOEY RESTAURANT</t>
  </si>
  <si>
    <t>PADIZ</t>
  </si>
  <si>
    <t>MARIA CANDY</t>
  </si>
  <si>
    <t>CONCEPCION</t>
  </si>
  <si>
    <t>HEAD OF OPERATIONS</t>
  </si>
  <si>
    <t>Unit 7 First Floor NorthWalk Clark MA Roxas Highway Clark Freeport Zone Philippines</t>
  </si>
  <si>
    <t>candytconcepcion@yahoo.com</t>
  </si>
  <si>
    <t>2018-190</t>
  </si>
  <si>
    <t>SOCIAL SECURITY SYSTEM</t>
  </si>
  <si>
    <t>Roberto</t>
  </si>
  <si>
    <t>Roy</t>
  </si>
  <si>
    <t>Pacia</t>
  </si>
  <si>
    <t>Senior MSR</t>
  </si>
  <si>
    <t>2nd Floor Bldg 2127 C P Garcia St Clark Freeport Zone Clark Freeport Zone Philippines</t>
  </si>
  <si>
    <t>robertorp@sss.gov.ph</t>
  </si>
  <si>
    <t>0905-661-4831</t>
  </si>
  <si>
    <t>SSS</t>
  </si>
  <si>
    <t>TAT PRINTING PHILS INC</t>
  </si>
  <si>
    <t>Anda</t>
  </si>
  <si>
    <t>Irwin</t>
  </si>
  <si>
    <t>Rosas</t>
  </si>
  <si>
    <t>Operations Officer</t>
  </si>
  <si>
    <t>Bldg 6 PhilExcel Business Park MA Roxas Highway Clark Freeport Zone</t>
  </si>
  <si>
    <t>irwin_gps@tat-printing.com</t>
  </si>
  <si>
    <t>-045- 499 8513</t>
  </si>
  <si>
    <t>2018-088</t>
  </si>
  <si>
    <t>TAT1234</t>
  </si>
  <si>
    <t>AEROTROPOLIS AUTOMOTIVE RESOURCES CORPORATION</t>
  </si>
  <si>
    <t>2017-431</t>
  </si>
  <si>
    <t>/uploads/file-1531131984299.jpg</t>
  </si>
  <si>
    <t>TARANA GOOKJE WELLNESS AND HOSPITALITY SERVICES OPC</t>
  </si>
  <si>
    <t>SUMAYANG</t>
  </si>
  <si>
    <t>ABIGAEL</t>
  </si>
  <si>
    <t>RAMIENTOS</t>
  </si>
  <si>
    <t>CM Recto Avenue Cor MA Roxas Avenue Clark Freeport Zone Philippines</t>
  </si>
  <si>
    <t>taranagookje2022@gmail.com</t>
  </si>
  <si>
    <t>045-4990339 - 0955-520-1510</t>
  </si>
  <si>
    <t>2018-103</t>
  </si>
  <si>
    <t>Other Services</t>
  </si>
  <si>
    <t>TECH MARKETING SUPPORT INC TMSI</t>
  </si>
  <si>
    <t>Sherlin</t>
  </si>
  <si>
    <t>Pavilion 3 Berthaphil Clark Center Jose Abad Santos Avenue Clark Freeport Zone Philippines</t>
  </si>
  <si>
    <t>sherlin.ga@tech-m-s.com</t>
  </si>
  <si>
    <t>2018-016</t>
  </si>
  <si>
    <t>BIO PIGS HOUSE RESTAURANT INC</t>
  </si>
  <si>
    <t>PASCUBILLO</t>
  </si>
  <si>
    <t>REA</t>
  </si>
  <si>
    <t>Unit A103 and 104 ON Commercial Bldg Lot 1 E Aguinaldo Street Clark Freeport Zone Philippines</t>
  </si>
  <si>
    <t>biopigshouse1@gmail.com</t>
  </si>
  <si>
    <t>0906 026 8342</t>
  </si>
  <si>
    <t>2018-137</t>
  </si>
  <si>
    <t>TUASON RACING AND SPORTS UNLIMITED INC</t>
  </si>
  <si>
    <t>CORREGIDOR</t>
  </si>
  <si>
    <t>BELLY</t>
  </si>
  <si>
    <t>ESCALICAS</t>
  </si>
  <si>
    <t>Mini Warehouse 10 Berthaphil II North Manunggal Street Clark Freeport Zone Philippines</t>
  </si>
  <si>
    <t>acctg.trsu@gmail.com</t>
  </si>
  <si>
    <t>2015-216</t>
  </si>
  <si>
    <t>SHIDAIKEJI TECHNOLOGY CORPORATION</t>
  </si>
  <si>
    <t>Pablo</t>
  </si>
  <si>
    <t>Sharifa Gail</t>
  </si>
  <si>
    <t>Tower 2 Clark Ode County CM Recto Highway Clark Freeport Zone Philippines</t>
  </si>
  <si>
    <t>shidaikeji.clark@gmail.com</t>
  </si>
  <si>
    <t>2017-462</t>
  </si>
  <si>
    <t>ENVIRONMENT SOLUTIONS EXPORT   IMPORT CORP</t>
  </si>
  <si>
    <t>Sicat</t>
  </si>
  <si>
    <t>King Bryan</t>
  </si>
  <si>
    <t>Bldg 11 Berthaphil II South Industrial Park Bayanihan St Clark Freeport Zone Philippines</t>
  </si>
  <si>
    <t>envisol.expimp@yahoo.com</t>
  </si>
  <si>
    <t>0454995537 - 09173120978 - 09051410652</t>
  </si>
  <si>
    <t>2018-113</t>
  </si>
  <si>
    <t>eseic2018</t>
  </si>
  <si>
    <t>/uploads/file-1536108400342.png</t>
  </si>
  <si>
    <t>PREMIER CENTRAL INC</t>
  </si>
  <si>
    <t>TUAZON</t>
  </si>
  <si>
    <t>DACARA</t>
  </si>
  <si>
    <t>OPERATIONS ASSISTANT</t>
  </si>
  <si>
    <t>IE5 area Clark Freeport Zone Philippines</t>
  </si>
  <si>
    <t>maricel.tuazon@smsupermalls.com</t>
  </si>
  <si>
    <t>2005-174</t>
  </si>
  <si>
    <t>DEVELOPER</t>
  </si>
  <si>
    <t>VENJO AVIATION SUPPORT SERVICES</t>
  </si>
  <si>
    <t>REMO</t>
  </si>
  <si>
    <t>LAWRENCE</t>
  </si>
  <si>
    <t>TECHNICAL RECORDS OFFICER</t>
  </si>
  <si>
    <t>Room 103 Clark Welcome Center Office Suites Berthaphil VIII Compound SCTEX Road Clark Freeport Zone Philippines</t>
  </si>
  <si>
    <t>law@tropichelicopters.com</t>
  </si>
  <si>
    <t>0905-353-5001</t>
  </si>
  <si>
    <t>2018-209</t>
  </si>
  <si>
    <t>Tropichelicopters</t>
  </si>
  <si>
    <t>BACK ROOM OFFSHORING INC</t>
  </si>
  <si>
    <t>Carlos</t>
  </si>
  <si>
    <t>Katrina Mae</t>
  </si>
  <si>
    <t>One West Aeropark Building Unit 701A Global Gateway Logistics City  Clark Freeport Zone Philippines</t>
  </si>
  <si>
    <t>mae.carlos@thebackroomop.com</t>
  </si>
  <si>
    <t>2018-128</t>
  </si>
  <si>
    <t>Backroom18</t>
  </si>
  <si>
    <t>CREATIVE DISHES AND RECIPES INC</t>
  </si>
  <si>
    <t>Sarabia</t>
  </si>
  <si>
    <t>Candice</t>
  </si>
  <si>
    <t>Nocom</t>
  </si>
  <si>
    <t>Chief Finance Officer and Treasurer</t>
  </si>
  <si>
    <t>The Medical City Clark 100 Gatwick Gateway Sabah AlAhmad Global Gateway Logistics City IE 5 Clark Freeport Zone Philippines</t>
  </si>
  <si>
    <t>candice.sarabia@gmail.com</t>
  </si>
  <si>
    <t>0917-5279563</t>
  </si>
  <si>
    <t>2015-268</t>
  </si>
  <si>
    <t>TMCClark_#12012014</t>
  </si>
  <si>
    <t>Dietary and Canteen Concessionaire</t>
  </si>
  <si>
    <t>/uploads/file-1530844821992.jpg</t>
  </si>
  <si>
    <t>LS FORMWORK CO LTD CORP</t>
  </si>
  <si>
    <t>BAYZA</t>
  </si>
  <si>
    <t>CARLYN</t>
  </si>
  <si>
    <t>NURSE</t>
  </si>
  <si>
    <t>Club Buildiing C1 Clark Hills Village Abacan  Chico Streets Clark Freeport Zone Philippines</t>
  </si>
  <si>
    <t>carlynbayzals@gmail.com</t>
  </si>
  <si>
    <t>2018-218</t>
  </si>
  <si>
    <t>lsformwork</t>
  </si>
  <si>
    <t>/uploads/file-1530001880085.jpg</t>
  </si>
  <si>
    <t>HANKYU HANSHIN EXPRESS PHILIPPINES INC</t>
  </si>
  <si>
    <t>Payade</t>
  </si>
  <si>
    <t>Mary Ofel</t>
  </si>
  <si>
    <t>Baldeo</t>
  </si>
  <si>
    <t>Unit 1F8 Philexcel Business Center 6 Philexcel Business Park M Roxas Highway Clark Freeport Zone Philippines</t>
  </si>
  <si>
    <t>purchasing@ph.hh-express.com</t>
  </si>
  <si>
    <t>2016-451</t>
  </si>
  <si>
    <t>PHILIPPINE VENDING CORPORATION</t>
  </si>
  <si>
    <t>ARAULLO</t>
  </si>
  <si>
    <t>SALES HEAD</t>
  </si>
  <si>
    <t>Business Center 4  5 Philexcel Business Park MA Roxas Highway Clark Freeport Zone Clark Freeport Zone Philippines</t>
  </si>
  <si>
    <t>edward.araullo@philvending.com.ph</t>
  </si>
  <si>
    <t>2017-481</t>
  </si>
  <si>
    <t>ATOP HUMAN RESIDENCES MANAGEMENT CORPORATION</t>
  </si>
  <si>
    <t>MALACAD</t>
  </si>
  <si>
    <t>MARLYN</t>
  </si>
  <si>
    <t>ANUNCIACION</t>
  </si>
  <si>
    <t>Along Malago St Clark Freeport Zone Philippines</t>
  </si>
  <si>
    <t>atopresidences@gmail.com</t>
  </si>
  <si>
    <t>0975-448-3796</t>
  </si>
  <si>
    <t>2017-345</t>
  </si>
  <si>
    <t>WELL MADE SINK AND FURNITURE INC</t>
  </si>
  <si>
    <t>Myla</t>
  </si>
  <si>
    <t>Manugue</t>
  </si>
  <si>
    <t>Annex Bldg 3 Unit C Philexcel Sapang Bato Gate E Quirino Avenue Clark Freeport Zone Clark Field Pampanga</t>
  </si>
  <si>
    <t>wellmadesnf@gmail.com</t>
  </si>
  <si>
    <t>2018-033</t>
  </si>
  <si>
    <t>/uploads/file-1536205742092.png</t>
  </si>
  <si>
    <t>OKITCHEN RESTAURANT</t>
  </si>
  <si>
    <t>JENNY</t>
  </si>
  <si>
    <t>MIGUEL</t>
  </si>
  <si>
    <t>CM Recto Ave MA Roxas Highway Clark Freeport Zone Philippines</t>
  </si>
  <si>
    <t>okitchenclark.hr@gmail.com</t>
  </si>
  <si>
    <t>2018-187</t>
  </si>
  <si>
    <t>kimhoon2018</t>
  </si>
  <si>
    <t>EB CLARETE ENTERPRISES</t>
  </si>
  <si>
    <t>CLARETE</t>
  </si>
  <si>
    <t>ESTRELITA</t>
  </si>
  <si>
    <t>BUNGQUE</t>
  </si>
  <si>
    <t>PreDeparture Area International and PreDeparture Area Domestic of the Clark International Airport Passenger Terminal Building CRKPTB  Clark Freeport Zone Philippines</t>
  </si>
  <si>
    <t>estrelita.clarete@yahoo.com</t>
  </si>
  <si>
    <t>0933-850-4696</t>
  </si>
  <si>
    <t>2016-331</t>
  </si>
  <si>
    <t>KORNET EXPRESS INC</t>
  </si>
  <si>
    <t>MANTILLA</t>
  </si>
  <si>
    <t>GABRIEL JR</t>
  </si>
  <si>
    <t>BASILIO</t>
  </si>
  <si>
    <t>IMPEX COORDINATOR</t>
  </si>
  <si>
    <t>Room 7B Philexcel Business Center 1 Philexcel Business Park M A Roxas Highway Clark Freeport Zone Philippines</t>
  </si>
  <si>
    <t>keiclark@kornet.com.ph</t>
  </si>
  <si>
    <t>2016-381</t>
  </si>
  <si>
    <t>N2K CONSULTING AND BUSINESS SERVICES  CORP</t>
  </si>
  <si>
    <t>MONTERO</t>
  </si>
  <si>
    <t>MARJANE</t>
  </si>
  <si>
    <t>DE ORO</t>
  </si>
  <si>
    <t>Admin Assistant II</t>
  </si>
  <si>
    <t>Unit 327 3rd Floor Philmade Building Lot 1 2 corner Jose Abad Santos Avenue and E Quirino Street Clark Freeport Zone Philippines</t>
  </si>
  <si>
    <t>marjane.n2kcbs18@gmail.com</t>
  </si>
  <si>
    <t>2018-264</t>
  </si>
  <si>
    <t xml:space="preserve">RIZAL COMMERCIAL BANKING CORPORATION  Berthaphil III </t>
  </si>
  <si>
    <t>Pavilion XV Berthaphil III Clark Center Jose Abad Santos Ave</t>
  </si>
  <si>
    <t>2016-368B</t>
  </si>
  <si>
    <t>SUNNYDAY TOUR</t>
  </si>
  <si>
    <t>yun</t>
  </si>
  <si>
    <t>elma</t>
  </si>
  <si>
    <t>Pila</t>
  </si>
  <si>
    <t>Unit A 101 Lot 1 E Aguinaldo St</t>
  </si>
  <si>
    <t>sunnydayelmayun@yahoo.com</t>
  </si>
  <si>
    <t>2018-210</t>
  </si>
  <si>
    <t>elmapila7</t>
  </si>
  <si>
    <t>ISLA BONDED WAREHOUSE AND LOGISTICS CORPORATION</t>
  </si>
  <si>
    <t>Operations and Admin</t>
  </si>
  <si>
    <t>North Ramp Area Clark Civil Aviation Complex Clark Freeport Zone Pampanga 2023 Clark Freeport Zone Philippines</t>
  </si>
  <si>
    <t>2017-480</t>
  </si>
  <si>
    <t>Dreambuilders Pro Inc</t>
  </si>
  <si>
    <t>Diangson</t>
  </si>
  <si>
    <t>Cris Joseph</t>
  </si>
  <si>
    <t>HR Recruitment Specialist</t>
  </si>
  <si>
    <t>Mimosa Dr Clark Freeport Angeles Pampanga</t>
  </si>
  <si>
    <t>careers@dreambuilderspro.com.ph</t>
  </si>
  <si>
    <t>db_pro</t>
  </si>
  <si>
    <t>YI  PLACE INC</t>
  </si>
  <si>
    <t>MARCELO</t>
  </si>
  <si>
    <t>LENILYN</t>
  </si>
  <si>
    <t>ILAGAN</t>
  </si>
  <si>
    <t>N1522 Lily Hill road Clark Freeport Zone Philippines Clark Freeport Zone Philippines</t>
  </si>
  <si>
    <t>cnrodriguez_cpa@yahoo.com</t>
  </si>
  <si>
    <t>Y.I. PLACE</t>
  </si>
  <si>
    <t>BMG BUSINESS SOLUTIONS INC Formerly Think Global Team Inc</t>
  </si>
  <si>
    <t>Grecia</t>
  </si>
  <si>
    <t>Thelma</t>
  </si>
  <si>
    <t>Abueme</t>
  </si>
  <si>
    <t>Office Center 08N Berthaphil III Clark Center Jose Abad Santos Avenue Clark Freeport Zone Philippines</t>
  </si>
  <si>
    <t>thelma@beale.net.au</t>
  </si>
  <si>
    <t>045-2809775 - 09178320972</t>
  </si>
  <si>
    <t>2017-278</t>
  </si>
  <si>
    <t>FIRST IMPERIAL CARGO INC</t>
  </si>
  <si>
    <t>GAMOTEA</t>
  </si>
  <si>
    <t>JOEL</t>
  </si>
  <si>
    <t>DE CASTRO</t>
  </si>
  <si>
    <t>DEPUTY MANAGER</t>
  </si>
  <si>
    <t>Unit 27D Philexcel Business park M Roxas Clark Freeport Zone Philippines</t>
  </si>
  <si>
    <t>joel.gamotea@firstimperialcargo.com</t>
  </si>
  <si>
    <t>833-1289</t>
  </si>
  <si>
    <t>2018-239</t>
  </si>
  <si>
    <t>COMPUTER TROUBLESHOOTERS PHILIPPINES INC</t>
  </si>
  <si>
    <t>Kelvin Robert</t>
  </si>
  <si>
    <t>IT ADMIN STAFF</t>
  </si>
  <si>
    <t>Room 104 Clark Welcome Center Office Suites Berthaphil VIII compound SCTEX Road Clark Freeport Zone Philippines</t>
  </si>
  <si>
    <t>sales@cts-ph.com</t>
  </si>
  <si>
    <t>499-8467-499-8474</t>
  </si>
  <si>
    <t>2018-289</t>
  </si>
  <si>
    <t>Tr0ublesh00ter1</t>
  </si>
  <si>
    <t>AIRFREIGHT  2100 INCORPORATED</t>
  </si>
  <si>
    <t>Tamo</t>
  </si>
  <si>
    <t>Leony</t>
  </si>
  <si>
    <t>Ambong</t>
  </si>
  <si>
    <t>Regional Business Development Manager</t>
  </si>
  <si>
    <t>Portion of Bldg 7530 A Bonifacio Avenue Cargohaus Bldg Civil Aviation Complex Clark Freeport Zone Philippines</t>
  </si>
  <si>
    <t>lgambong@af2100.com</t>
  </si>
  <si>
    <t>499-3318</t>
  </si>
  <si>
    <t>2013-155</t>
  </si>
  <si>
    <t>THE LEAD TREE INT CORP doing business under the name and style of CLARK OUTSOURCING</t>
  </si>
  <si>
    <t>Chantengco</t>
  </si>
  <si>
    <t>Ma Rica Licer</t>
  </si>
  <si>
    <t>Yabut</t>
  </si>
  <si>
    <t>Unit 35C Philexcel Business Park MA Roxas Highway Clark Freeport Zone Philippines</t>
  </si>
  <si>
    <t>rica@clarkoutsourcing.com</t>
  </si>
  <si>
    <t>2018-178</t>
  </si>
  <si>
    <t>AUTOFIELD CAR CORPORATION</t>
  </si>
  <si>
    <t>Lot 2 and 3 M A Roxas Highway across Aderans corner</t>
  </si>
  <si>
    <t>2016-524</t>
  </si>
  <si>
    <t>/uploads/file-1538809831482.jpg</t>
  </si>
  <si>
    <t>Noemi</t>
  </si>
  <si>
    <t>Bucasas</t>
  </si>
  <si>
    <t>beamarkabalos@yahoo.com</t>
  </si>
  <si>
    <t>COFFEE MASTERS INC</t>
  </si>
  <si>
    <t>Andrada</t>
  </si>
  <si>
    <t>Irvin</t>
  </si>
  <si>
    <t>Calacala</t>
  </si>
  <si>
    <t>PreDeparture Area of the Expanded Clark International Airport CRK Passenger Terminal Building Clark Freeport Zone Philippines</t>
  </si>
  <si>
    <t>SBC_Clark@sbc.com.ph</t>
  </si>
  <si>
    <t>2016-556</t>
  </si>
  <si>
    <t>NSH OUTSOURCING INC</t>
  </si>
  <si>
    <t>Layug</t>
  </si>
  <si>
    <t>Nuqui</t>
  </si>
  <si>
    <t>Office Center 08M1 Berthaphil Clark Center Jose Abad Santos Avenue Clark Freeport Zone Philippines</t>
  </si>
  <si>
    <t>mary@newsensationhomes.com.au</t>
  </si>
  <si>
    <t>2018-301</t>
  </si>
  <si>
    <t>nsh2018</t>
  </si>
  <si>
    <t>KANGKANG SULLAI KOREAN RESTAURANT INC</t>
  </si>
  <si>
    <t>Espiritu</t>
  </si>
  <si>
    <t>Angelamor</t>
  </si>
  <si>
    <t>Manacmul</t>
  </si>
  <si>
    <t>Lot 456789 CMUA The Villages CM Recto Highway Clark Freeport Zone Philippines</t>
  </si>
  <si>
    <t>kangrestau@gmail.com</t>
  </si>
  <si>
    <t>2018-306</t>
  </si>
  <si>
    <t>kangreport2024</t>
  </si>
  <si>
    <t>/uploads/file-1535598789981.jpg</t>
  </si>
  <si>
    <t>AMERTRON INC</t>
  </si>
  <si>
    <t>Anna Liza</t>
  </si>
  <si>
    <t>HR and Admin Senior Manager</t>
  </si>
  <si>
    <t>Bldg 2430 Maloma Street Clark Freeport Zone Philippines</t>
  </si>
  <si>
    <t>annalisa.torres@inari-amertron.com.ph</t>
  </si>
  <si>
    <t>2016-294</t>
  </si>
  <si>
    <t>Amertroninc</t>
  </si>
  <si>
    <t>PERF RESTAURANTS INC BURGER KING PHILIPPINES</t>
  </si>
  <si>
    <t>Pingul</t>
  </si>
  <si>
    <t>Torio</t>
  </si>
  <si>
    <t>Restaurant General Manager</t>
  </si>
  <si>
    <t>Lot 061 Berthaphil Clark Center along Jose Abad Santos Avenue Clark Freeport Zone Philippines</t>
  </si>
  <si>
    <t>bk0045@burgerking.com.ph</t>
  </si>
  <si>
    <t>045-499-3179</t>
  </si>
  <si>
    <t>2018-081</t>
  </si>
  <si>
    <t>LRIZ KITCHEN</t>
  </si>
  <si>
    <t>ANNA RIZA</t>
  </si>
  <si>
    <t>ABIHAY</t>
  </si>
  <si>
    <t>2nd Floor Two West Aeropark BuildingGlobal Gateway Logistics City Clark Freeport Zone Philippines</t>
  </si>
  <si>
    <t>aramercado619@gmail.com</t>
  </si>
  <si>
    <t>2018-336</t>
  </si>
  <si>
    <t>food kiosk</t>
  </si>
  <si>
    <t>ANABELLA LIONGSON REYES CANTEEN</t>
  </si>
  <si>
    <t>QUIOC</t>
  </si>
  <si>
    <t>FRANCIS JOHN</t>
  </si>
  <si>
    <t>Lot C4 Clark Premier Industrial Park Manuel A Roxas Highway Clark Freeport Zone Philippines</t>
  </si>
  <si>
    <t>johnquioccanteen@gmail.com</t>
  </si>
  <si>
    <t>2018-075</t>
  </si>
  <si>
    <t>AUROTECH CORPORATION</t>
  </si>
  <si>
    <t>VALERIO</t>
  </si>
  <si>
    <t>VICTOR</t>
  </si>
  <si>
    <t>STATION MANAGER</t>
  </si>
  <si>
    <t>Office Center 06N Berthaphil Clark Center Jose Abad Santos Avenue Clark Freeport Zone Philippines</t>
  </si>
  <si>
    <t>vvalerio@aurotech.com</t>
  </si>
  <si>
    <t>-6345 286 1616</t>
  </si>
  <si>
    <t>2017-299</t>
  </si>
  <si>
    <t>AIRTROPOLIS GSA PHILS CORPORATION</t>
  </si>
  <si>
    <t>Jener</t>
  </si>
  <si>
    <t>Lazaro</t>
  </si>
  <si>
    <t>Bldg 7588 Clark Civil Aviation Complex Clark Freeport Zone Philippines</t>
  </si>
  <si>
    <t>jener_basilio.crk@agsa-phils.com</t>
  </si>
  <si>
    <t>045-499-3201</t>
  </si>
  <si>
    <t>2017-430</t>
  </si>
  <si>
    <t>Airtropolis</t>
  </si>
  <si>
    <t>Office Type</t>
  </si>
  <si>
    <t>RED CARROT FOOD SERVICES</t>
  </si>
  <si>
    <t>Anavil</t>
  </si>
  <si>
    <t>Magay</t>
  </si>
  <si>
    <t>OwnerProprietor</t>
  </si>
  <si>
    <t>Bldg 40 Philexcel Business Park M A Roxas Highway Clark Freeport Zone Philippines</t>
  </si>
  <si>
    <t>klairedeguzman31@gmail.com</t>
  </si>
  <si>
    <t>2018-108</t>
  </si>
  <si>
    <t>BMG OUTSOURCING INC FORMERLY BEALE MANAGEMENT GROUP PHILS INC</t>
  </si>
  <si>
    <t>MANESE</t>
  </si>
  <si>
    <t>DYAN KRISLOU</t>
  </si>
  <si>
    <t>MENDOZA</t>
  </si>
  <si>
    <t>PEOPLE AND CULTURE SUPERVISOR</t>
  </si>
  <si>
    <t>Unit B Second Floor  Clark Center 9 Berthaphil Clark Center Jose Abad Santos Avenue Clark Freeport Zone Philippines</t>
  </si>
  <si>
    <t>dyan@bmgoutsourcing.com.au</t>
  </si>
  <si>
    <t>-63 9985627319</t>
  </si>
  <si>
    <t>2018-070</t>
  </si>
  <si>
    <t>bmgo</t>
  </si>
  <si>
    <t>CAN CAN EATERY</t>
  </si>
  <si>
    <t>Razon</t>
  </si>
  <si>
    <t>Vicky</t>
  </si>
  <si>
    <t>Alvero</t>
  </si>
  <si>
    <t>Bldg 39 Philexcel Business ParkMA Roxas Highway Clark Freeport Zone Philippines</t>
  </si>
  <si>
    <t>arazon1220@gmail.com</t>
  </si>
  <si>
    <t>0975-148-1763</t>
  </si>
  <si>
    <t>2018-300</t>
  </si>
  <si>
    <t>Jr1220</t>
  </si>
  <si>
    <t>RTA CASTANAS MANDARIN TRADING</t>
  </si>
  <si>
    <t>Padin</t>
  </si>
  <si>
    <t>Anna Loraine</t>
  </si>
  <si>
    <t>Sales Clerk</t>
  </si>
  <si>
    <t>Sub Lobby No 2 Puregold Duty Free C M Recto Highway  Clark Freeport Zone Philippines</t>
  </si>
  <si>
    <t>2016-559</t>
  </si>
  <si>
    <t>MAI ZAYDIE PIE CANTEEN</t>
  </si>
  <si>
    <t>Maria Teresa Phoebe</t>
  </si>
  <si>
    <t>Buhay</t>
  </si>
  <si>
    <t>Owner Manager</t>
  </si>
  <si>
    <t>Unit 16A1 Philexcel Business Mark M A Roxas Highway Clark Freeport Zone Philippines</t>
  </si>
  <si>
    <t>mzd.canteen@gmail.com</t>
  </si>
  <si>
    <t>2018-275</t>
  </si>
  <si>
    <t>Canteen Concessionaire</t>
  </si>
  <si>
    <t>/uploads/file-1537531698759.png</t>
  </si>
  <si>
    <t>KITCHEN DELUXE BY IRM</t>
  </si>
  <si>
    <t>Calilung</t>
  </si>
  <si>
    <t>Berthaphil Compound Sutherland Global Services Philippines Inc Clark Freeport Zone Philippines</t>
  </si>
  <si>
    <t>2018-294</t>
  </si>
  <si>
    <t>MYINTELLECTS IT BUSINESS SOLUTIONS</t>
  </si>
  <si>
    <t>Room 4 Philexcel Business Arcade 3 Philexcel Business Park M A Roxas Highway Clark Freeport Zone Philippines</t>
  </si>
  <si>
    <t>2018-134</t>
  </si>
  <si>
    <t>GENESIS MARKETING SOLUTIONS BPO GMSBPO INC</t>
  </si>
  <si>
    <t>Yambao</t>
  </si>
  <si>
    <t>Josiephine</t>
  </si>
  <si>
    <t>Bldg 39 Berthaphil II North Jose Abad Santos Avenue Clark Freeport Zone Philippines</t>
  </si>
  <si>
    <t>zabalaliezel.gms@gmail.com</t>
  </si>
  <si>
    <t>2018-036</t>
  </si>
  <si>
    <t>HOLDING POINT CONVENIENCE STORE</t>
  </si>
  <si>
    <t>ABALOS</t>
  </si>
  <si>
    <t>KEVIN</t>
  </si>
  <si>
    <t>BURGO</t>
  </si>
  <si>
    <t>FOUNDER</t>
  </si>
  <si>
    <t>3rd Floor SFA Main Building Clark Freeport Zone Philippines</t>
  </si>
  <si>
    <t>kvin.abalos@gmail.com</t>
  </si>
  <si>
    <t>2018-335</t>
  </si>
  <si>
    <t>MACROASIA AIRPORT SERVICES CORPORATION</t>
  </si>
  <si>
    <t>ERFILUA</t>
  </si>
  <si>
    <t>EVANGELINE</t>
  </si>
  <si>
    <t>DEPUTY STATION OFFICER</t>
  </si>
  <si>
    <t>Portion of bldg 7582 Clark Civil Aviation Complex Clark Freeport Zone Philippines</t>
  </si>
  <si>
    <t>evangeline.erfilua@mascorp.ph</t>
  </si>
  <si>
    <t>045 499-3225</t>
  </si>
  <si>
    <t>2017-246</t>
  </si>
  <si>
    <t>TAI CHI NEWTECH INC</t>
  </si>
  <si>
    <t>Erika</t>
  </si>
  <si>
    <t>Hr Admin</t>
  </si>
  <si>
    <t>Office Center 5K Berthaphil Clark Center Jose Abad Santos Avenue Clark Freeport Zone Philippines</t>
  </si>
  <si>
    <t>eog.taichi@gmail.com</t>
  </si>
  <si>
    <t>045-499-8494</t>
  </si>
  <si>
    <t>2018-045</t>
  </si>
  <si>
    <t>LAVANDE BEAUTY CLINIC</t>
  </si>
  <si>
    <t>Elca</t>
  </si>
  <si>
    <t>Ground Floor Widus Hotel  Casino Tower 1 Clark Freeport Zone Philippines</t>
  </si>
  <si>
    <t>camzelca.1621@gmail.com</t>
  </si>
  <si>
    <t>2018-380</t>
  </si>
  <si>
    <t>KOSCA PHILS CONST VENTURES CORPORATION</t>
  </si>
  <si>
    <t>Nia Kathrina</t>
  </si>
  <si>
    <t>Quizon</t>
  </si>
  <si>
    <t>Room 3 Philexcel Business Arcade 1 Philexcel Business Park MRoxas Highway Clark Freeport Zone</t>
  </si>
  <si>
    <t>2018-378</t>
  </si>
  <si>
    <t>Kosca2020</t>
  </si>
  <si>
    <t>ECO PROTECT MANAGEMENT CORP</t>
  </si>
  <si>
    <t>Ixoperio</t>
  </si>
  <si>
    <t>Ronquillo</t>
  </si>
  <si>
    <t>AGM</t>
  </si>
  <si>
    <t>Unit C1 Ground Floor Clark Center 05 Clark Center Clark Freeport Zone Philippines</t>
  </si>
  <si>
    <t>perry_bonzon@yahoo.com</t>
  </si>
  <si>
    <t>2018-363</t>
  </si>
  <si>
    <t>RG5 FAMILY BUSINESS CORP</t>
  </si>
  <si>
    <t>QUIROZ</t>
  </si>
  <si>
    <t>GLORIA</t>
  </si>
  <si>
    <t>CHIEF OPERATING OFFICER</t>
  </si>
  <si>
    <t>Bldg N1746 GFUnit 3 CM Recto Highway cor MA Roxas Highway Clark Freeport Zone Philippines</t>
  </si>
  <si>
    <t>gloria_quiroz28@yahoo.com</t>
  </si>
  <si>
    <t>2018-309</t>
  </si>
  <si>
    <t>ACCELERATE OUTSOURCING INC</t>
  </si>
  <si>
    <t>FORTO</t>
  </si>
  <si>
    <t>JOHANA</t>
  </si>
  <si>
    <t>Pavilion 11A1 Berthaphil Clark Center Jose Abad Santos Avenue Clark Freeport Zone Philippines</t>
  </si>
  <si>
    <t>johana.forto@acceleratebpo.com.au</t>
  </si>
  <si>
    <t>2018-400</t>
  </si>
  <si>
    <t>TASSWAY OUTSOURCING PHILIPPINES INC</t>
  </si>
  <si>
    <t>MARIA NELISSA</t>
  </si>
  <si>
    <t>1F3A BUSINESS CENTER 11 PHILEXCEL BUSINESS PARK CSEZ PAMPANGA</t>
  </si>
  <si>
    <t>chloed@tassway.com.au</t>
  </si>
  <si>
    <t>2018-223</t>
  </si>
  <si>
    <t>SHIPWRIGHTS PHILIPPINES CORP SPC</t>
  </si>
  <si>
    <t>GOODDALE</t>
  </si>
  <si>
    <t>WILLIAM</t>
  </si>
  <si>
    <t>Building 06 Berthaphil II South Industrial Park Clark Freeport Zone Philippines</t>
  </si>
  <si>
    <t>rwgoodale@aol.com</t>
  </si>
  <si>
    <t>499-8632</t>
  </si>
  <si>
    <t>2018-329</t>
  </si>
  <si>
    <t>SHIWA INDUSTRIAL MFG INC</t>
  </si>
  <si>
    <t>Margallo</t>
  </si>
  <si>
    <t>Charmaine</t>
  </si>
  <si>
    <t>Pinlac</t>
  </si>
  <si>
    <t>Warehouse Clerk</t>
  </si>
  <si>
    <t>Warehouse 1F Berthaphil IV Clark Civil Aviation Complex Clark Freeport Zone 2023 Clark Freeport Zone Philippines</t>
  </si>
  <si>
    <t>shiwa@march-umb.com</t>
  </si>
  <si>
    <t>2018-362</t>
  </si>
  <si>
    <t>BSPCI AND ALMERIA INTERNATIONAL CONSTRUCTION JOINT VENTURE INCORPORATED</t>
  </si>
  <si>
    <t>Yauna</t>
  </si>
  <si>
    <t>Mary Rose</t>
  </si>
  <si>
    <t>Baluyut</t>
  </si>
  <si>
    <t>Recruitment  Admin Supervisor</t>
  </si>
  <si>
    <t>Unit 307 3rd Floor KACC Philmade Building Lot 12 corner Jose Abad Santos Avenue and E Quirino Street Clark Freeport Zone Philippines</t>
  </si>
  <si>
    <t>ryauna@bsp-co.com.ph</t>
  </si>
  <si>
    <t>2018-407</t>
  </si>
  <si>
    <t>/uploads/file-1540868434929.png</t>
  </si>
  <si>
    <t>HBF INTERNATIONAL CORPORATION  dba as KOKO BURI RESTAURANT</t>
  </si>
  <si>
    <t>ZIGANAY</t>
  </si>
  <si>
    <t>JOSEPHINE</t>
  </si>
  <si>
    <t>ADMINHR OFFICER</t>
  </si>
  <si>
    <t>Pavillion 4 Berthaphil III Clark Center Jose Abad Santos Avenue Clark Freeport Zone Philippines</t>
  </si>
  <si>
    <t>jen_zendo2002@yahoo.com</t>
  </si>
  <si>
    <t>2018-316</t>
  </si>
  <si>
    <t>LGI FOOD ENTERPRISES New York Supreme Pizza</t>
  </si>
  <si>
    <t>JENY</t>
  </si>
  <si>
    <t>ILIGAN</t>
  </si>
  <si>
    <t>Unit 1 Ground Floor Northwalk Clark Complex No 08 MA Roxas Highway Clark Freeport Zone Philippines</t>
  </si>
  <si>
    <t>jenyiligansantos@yahoo.com</t>
  </si>
  <si>
    <t>2017-197</t>
  </si>
  <si>
    <t>/uploads/file-1550462453515.jpg</t>
  </si>
  <si>
    <t>REYES TACANDONG  CO</t>
  </si>
  <si>
    <t>Tauro</t>
  </si>
  <si>
    <t>Office Suites A Berthaphil Clark Center Jose Abad Santos Avenue Clark Freeport Zone Philippines</t>
  </si>
  <si>
    <t>cjstauro@reyestacondong.com</t>
  </si>
  <si>
    <t>2018-017</t>
  </si>
  <si>
    <t>RENCOR REFRIGERATION EQUIPMENT CORPORATION</t>
  </si>
  <si>
    <t>Collantes</t>
  </si>
  <si>
    <t>Acosta</t>
  </si>
  <si>
    <t>Project Engineer</t>
  </si>
  <si>
    <t>Portion of Lot 242 along Ninoy Aquino Avenue Clark Freeport Zone Philippines</t>
  </si>
  <si>
    <t>files@rencor.ph</t>
  </si>
  <si>
    <t>2018-281</t>
  </si>
  <si>
    <t>PSALM 1005 CORPORATION</t>
  </si>
  <si>
    <t>Sayson</t>
  </si>
  <si>
    <t>Domestic Terminal PreDeparture Area DD13Clark Airport Passenger Terminal BuildingClark aviation Complex Clark Freeport Zone Philippines</t>
  </si>
  <si>
    <t>catherine.sayson29@gmail.com</t>
  </si>
  <si>
    <t>2018-358</t>
  </si>
  <si>
    <t>cocofresco1234</t>
  </si>
  <si>
    <t>/uploads/file-1551171732811.jpg</t>
  </si>
  <si>
    <t>INLAND CORPORATION</t>
  </si>
  <si>
    <t>Eda</t>
  </si>
  <si>
    <t>Pinky</t>
  </si>
  <si>
    <t>Sales Executive</t>
  </si>
  <si>
    <t>KACC 3rd Floor Room 320 Lot 1  2Corner J Abad Santos Avenue  E Quirino St Clark Freeport Zone Philippines</t>
  </si>
  <si>
    <t>pinky.eda@inlandwh.com.ph</t>
  </si>
  <si>
    <t>2018-365</t>
  </si>
  <si>
    <t>PACKETHUB TECHNOLOGY AND SUPPORT INC</t>
  </si>
  <si>
    <t>Gatus</t>
  </si>
  <si>
    <t>Yvette Khristine</t>
  </si>
  <si>
    <t>Bldg N7548 E Andrew St A Bonifacio Avenue Clark Freeport Zone  Pampanga Philippines</t>
  </si>
  <si>
    <t>packethub.tsi@gmail.com</t>
  </si>
  <si>
    <t>2017-461</t>
  </si>
  <si>
    <t>packethub2017*</t>
  </si>
  <si>
    <t>HICOOL ENERGY SOLUTIONS PHILIPPINES INC HCESPI</t>
  </si>
  <si>
    <t>Barnuevo</t>
  </si>
  <si>
    <t>Melrose</t>
  </si>
  <si>
    <t>Maramara</t>
  </si>
  <si>
    <t>Executive Assistance</t>
  </si>
  <si>
    <t>Pavillion 18 Berthaphil Clark Center Jose Abad Santos Clark Freeport Zone Philippines</t>
  </si>
  <si>
    <t>hicool.enigineering@gmail.com</t>
  </si>
  <si>
    <t>2017-298</t>
  </si>
  <si>
    <t>HICOOL2017</t>
  </si>
  <si>
    <t>/uploads/file-1540889532198.jpg</t>
  </si>
  <si>
    <t>AUTOPORT CORPORATION</t>
  </si>
  <si>
    <t>LGC Automotive Services Building MA Roxas Highway Clark Freeport Zone Philippines</t>
  </si>
  <si>
    <t>2018-340</t>
  </si>
  <si>
    <t>/uploads/file-1541496850623.jpg</t>
  </si>
  <si>
    <t>PMVA INC</t>
  </si>
  <si>
    <t>Cabasa</t>
  </si>
  <si>
    <t>Bea Franchezka</t>
  </si>
  <si>
    <t>Recruitment Assistant</t>
  </si>
  <si>
    <t>Unit 1002 One West Aeropark Clark Global City Clarkfield Pampanga</t>
  </si>
  <si>
    <t>recruitmentasst2@pmva.com.au</t>
  </si>
  <si>
    <t>2018-461</t>
  </si>
  <si>
    <t>pmva1234!</t>
  </si>
  <si>
    <t>/uploads/file-1541389547254.png</t>
  </si>
  <si>
    <t>ACE Hardware</t>
  </si>
  <si>
    <t>Banag</t>
  </si>
  <si>
    <t>acehardwareclark@yahoo.com</t>
  </si>
  <si>
    <t>0936-511-4372</t>
  </si>
  <si>
    <t>ace_hardware</t>
  </si>
  <si>
    <t>Retail of Hardware Merchandise</t>
  </si>
  <si>
    <t>acehardware</t>
  </si>
  <si>
    <t>OOZOO UZU INC</t>
  </si>
  <si>
    <t>CEO</t>
  </si>
  <si>
    <t>Club Building Unit F Clark Hills Village Abacan and Chico Streets Clark Freeport Zone Philippines</t>
  </si>
  <si>
    <t>2016-166</t>
  </si>
  <si>
    <t>CFZ GOLDEN RIVER CORPORATION DOING BUSINESS UNDER THE NAME AND STYLE OF EMERALD SPA AND MASSAGE</t>
  </si>
  <si>
    <t>Arguelles</t>
  </si>
  <si>
    <t>Mildred</t>
  </si>
  <si>
    <t>Unit 201 Gihon Building Jose Abad Santos Avenue corner E Aguinaldo Street Clark Freeport Zone Philippines</t>
  </si>
  <si>
    <t>cfzgoldenrivercorporation@gmail.com</t>
  </si>
  <si>
    <t>2018-349</t>
  </si>
  <si>
    <t>golden2019</t>
  </si>
  <si>
    <t>/uploads/file-1567136445969.png</t>
  </si>
  <si>
    <t>SHABU KHAN RESTAURANT INC</t>
  </si>
  <si>
    <t>Ronalyn</t>
  </si>
  <si>
    <t>Roman</t>
  </si>
  <si>
    <t>Unit 101103 KACC Philmade Annex B Bldg Lot 12 corner Jose Abad Santos Avenue and E Quirino Street  Clark Freeport Zone Philippines</t>
  </si>
  <si>
    <t>shabukhan.clark@gmail.com</t>
  </si>
  <si>
    <t>2018-324</t>
  </si>
  <si>
    <t>/uploads/file-1551796952525.jpg</t>
  </si>
  <si>
    <t>SILVER HERITAGE PHILS INC</t>
  </si>
  <si>
    <t>Crespo</t>
  </si>
  <si>
    <t>Maria Katherine</t>
  </si>
  <si>
    <t>Javaluyas</t>
  </si>
  <si>
    <t>Mini Storage 07  Berthaphil II North Industrial Park Manunngal Street Clark Freeport Zone Clark Freeport Zone Philippines</t>
  </si>
  <si>
    <t>mae@bromheadholdings.com</t>
  </si>
  <si>
    <t>2018-375</t>
  </si>
  <si>
    <t>GENESIS TRANSPORT SERVICE INC</t>
  </si>
  <si>
    <t>MOISES</t>
  </si>
  <si>
    <t>CARLO MIGUEL</t>
  </si>
  <si>
    <t>I</t>
  </si>
  <si>
    <t>MARKETING MANAGER</t>
  </si>
  <si>
    <t>Along Claro M Recto Highway corner Blue Diamond St Clark Civil Aviation Complex Clark Freeport Zone Philippines</t>
  </si>
  <si>
    <t>cimoises@genesisgroup.ph</t>
  </si>
  <si>
    <t>2018-460</t>
  </si>
  <si>
    <t>CGC TECHNOLOGIES INC</t>
  </si>
  <si>
    <t>Quilala</t>
  </si>
  <si>
    <t>Irish</t>
  </si>
  <si>
    <t>Buendia</t>
  </si>
  <si>
    <t>3rd 4th 5th and 6th Floors One West Aeropark Bldg Global Gateway Logistics CityClark Civil Aviation Complex Clark Freeport Zone Philippines</t>
  </si>
  <si>
    <t>hr@cgctech.com.ph</t>
  </si>
  <si>
    <t>2018-374</t>
  </si>
  <si>
    <t>Private CIAC</t>
  </si>
  <si>
    <t>/uploads/file-1543997422411.jpg</t>
  </si>
  <si>
    <t>KITCHEN ANGELS FOOD PRODUCTS AND SERVICES</t>
  </si>
  <si>
    <t>Bldg N7499 A Bonifacio Avenue Clark Freeport Zone Philippines</t>
  </si>
  <si>
    <t>nai.janairo@gmail.com</t>
  </si>
  <si>
    <t>2018-435</t>
  </si>
  <si>
    <t>HOLOSCARE INC  DOING BUSINESS UNDER THE NAMES AND STYLES OF HOLOS</t>
  </si>
  <si>
    <t>McDonald</t>
  </si>
  <si>
    <t>Meradonie Rose</t>
  </si>
  <si>
    <t>2nd Floor Lot 2 Clark Hauz Bldg Bayanihan Park Balibago Angeles City Clark Freeport Zone Philippines</t>
  </si>
  <si>
    <t>smeradonie@yahoo.com</t>
  </si>
  <si>
    <t>FINDS CAFFE INC</t>
  </si>
  <si>
    <t>Marcelo</t>
  </si>
  <si>
    <t>Unit 104 Gihon Building Regency Park Townhouses J Abad Santos Avenue corner E Aguinaldo Street Clark Freeport Zone Philippines</t>
  </si>
  <si>
    <t>iamnutssymarcelo@gmail.com</t>
  </si>
  <si>
    <t>0906-450-8336</t>
  </si>
  <si>
    <t>2015-340</t>
  </si>
  <si>
    <t>Goodmorning01</t>
  </si>
  <si>
    <t>CIAC PROVIDENT FUND INC</t>
  </si>
  <si>
    <t>Roma</t>
  </si>
  <si>
    <t>CPFI Secretary</t>
  </si>
  <si>
    <t>Executive Office bldg Civil Aviation Complex Clark Freeport Zone Philippines</t>
  </si>
  <si>
    <t>romagalang27@yahoo.com</t>
  </si>
  <si>
    <t>888 JIN DRAGON LOGISTICS</t>
  </si>
  <si>
    <t>Maglaqui</t>
  </si>
  <si>
    <t>Lowell</t>
  </si>
  <si>
    <t>Room 107 Clark Welcome Center Office Suites Berthaphil VIII Compound SCTEX Road Clark Freeport Zone Philippines</t>
  </si>
  <si>
    <t>lmmaglaqui@yahoo.com</t>
  </si>
  <si>
    <t>2018-347</t>
  </si>
  <si>
    <t>CHARLES AEROSPACE INDUSTRIES INC</t>
  </si>
  <si>
    <t>AGUILAR II</t>
  </si>
  <si>
    <t>CHARLES</t>
  </si>
  <si>
    <t>MAMPO</t>
  </si>
  <si>
    <t>Warehouse 1B Berthaphil IV Compound Clark Civil Aviation Complex CFZ Philippines</t>
  </si>
  <si>
    <t>hr@charles-aeroindustries.com</t>
  </si>
  <si>
    <t>09175928858-0977-859-9088-0454998105</t>
  </si>
  <si>
    <t>2018-267</t>
  </si>
  <si>
    <t>caiiaguilar2023</t>
  </si>
  <si>
    <t>/uploads/file-1563777333754.jpg</t>
  </si>
  <si>
    <t>LEMON CHILL FOOD CART</t>
  </si>
  <si>
    <t>Ignacio</t>
  </si>
  <si>
    <t>Ground Floor  West Aeropark BldgClark Global City Clark Civil aviation Complex  Clark Freeport Zone Philippines</t>
  </si>
  <si>
    <t>michelleignacio_04@yahoo.com</t>
  </si>
  <si>
    <t>2018-531</t>
  </si>
  <si>
    <t>ECHO TANGO FOOD AND BEVERAGE ENTERPRISES</t>
  </si>
  <si>
    <t>Ma Teresita</t>
  </si>
  <si>
    <t>Stall Numbers 1 and 2 inside the Dinosaurs Island of  Clark Nature Park Inc Gil Puyat Avenue Clark Freeport Zone Philippines</t>
  </si>
  <si>
    <t>roval@rocketmail.com</t>
  </si>
  <si>
    <t>2018-177</t>
  </si>
  <si>
    <t>3CORE LEADERSTECH CORP</t>
  </si>
  <si>
    <t>Melendres</t>
  </si>
  <si>
    <t>Eric</t>
  </si>
  <si>
    <t>Pumareja</t>
  </si>
  <si>
    <t>Unit 917  Clark Terrace Bldg The Villages Lot 2 Blk 1 Prince Balagtas Ave CFZ</t>
  </si>
  <si>
    <t>eric@ldt21.com</t>
  </si>
  <si>
    <t>2018-318</t>
  </si>
  <si>
    <t>PHOTO FUSION DIGITAL PRINTING INC</t>
  </si>
  <si>
    <t>Reymark</t>
  </si>
  <si>
    <t>Del Valle</t>
  </si>
  <si>
    <t>HR Admin</t>
  </si>
  <si>
    <t>Unit 34EF Philexcel Business Park M Roxas Highway Clark Freeport Zone Philippines</t>
  </si>
  <si>
    <t>hrphotofusionroma@gmail.com</t>
  </si>
  <si>
    <t>2018-258</t>
  </si>
  <si>
    <t>Iwapp2009!</t>
  </si>
  <si>
    <t>/uploads/file-1553670133198.png</t>
  </si>
  <si>
    <t>PHILIPPINE FAMILYMART CVS INC</t>
  </si>
  <si>
    <t>Corpus</t>
  </si>
  <si>
    <t>Aubrie</t>
  </si>
  <si>
    <t>Store Officer</t>
  </si>
  <si>
    <t>One West Aeropark GF 114115 77 Gatwick Gateway Global Gateway Clark Clark Freeport Zone Philippines</t>
  </si>
  <si>
    <t>brieyamsuan03@gmail.com</t>
  </si>
  <si>
    <t>2018-126</t>
  </si>
  <si>
    <t>PHILIPPINE SUPER VALUE FOODS INC</t>
  </si>
  <si>
    <t>ELOISA</t>
  </si>
  <si>
    <t>DE MESA</t>
  </si>
  <si>
    <t>Unit 17G Philexcel Business Park M A Roxas Highway Clark Freeport Zone Philippines</t>
  </si>
  <si>
    <t>eloisamercado30@yahoo.com</t>
  </si>
  <si>
    <t>2016-223</t>
  </si>
  <si>
    <t>BM KITCHEN</t>
  </si>
  <si>
    <t>Tablante</t>
  </si>
  <si>
    <t>Yokohama Compound IE5 MA Roxas Highway Clark Freeport Zone Philippines</t>
  </si>
  <si>
    <t>pinky_tabllante@yahoo.comom</t>
  </si>
  <si>
    <t>2018-424</t>
  </si>
  <si>
    <t>INAEC NORTH AVIATION CORPORATION</t>
  </si>
  <si>
    <t>Edgar Allan</t>
  </si>
  <si>
    <t>Hangar No 7216 Civil Aviation Complex Clark Freeport Zone Philippines</t>
  </si>
  <si>
    <t>eacarreon@inaec.com.ph</t>
  </si>
  <si>
    <t>2018-244</t>
  </si>
  <si>
    <t>INAECNorthAviation</t>
  </si>
  <si>
    <t>Aviation Related</t>
  </si>
  <si>
    <t>/uploads/file-1547627102953.jpg</t>
  </si>
  <si>
    <t>ON DEMAND OFFICE INC Formerly BRD EVEREST ADVOCATES PHILS INC</t>
  </si>
  <si>
    <t>Caneda</t>
  </si>
  <si>
    <t>Didith</t>
  </si>
  <si>
    <t>Buella</t>
  </si>
  <si>
    <t>RM 3 5 7 PHILEXCEL BUSINESS CENTER 2 PHILEXCEL BUSINESS PARK M ROXAS HIGHWAY CLARK FREEPORT ZONE 2023</t>
  </si>
  <si>
    <t>ondemandofficeinc@gmail.com</t>
  </si>
  <si>
    <t>045-499-8389</t>
  </si>
  <si>
    <t>2018-423</t>
  </si>
  <si>
    <t>consultancy  outsouring</t>
  </si>
  <si>
    <t>/uploads/file-1548344214078.jpg</t>
  </si>
  <si>
    <t>PREPAIDPLUS INC</t>
  </si>
  <si>
    <t>Zabala</t>
  </si>
  <si>
    <t>Liezel</t>
  </si>
  <si>
    <t>Lasam</t>
  </si>
  <si>
    <t>Office Center 05J Berthaphil Clark Center Jose Abad Santos Avenue Clark Freeport Zone Philippines</t>
  </si>
  <si>
    <t>0997-107-3549</t>
  </si>
  <si>
    <t>2019-016</t>
  </si>
  <si>
    <t>STCCHAMPION SALON</t>
  </si>
  <si>
    <t>Vic</t>
  </si>
  <si>
    <t>Tiu</t>
  </si>
  <si>
    <t>ADMIN Staff</t>
  </si>
  <si>
    <t>Tower 2 Ground Floor Donggwang ODE Country Bldg CM Recto Highway Clark Freeport Zone Philippines</t>
  </si>
  <si>
    <t>SHIDAIKEJI888@GMAIL.COM</t>
  </si>
  <si>
    <t>045-499-51-63</t>
  </si>
  <si>
    <t>2019-011</t>
  </si>
  <si>
    <t>PAUL1234</t>
  </si>
  <si>
    <t>JDB RESTO AND MUSIC BAR</t>
  </si>
  <si>
    <t>Noel</t>
  </si>
  <si>
    <t>Madrid</t>
  </si>
  <si>
    <t>Book Keeper</t>
  </si>
  <si>
    <t>Stall Nos 205206 2nd Floor KACC Philmade Annex Bldg Lot 12 corner Jose Abad Santos Avenue and E Quirino Street Clark Freeport Zone Philippines</t>
  </si>
  <si>
    <t>onestepbusinesssolutions153@gmail.com</t>
  </si>
  <si>
    <t>2018-395</t>
  </si>
  <si>
    <t>CACE TRAVEL SERVICES AND BAYAD CENTER</t>
  </si>
  <si>
    <t>NICART</t>
  </si>
  <si>
    <t>MONA LIZA</t>
  </si>
  <si>
    <t>Within the Clark Skills Training Center formerly Clark Polytechnic One Stop Processing Center Jose Abad Santos Avenue Clark Freeport Zone Philippines</t>
  </si>
  <si>
    <t>caceangie@yahoo.com</t>
  </si>
  <si>
    <t>2018-144</t>
  </si>
  <si>
    <t>/uploads/file-1611046872302.png</t>
  </si>
  <si>
    <t>INTERCONNECTED WEALTH TECHNOLOGY INC</t>
  </si>
  <si>
    <t>Carla</t>
  </si>
  <si>
    <t>Trinidad</t>
  </si>
  <si>
    <t>Acacia Drive Filinvest Mimosa Leisure City Clark Freeport Zone Philippines</t>
  </si>
  <si>
    <t>carlayambaoiwt@gmail.com</t>
  </si>
  <si>
    <t>0921-585-1839</t>
  </si>
  <si>
    <t>2018-249</t>
  </si>
  <si>
    <t>IWTI</t>
  </si>
  <si>
    <t>PHOENIX PETROLEUM PHILIPPINES INC</t>
  </si>
  <si>
    <t>Victorio</t>
  </si>
  <si>
    <t>Joey</t>
  </si>
  <si>
    <t>Avila</t>
  </si>
  <si>
    <t>Project Engr</t>
  </si>
  <si>
    <t>2nd Floor 1W218 One West Aeropark Building Clark Global City Clark Aviation Complex Clark Freeport Zone Philippines</t>
  </si>
  <si>
    <t>joey.victorio@phoenixfuels.ph</t>
  </si>
  <si>
    <t>917 821 4516</t>
  </si>
  <si>
    <t>2019-036</t>
  </si>
  <si>
    <t>SEONG RIM DEVELOPMENT CORPORATION</t>
  </si>
  <si>
    <t>Fausto</t>
  </si>
  <si>
    <t>Naty</t>
  </si>
  <si>
    <t>Astrero</t>
  </si>
  <si>
    <t>Bldg No 2103 along E Jacinto Street  Clark Freeport Zone Philippines</t>
  </si>
  <si>
    <t>slcdcphils@outlook.com</t>
  </si>
  <si>
    <t>045-499-3331</t>
  </si>
  <si>
    <t>2018-488</t>
  </si>
  <si>
    <t>ATE MARIES SARISARI STORE</t>
  </si>
  <si>
    <t>Lagdaan</t>
  </si>
  <si>
    <t>Bldg 1 IQOR Site 2 Clark Center Berthaphil III Jose Abad Santos Avenue Clark Freeport Zone Philippines</t>
  </si>
  <si>
    <t>mitspineda@yahoo.com</t>
  </si>
  <si>
    <t>0916-204-2531</t>
  </si>
  <si>
    <t>2018-143</t>
  </si>
  <si>
    <t>DK501 CORPORATION</t>
  </si>
  <si>
    <t>KIM</t>
  </si>
  <si>
    <t>MIRA</t>
  </si>
  <si>
    <t>Unit 203 and 204 ON Commercial Building Lot 1 E Aguinaldo Street Clark Freeport Zone Philippines</t>
  </si>
  <si>
    <t>dk501corporation@gmail.com</t>
  </si>
  <si>
    <t>2018-539</t>
  </si>
  <si>
    <t>JJ DEVT CORP</t>
  </si>
  <si>
    <t>Sevilla</t>
  </si>
  <si>
    <t>Along Quitangil St Clark Freeport Zone Philippines</t>
  </si>
  <si>
    <t>jjdevtcorp2017@gmail.com</t>
  </si>
  <si>
    <t>2018-360</t>
  </si>
  <si>
    <t>GALBIYECHAN FOOD INC</t>
  </si>
  <si>
    <t>Suarez</t>
  </si>
  <si>
    <t>Lourdes</t>
  </si>
  <si>
    <t>Lot 10 and 11 along MA Roxas Highway Clark Freeport Zone Philippines</t>
  </si>
  <si>
    <t>galbiyechan@gmail.com</t>
  </si>
  <si>
    <t>045-599-8248</t>
  </si>
  <si>
    <t>2017-311</t>
  </si>
  <si>
    <t>gyfi2019</t>
  </si>
  <si>
    <t>/uploads/file-1572917867192.png</t>
  </si>
  <si>
    <t>RFV CLARK CORPORATION FORMELY FLYING V CLARK</t>
  </si>
  <si>
    <t>Paronda</t>
  </si>
  <si>
    <t>Jonathan</t>
  </si>
  <si>
    <t>Omandam</t>
  </si>
  <si>
    <t>Authorized Representation</t>
  </si>
  <si>
    <t>CM Recto Highway B Fernando St Clark Freeport Zone Philippines</t>
  </si>
  <si>
    <t>jonathan.paronda@v-hive.com.ph</t>
  </si>
  <si>
    <t>2013-613</t>
  </si>
  <si>
    <t>SUN VALLEY CLARK HUB CORPORATION</t>
  </si>
  <si>
    <t>Bulacan</t>
  </si>
  <si>
    <t>Abad</t>
  </si>
  <si>
    <t>T309 Hectare Property Clark Sunvalley Country Club Jose Abad Santos Avenue Clark Freeport Zone Philippines</t>
  </si>
  <si>
    <t>ferds.svchc@gmail.com</t>
  </si>
  <si>
    <t>2018-560</t>
  </si>
  <si>
    <t>GOBPO SOLUTIONS INC</t>
  </si>
  <si>
    <t>Apostol</t>
  </si>
  <si>
    <t>Veronica</t>
  </si>
  <si>
    <t>Market Development Manager</t>
  </si>
  <si>
    <t>Room 18 Philexcel Business Center 18 Philexcel Business Park MA Roxas Highway Clark Freeport Zone Philippines</t>
  </si>
  <si>
    <t>veronica@gobpo.io</t>
  </si>
  <si>
    <t>0956-532-0464</t>
  </si>
  <si>
    <t>2018-521</t>
  </si>
  <si>
    <t>TRENER INDUSTRIES PHILIPPINES INC</t>
  </si>
  <si>
    <t>Wai</t>
  </si>
  <si>
    <t>Sammel</t>
  </si>
  <si>
    <t>Man Sum</t>
  </si>
  <si>
    <t>Asst General Manager</t>
  </si>
  <si>
    <t>Bldg 01Lot B Berthaphil I Industrial Park Jose Abad Santos Avenue Clark Freeport Zone Philippines</t>
  </si>
  <si>
    <t>samwai@trener-ph.com</t>
  </si>
  <si>
    <t>0917-522-2159</t>
  </si>
  <si>
    <t>2018-519</t>
  </si>
  <si>
    <t>Admin_2025</t>
  </si>
  <si>
    <t>OTWOL FOOD ENTERPRISES</t>
  </si>
  <si>
    <t>Tullao</t>
  </si>
  <si>
    <t>Aikins Nicole</t>
  </si>
  <si>
    <t>Rey</t>
  </si>
  <si>
    <t>A Bonifacio Ave Civil Aviation Complex Clark Freeport Zone Philippines</t>
  </si>
  <si>
    <t>tullaoaikins@gmail.com</t>
  </si>
  <si>
    <t>0906 137 5430</t>
  </si>
  <si>
    <t>2018-032</t>
  </si>
  <si>
    <t>CanteenConsessionaire</t>
  </si>
  <si>
    <t>QLINE BAKE SHOP  SNACK BAR</t>
  </si>
  <si>
    <t>Kaingat Jr</t>
  </si>
  <si>
    <t>Rogelio</t>
  </si>
  <si>
    <t>Jensen</t>
  </si>
  <si>
    <t>Visor</t>
  </si>
  <si>
    <t>Alorica Clark Phils BC 4 Philexcel Compound Clark Freeport Zone Philippines</t>
  </si>
  <si>
    <t>rjkaingat@yahoo.com</t>
  </si>
  <si>
    <t>0918 630 3289</t>
  </si>
  <si>
    <t>2018-459</t>
  </si>
  <si>
    <t>PHILIPPINE COCKFIGHTING INTERNATIONAL INC</t>
  </si>
  <si>
    <t>Andales</t>
  </si>
  <si>
    <t>Admin Supervisor</t>
  </si>
  <si>
    <t>Stall Nos 201203 2nd Floor KACC Philmade Annex Building Lots 12 corner J Abad Santos Street and E Quirino Street Clark Freeport Zone Philippines</t>
  </si>
  <si>
    <t>philcockfightingintlinc@gmail.com</t>
  </si>
  <si>
    <t>2019-018</t>
  </si>
  <si>
    <t>Live Streaming</t>
  </si>
  <si>
    <t>MFR CANTEEN AND CATERING SERVICES</t>
  </si>
  <si>
    <t>Lapid</t>
  </si>
  <si>
    <t>Mabalot</t>
  </si>
  <si>
    <t>lapid_jennifer@yahoo.com</t>
  </si>
  <si>
    <t>0916-421-0601</t>
  </si>
  <si>
    <t>2018-230</t>
  </si>
  <si>
    <t>KMJ CAFE CORP</t>
  </si>
  <si>
    <t>Dabu</t>
  </si>
  <si>
    <t>Paula Lyn</t>
  </si>
  <si>
    <t>Bldg N1746 GF Unit 2 CM Recto Highway cor MA Roxas Highway Clark Freeport Zone Philippines</t>
  </si>
  <si>
    <t>Paulalyndabu@yahoo.com</t>
  </si>
  <si>
    <t>2019-002</t>
  </si>
  <si>
    <t>Coffee shop</t>
  </si>
  <si>
    <t>CLARK INTERNATIONAL AIRPORT CORPORATION</t>
  </si>
  <si>
    <t>Arizza</t>
  </si>
  <si>
    <t>HR Officer IV</t>
  </si>
  <si>
    <t>Corporate Office Bldg Civil Aviation Complex Clark Freeport Zone Pampanga Philippines 2023</t>
  </si>
  <si>
    <t>hrd@clarkairport.com</t>
  </si>
  <si>
    <t>045-599-2888 loc 757- 0933-143-3060</t>
  </si>
  <si>
    <t>2016-278</t>
  </si>
  <si>
    <t>welcome1234</t>
  </si>
  <si>
    <t>Real Estate Management Aviation</t>
  </si>
  <si>
    <t>GOCC</t>
  </si>
  <si>
    <t>GLOBALTRONICS INC</t>
  </si>
  <si>
    <t>Sustuedo</t>
  </si>
  <si>
    <t>Daniel</t>
  </si>
  <si>
    <t>Ortiz</t>
  </si>
  <si>
    <t>Corporate HR Manager</t>
  </si>
  <si>
    <t>Ground FloorRetail 3 MercedesBenz Center MA Roxas Highway Clark Freeport Zone Philippines</t>
  </si>
  <si>
    <t>hr.assistant@globaltronics.net</t>
  </si>
  <si>
    <t>0917-8521505</t>
  </si>
  <si>
    <t>2018-315</t>
  </si>
  <si>
    <t>global2021</t>
  </si>
  <si>
    <t>OASISHUB INC</t>
  </si>
  <si>
    <t>Joselle</t>
  </si>
  <si>
    <t>Liscano</t>
  </si>
  <si>
    <t>Bldg No 7464 CM Recto Highway Clark Civil Aviation  Clark Freeport Zone Philippines</t>
  </si>
  <si>
    <t>josellequiambao41@gmail.com</t>
  </si>
  <si>
    <t>0926-441-1287</t>
  </si>
  <si>
    <t>2018-550</t>
  </si>
  <si>
    <t>/uploads/file-1553745636134.jpg</t>
  </si>
  <si>
    <t>RAINMEN KITCHEN</t>
  </si>
  <si>
    <t>Laylo</t>
  </si>
  <si>
    <t>Daren Jay</t>
  </si>
  <si>
    <t>Esquejo</t>
  </si>
  <si>
    <t>Coowner</t>
  </si>
  <si>
    <t>Panday Pira Ave Extension IE 1 Phase II Clark Freeport Zone Philippines</t>
  </si>
  <si>
    <t>darenjaylaylo@gmail.com</t>
  </si>
  <si>
    <t>0956 527 4205</t>
  </si>
  <si>
    <t>2018-059</t>
  </si>
  <si>
    <t>6TH RELIYANZ INTERNATIONAL Corporation</t>
  </si>
  <si>
    <t>Jane Rose</t>
  </si>
  <si>
    <t>Unit 334 3rd Flr KACC Philmade Bldg Lot 1  2 Corner J Abad Santos Ave and E Quirino St Clark Freeport Zone Philippines</t>
  </si>
  <si>
    <t>janesoriano0517@gmail.com</t>
  </si>
  <si>
    <t>2018-553</t>
  </si>
  <si>
    <t>RELI2018</t>
  </si>
  <si>
    <t>THE SHARP CONSULTING CORPORATION</t>
  </si>
  <si>
    <t>Calingayan</t>
  </si>
  <si>
    <t>Myrnalyn</t>
  </si>
  <si>
    <t>Padduyao</t>
  </si>
  <si>
    <t>Unit 101 Commercial Building Hills Village Abacan and Chico Sts Clark Freeport Zone Philippines</t>
  </si>
  <si>
    <t>thesharpconsultingcorp@gmail.com</t>
  </si>
  <si>
    <t>0917 695 1780</t>
  </si>
  <si>
    <t>2018-516</t>
  </si>
  <si>
    <t>JOII PHILIPPINES INC</t>
  </si>
  <si>
    <t>Beverly</t>
  </si>
  <si>
    <t>Chua</t>
  </si>
  <si>
    <t>Office Center 08F  G Berthaphil Clark Center Jose Abad Santos Avenue Clark Freeport Zone Philippines</t>
  </si>
  <si>
    <t>beverly.halili@joii.org</t>
  </si>
  <si>
    <t>0922-249-6555</t>
  </si>
  <si>
    <t>2019-004</t>
  </si>
  <si>
    <t>Joii2019</t>
  </si>
  <si>
    <t>ONESTEP BUSINESS SOLUTIONS</t>
  </si>
  <si>
    <t>Unit 322 3rd Floor KACC Philmade BldgLot 1  2 Corner Jose Abad Santos Avenue and E Quirino Street Clark Freeport Zone Philippines</t>
  </si>
  <si>
    <t>0921-251-5447</t>
  </si>
  <si>
    <t>2018-554</t>
  </si>
  <si>
    <t>R BASCO BUILDERS</t>
  </si>
  <si>
    <t>Unit 331 3rd Floor KACC Philmade Bldg Lot 12 corner Jose Abad Santos Avenue and E Quirino Street Clark Freeport Zone Philippines</t>
  </si>
  <si>
    <t>2019-015</t>
  </si>
  <si>
    <t>URBAN REMICON BUILD CORP</t>
  </si>
  <si>
    <t>ANNA JEAN</t>
  </si>
  <si>
    <t>KOREAN APPLE CORE PHILMADE BUILDING JOSE ABAD SANTOS AVENUE AND E QUIRINO ST CLARK FREEPORT ZONE</t>
  </si>
  <si>
    <t>annajean.urbc@gmail.com</t>
  </si>
  <si>
    <t>2019-014</t>
  </si>
  <si>
    <t>urban2023</t>
  </si>
  <si>
    <t>MEDAL CONSORTIUM LEISURE AND RESORT DEVELOPMENT CORPORATION</t>
  </si>
  <si>
    <t>Oleriana</t>
  </si>
  <si>
    <t>Krisell Marie</t>
  </si>
  <si>
    <t>Rayton</t>
  </si>
  <si>
    <t>Clark Valley View JP Rizal Avenue Clark Freeport Zone Philippines</t>
  </si>
  <si>
    <t>medal.kriselloleriana@gmail.com</t>
  </si>
  <si>
    <t>0945 687 0253</t>
  </si>
  <si>
    <t>2017-466</t>
  </si>
  <si>
    <t>mirej12345678</t>
  </si>
  <si>
    <t>SAVENCIA FROMAGE AND DAIRY PHILIPPINES INC SFDPI</t>
  </si>
  <si>
    <t>Errol</t>
  </si>
  <si>
    <t>Zafires</t>
  </si>
  <si>
    <t>Country Manager</t>
  </si>
  <si>
    <t>bounded by Prince Balagtas Avenue Clark Freeport Zone Philippines</t>
  </si>
  <si>
    <t>errol.rivera@savencia-fd.com</t>
  </si>
  <si>
    <t>0917-873-1436</t>
  </si>
  <si>
    <t>2018-242</t>
  </si>
  <si>
    <t>QSJ IMPORT AND EXPORT CORP</t>
  </si>
  <si>
    <t>Marvin</t>
  </si>
  <si>
    <t>Bounded by Prince Balagtas Clark Freeport Zone Philippines 2023 Clark Freeport Zone Philippines</t>
  </si>
  <si>
    <t>liugong_marvin@yahoo.com</t>
  </si>
  <si>
    <t>0917-556-1081</t>
  </si>
  <si>
    <t>2016-130</t>
  </si>
  <si>
    <t>CORPORATE GUARANTEE  INSURANCE COMPANY INCORPORATED</t>
  </si>
  <si>
    <t>Cherlinda</t>
  </si>
  <si>
    <t>Asst Manager</t>
  </si>
  <si>
    <t>located at LGC Automotive Services Along MA Roxas Highway Clark Freeport Zone Philippines</t>
  </si>
  <si>
    <t>cemiranda@corporateguarantee.com.ph</t>
  </si>
  <si>
    <t>2018-462</t>
  </si>
  <si>
    <t>CRK MART</t>
  </si>
  <si>
    <t>Malaca</t>
  </si>
  <si>
    <t>Alden</t>
  </si>
  <si>
    <t>Unit No 104 KACC Philmade Annex Building Lot 12 corner Jose Abad Santos Avenue and E Quirino Street  Clark Freeport Zone Philippines</t>
  </si>
  <si>
    <t>aldenmalaca.ladj@gmail.com</t>
  </si>
  <si>
    <t>0975 461 6296</t>
  </si>
  <si>
    <t>2018-421</t>
  </si>
  <si>
    <t>AMERITEL BPO SERVICES INC</t>
  </si>
  <si>
    <t>ARJEN</t>
  </si>
  <si>
    <t>GASING</t>
  </si>
  <si>
    <t>Unit 2B6 Philexcel Business Park MA Roxas Highway Clark Freeport Zone Philippines</t>
  </si>
  <si>
    <t>ameritelbpohr@gmail.com</t>
  </si>
  <si>
    <t>045-499-8690</t>
  </si>
  <si>
    <t>2019-051</t>
  </si>
  <si>
    <t>BAYNANT INC</t>
  </si>
  <si>
    <t>Charity</t>
  </si>
  <si>
    <t>Building 01BC Berthaphil V Industrial Park Gil Puyat Avenue Clark Freeport Zone Philippines Clark Freeport Zone Philippines</t>
  </si>
  <si>
    <t>baynantinc0502@gmail.com</t>
  </si>
  <si>
    <t>2018-439</t>
  </si>
  <si>
    <t>Admin439</t>
  </si>
  <si>
    <t>/uploads/file-1701151950680.png</t>
  </si>
  <si>
    <t>LEILANI T VALENCIA CATERING SERVICES</t>
  </si>
  <si>
    <t>Ragub</t>
  </si>
  <si>
    <t>ArDee Lyn</t>
  </si>
  <si>
    <t>GGDC Administrative Services Building Global Gateway Logistics City Clark Freeport Zone Clark Freeport Zone Philippines</t>
  </si>
  <si>
    <t>BJAYHENSON30@gmail.com</t>
  </si>
  <si>
    <t>0975 806 7166</t>
  </si>
  <si>
    <t>2016-633</t>
  </si>
  <si>
    <t>cu+edw?n24</t>
  </si>
  <si>
    <t>CanteenCooncessionaire</t>
  </si>
  <si>
    <t>TRAVEL BLOG TRAVEL AND TOURS</t>
  </si>
  <si>
    <t>OwnerManager</t>
  </si>
  <si>
    <t>Office Center 06D1 Berthaphil Clark Center Jose Abad Santos Avenue Clark Freeport Zone Philippines</t>
  </si>
  <si>
    <t>2019-108</t>
  </si>
  <si>
    <t>TBlog#2019</t>
  </si>
  <si>
    <t>ACE TOURS AND TRAVEL AGENCY INC</t>
  </si>
  <si>
    <t>Jebulan</t>
  </si>
  <si>
    <t>Rozielle Joy</t>
  </si>
  <si>
    <t>Unit 337 3rd Floor KACC Philmade Bldg Lot 12 corner Jose Abad Santos Avenue and E Quirino Street Clark Freeport Zone Philippines</t>
  </si>
  <si>
    <t>ruzeey@gmail.com</t>
  </si>
  <si>
    <t>0927 819 3014</t>
  </si>
  <si>
    <t>2019-074</t>
  </si>
  <si>
    <t>AEROMAXIS INTERNATIONAL AVIATION INC</t>
  </si>
  <si>
    <t>Julita</t>
  </si>
  <si>
    <t>VPTreasurer</t>
  </si>
  <si>
    <t>Unit 34D Philexcel Business Park M A Roxas Highway Clark Freeport Zone Philippines</t>
  </si>
  <si>
    <t>sales@aeromaxisinternational.com.ph</t>
  </si>
  <si>
    <t>045-499-8437</t>
  </si>
  <si>
    <t>2018-159</t>
  </si>
  <si>
    <t>aiai1234</t>
  </si>
  <si>
    <t>NESTLE BUSINESS SERVICES AOA INC</t>
  </si>
  <si>
    <t>Kersteine Joy</t>
  </si>
  <si>
    <t>Employee Relations Specialist</t>
  </si>
  <si>
    <t>3rd Floor MercedesBenz Center Berthaphil VIII MA Roxas Highway Clark Freeport Zone Philippines</t>
  </si>
  <si>
    <t>KersteineJoy.Chua@ph.nestle.com</t>
  </si>
  <si>
    <t>02-4792600</t>
  </si>
  <si>
    <t>2018-031</t>
  </si>
  <si>
    <t>Call Center</t>
  </si>
  <si>
    <t>KING OF GLORY CRAFT BEER AND RESTAURANT</t>
  </si>
  <si>
    <t>Indiongco</t>
  </si>
  <si>
    <t>Edgar</t>
  </si>
  <si>
    <t>Unit 3 Northwalk Clark Complex MA Roxas Highway Clark Freeport Zone Philippines</t>
  </si>
  <si>
    <t>mtot101278@gmail.com</t>
  </si>
  <si>
    <t>0942-979-6406</t>
  </si>
  <si>
    <t>2017-499</t>
  </si>
  <si>
    <t>HILTON CLARK SUN VALLEY RESORT</t>
  </si>
  <si>
    <t>Carbungco</t>
  </si>
  <si>
    <t>Wesley</t>
  </si>
  <si>
    <t>Human Resources Executive</t>
  </si>
  <si>
    <t>Jose Abad Santos Ave Clark Freeport Zone Philippines</t>
  </si>
  <si>
    <t>wesley.carbungco@hilton.com</t>
  </si>
  <si>
    <t>2017-017-A</t>
  </si>
  <si>
    <t>MCVEAN PACIFIC INTL OFFSHORING INC</t>
  </si>
  <si>
    <t>Mary</t>
  </si>
  <si>
    <t>Office Center 08T1 Berthaphil Clark Center Jose Abad Santos Avenue Clark Freeport Zone Philippines</t>
  </si>
  <si>
    <t>mary@quantumcrowd.io</t>
  </si>
  <si>
    <t>2019-060</t>
  </si>
  <si>
    <t>McVean2019!</t>
  </si>
  <si>
    <t>GOLDGRAMS SOLUTIONS INC</t>
  </si>
  <si>
    <t>Office Center 08T2 Berthaphil Clark Center Jose Abad Santos Avenue Clark Freeport Zone Philippines</t>
  </si>
  <si>
    <t>2019-054</t>
  </si>
  <si>
    <t>goldgram2019</t>
  </si>
  <si>
    <t>KWM INDUSTRIES PHILIPPINES INC</t>
  </si>
  <si>
    <t>Rommel</t>
  </si>
  <si>
    <t>Corporate Admin Manager</t>
  </si>
  <si>
    <t>Unit No 309 3rd Floor KACC Philmade Bldg Lot 12 corner Jose Abad Santos Avenue and E Quirino Street Clark Freeport Zone Philippines</t>
  </si>
  <si>
    <t>kwmindustriesphils1@yahoo.com</t>
  </si>
  <si>
    <t>0910-304-7586</t>
  </si>
  <si>
    <t>2019-118</t>
  </si>
  <si>
    <t>/uploads/file-1602205404720.png</t>
  </si>
  <si>
    <t>YB ONE CONSTRUCTION AND DEVELOPMENT CORP</t>
  </si>
  <si>
    <t>CORPUZ</t>
  </si>
  <si>
    <t>MARVIY</t>
  </si>
  <si>
    <t>Executive Secretary</t>
  </si>
  <si>
    <t>Office Center 06F1 Berthaphil Clark Center Jose Abad Santos  Clark Freeport Zone Philippines</t>
  </si>
  <si>
    <t>yboneconstruction01@gmail.com</t>
  </si>
  <si>
    <t>499-8449</t>
  </si>
  <si>
    <t>2018-498</t>
  </si>
  <si>
    <t>ALPHASOLAR INC</t>
  </si>
  <si>
    <t>Administrative and Finance Officer</t>
  </si>
  <si>
    <t>Room 110  111 Clark Welcome Center Office Suites Berthaphil VIII Compound SCTEX Road Clark Freeport Zone Philippines</t>
  </si>
  <si>
    <t>francis.angeles@alphasolarinc.com</t>
  </si>
  <si>
    <t>0935 377 3058</t>
  </si>
  <si>
    <t>2019-031</t>
  </si>
  <si>
    <t>AlphaSolar2018</t>
  </si>
  <si>
    <t>/uploads/file-1553480109568.jpg</t>
  </si>
  <si>
    <t>FLYING TABLE F AND B PHILS INC</t>
  </si>
  <si>
    <t>Venzon</t>
  </si>
  <si>
    <t>Bldg N1746 Unit 1 Claro M Recto Highway corner MA Roxas Highway Clark Freeport Zone Philippines</t>
  </si>
  <si>
    <t>jennifer.venzon8@gmail.com</t>
  </si>
  <si>
    <t>2019-100</t>
  </si>
  <si>
    <t>flyingtable2019</t>
  </si>
  <si>
    <t>DW LANDSCAPE AND CONST CORP</t>
  </si>
  <si>
    <t>Jennilyn</t>
  </si>
  <si>
    <t>UNIT 330 3RD KACC PHILMADE BLDG E QUIRINO ST J ABAD SANTOS CLARK FREEPORT ZONE PAMPANGA</t>
  </si>
  <si>
    <t>-</t>
  </si>
  <si>
    <t>dawonlandscapinginc@gmail.com</t>
  </si>
  <si>
    <t>2019-115</t>
  </si>
  <si>
    <t>jennilyn</t>
  </si>
  <si>
    <t>Office Space Lease</t>
  </si>
  <si>
    <t>/uploads/file-1699931394980.png</t>
  </si>
  <si>
    <t>HHRG SERVICES INC</t>
  </si>
  <si>
    <t>Freidelyn</t>
  </si>
  <si>
    <t>Eufemio</t>
  </si>
  <si>
    <t>Room 1C Philexcel Business Arcade 2 Philexcel Business Park M A Roxas Highway  Clark Freeport Zone Philippines</t>
  </si>
  <si>
    <t>freidelyn.dizon@hhrgconnect.com</t>
  </si>
  <si>
    <t>0922-793-0994</t>
  </si>
  <si>
    <t>2019-098</t>
  </si>
  <si>
    <t>ELLEEST RK ARCHITECTURAL DESIGN SERVICES</t>
  </si>
  <si>
    <t>REIANNE KARLA</t>
  </si>
  <si>
    <t>GENERAL MANAGER  OWNER</t>
  </si>
  <si>
    <t>Room 11A Philexcel Business Center 1 Philexcel Business Park M A Roxas Highway Clark Freeport Zone Philippines</t>
  </si>
  <si>
    <t>reiannekarla@gmail.com</t>
  </si>
  <si>
    <t>2019-104</t>
  </si>
  <si>
    <t>NEW HOPE PHILIPPINES ANIMAL HEALTH SERVICE INC</t>
  </si>
  <si>
    <t>GALAM</t>
  </si>
  <si>
    <t>IDA ROGENE</t>
  </si>
  <si>
    <t>GUEVARR</t>
  </si>
  <si>
    <t>GENERAL AFFAIRS STAFF HR</t>
  </si>
  <si>
    <t>Unit 18 H I J Philexcel Business Park Inc M A Roxas Highway Clark Freeport Zone Clark Freeport Zone Philippines</t>
  </si>
  <si>
    <t>newhope.phlab@gmail.com</t>
  </si>
  <si>
    <t>0977-014-9680</t>
  </si>
  <si>
    <t>2018-191</t>
  </si>
  <si>
    <t>499-8502</t>
  </si>
  <si>
    <t>KUMAZAWATOMI INC</t>
  </si>
  <si>
    <t>Capalungan</t>
  </si>
  <si>
    <t>Wincy</t>
  </si>
  <si>
    <t>Unit 11B Philexcel Business Park M  Roxas Highway Clark Freeport Zone Philippines</t>
  </si>
  <si>
    <t>Kumazawa1012@outlook.jp</t>
  </si>
  <si>
    <t>0905-440-2727</t>
  </si>
  <si>
    <t>2017-473</t>
  </si>
  <si>
    <t>ABC A2B OUTSOURCING PHILIPPINES PTY LTD INC</t>
  </si>
  <si>
    <t>Diane</t>
  </si>
  <si>
    <t>Amador</t>
  </si>
  <si>
    <t>Executive Clark Manager</t>
  </si>
  <si>
    <t>Pavillion 3 Berthaphil Clark Center Jose Abad Santos Avenue Clark Freeport Zone Philippines</t>
  </si>
  <si>
    <t>marketing@a2boutsourcing.com</t>
  </si>
  <si>
    <t>2019-067</t>
  </si>
  <si>
    <t>/uploads/file-1555465989335.png</t>
  </si>
  <si>
    <t>NEXTRANS INCORPORATED</t>
  </si>
  <si>
    <t>Pugal</t>
  </si>
  <si>
    <t>Federico Jr</t>
  </si>
  <si>
    <t>Langit</t>
  </si>
  <si>
    <t>Assistant Manager</t>
  </si>
  <si>
    <t>Unit No 341 3rd Floor KACC Philmade Bldg Lot 12 corner Jose Abad Santos Avenue and EQuirino St Clark Freeport Zone</t>
  </si>
  <si>
    <t>jun@apex.ph</t>
  </si>
  <si>
    <t>0917-956-4004</t>
  </si>
  <si>
    <t>2019-117</t>
  </si>
  <si>
    <t>/uploads/file-1556505426558.jpg</t>
  </si>
  <si>
    <t>DIVERSIFIED FINANCIAL NEWS NETWORK INC</t>
  </si>
  <si>
    <t>Palma</t>
  </si>
  <si>
    <t>Patrick</t>
  </si>
  <si>
    <t>Ramirez</t>
  </si>
  <si>
    <t>8th Floor 1W808 One West Aeropark Building Clark Global City Clark Civil Aviation Complex Clark Freeport Zone Philippines</t>
  </si>
  <si>
    <t>patrick@dfnn.com</t>
  </si>
  <si>
    <t>2019-120</t>
  </si>
  <si>
    <t>Office Service</t>
  </si>
  <si>
    <t>/uploads/file-1553737289113.png</t>
  </si>
  <si>
    <t>SECURITY BANK CORPORATION</t>
  </si>
  <si>
    <t>Junarian</t>
  </si>
  <si>
    <t>Mamangun</t>
  </si>
  <si>
    <t>Branch Channel Manager</t>
  </si>
  <si>
    <t>Unit 03 Ground Floor  Clark Center 10 Berthaphil III Jose Abad Santos Avenue Clark Freeport Zone Philippines</t>
  </si>
  <si>
    <t>clarkangeles@securitybank.com.ph</t>
  </si>
  <si>
    <t>045-499-1247</t>
  </si>
  <si>
    <t>2016-412</t>
  </si>
  <si>
    <t>S2SSOFT CORP</t>
  </si>
  <si>
    <t>Office Number S06 5th floor Clark Center 07 Berthaphil Clark Center MA Roxas Highway cor Jose Abad Santos Ave Clark Freeport Zone Philippines</t>
  </si>
  <si>
    <t>2019-135</t>
  </si>
  <si>
    <t>EASTERN TELECOMMUNICATIONS PHILIPPINES INC</t>
  </si>
  <si>
    <t>Manundo</t>
  </si>
  <si>
    <t>Melanie</t>
  </si>
  <si>
    <t>Property and Lease Mgt Manager</t>
  </si>
  <si>
    <t>Room 4 Philexcel Business Center 2 Philexcel Business Park MA Roxas Highway Clark Freeport Zone Philippines</t>
  </si>
  <si>
    <t>ManundoMO@etpi.com.ph</t>
  </si>
  <si>
    <t>2019-107</t>
  </si>
  <si>
    <t>EN CROUTE CAFE INC</t>
  </si>
  <si>
    <t>Jesmell</t>
  </si>
  <si>
    <t>Retail 2B MercedesBenz Center Berthaphil Compound VIII MA Roxas Highway Clark Freeport Zone Philippines</t>
  </si>
  <si>
    <t>encroutecafe.oic@gmail.com</t>
  </si>
  <si>
    <t>0917-771-0116</t>
  </si>
  <si>
    <t>2018-513</t>
  </si>
  <si>
    <t>EDERMCENTERS INCORPORATED</t>
  </si>
  <si>
    <t>Edejer</t>
  </si>
  <si>
    <t>Sarah Grace</t>
  </si>
  <si>
    <t>Lingad</t>
  </si>
  <si>
    <t>Ground FloorRetail 2 MercedesBenz CenterBerthaphil Compound Jose Abad Santos Avenue Clark Freeport Zone Philippines</t>
  </si>
  <si>
    <t>sarahgraceedejer@yahoo.com</t>
  </si>
  <si>
    <t>2018-483</t>
  </si>
  <si>
    <t>EDERMCLARK</t>
  </si>
  <si>
    <t>COOPERATIVE FOR ASSISTANCE AND RELIEF EVERYWHERE INC CARE PHILIPPINES</t>
  </si>
  <si>
    <t>Puig</t>
  </si>
  <si>
    <t>Raymart</t>
  </si>
  <si>
    <t>ITADMIN</t>
  </si>
  <si>
    <t>Unit 32JN Philexcel Business Park MA Roxas Highway Clark Freeport Zone Philippines</t>
  </si>
  <si>
    <t>Raymart.Puig@care.org</t>
  </si>
  <si>
    <t>2018-259</t>
  </si>
  <si>
    <t>Care2022%</t>
  </si>
  <si>
    <t>/uploads/file-1554442536325.jpg</t>
  </si>
  <si>
    <t>SKYTACTIC AERO PHILIPPINES INC</t>
  </si>
  <si>
    <t>Iwasaki</t>
  </si>
  <si>
    <t>Hanamari</t>
  </si>
  <si>
    <t>Director of Operation</t>
  </si>
  <si>
    <t>Bldg 7095 Clark Civil Aviation Complex Clark Freeport Zone Philippines</t>
  </si>
  <si>
    <t>mary@skytacticaero.com</t>
  </si>
  <si>
    <t>2017-202</t>
  </si>
  <si>
    <t>mason711</t>
  </si>
  <si>
    <t>GenAv</t>
  </si>
  <si>
    <t>INTERICS ASIA INTEGRATED SOLUTIONS INC</t>
  </si>
  <si>
    <t>Calso</t>
  </si>
  <si>
    <t>Ma Faith</t>
  </si>
  <si>
    <t>SecretaryTreasury</t>
  </si>
  <si>
    <t>Room 121 Clark Welcome Center Offices Suites Berthaphil VIII Compound SCTEX Road Clark Freeport Zone Philippines</t>
  </si>
  <si>
    <t>faith@intericsasia.com</t>
  </si>
  <si>
    <t>0917-599-5993</t>
  </si>
  <si>
    <t>2018-489</t>
  </si>
  <si>
    <t>GOLDEN HONORS SANYOU CORPORATION Doing Business under the Name and Style of Jin Jun Sanyou Seafood Restaurant</t>
  </si>
  <si>
    <t>Yagin</t>
  </si>
  <si>
    <t>Leah Katherine</t>
  </si>
  <si>
    <t>Consigo</t>
  </si>
  <si>
    <t>Bldg 3678 CM Recto Highway Clark Freeport Zone Philippines</t>
  </si>
  <si>
    <t>katherinehr.goldenhonors@gmail.com</t>
  </si>
  <si>
    <t>0977-461-3799</t>
  </si>
  <si>
    <t>2019-017</t>
  </si>
  <si>
    <t>PST PHILIPPINE SKIN TREE CORPORATION</t>
  </si>
  <si>
    <t>Office Center 08O Berthaphil Clark Center Jose Abad Santos Avenue Clark Freeport Zone Philippines</t>
  </si>
  <si>
    <t>skintreemaricel@gmail.com</t>
  </si>
  <si>
    <t>2019-116</t>
  </si>
  <si>
    <t>skintree1234</t>
  </si>
  <si>
    <t>/uploads/file-1556182927059.png</t>
  </si>
  <si>
    <t>KUEHNE  NAGEL LOGISTICS SOLUTIONS INC</t>
  </si>
  <si>
    <t>Caibiran</t>
  </si>
  <si>
    <t>Vergara</t>
  </si>
  <si>
    <t>Warehouse Manager</t>
  </si>
  <si>
    <t>Unit 15A Philexcel Business Park MA Roxas Highway Clark Freeport Zone Philippines</t>
  </si>
  <si>
    <t>noel.caibiran@kuehne-nagel.com</t>
  </si>
  <si>
    <t>2018-247</t>
  </si>
  <si>
    <t>KNClark041219</t>
  </si>
  <si>
    <t>LUZON INTERNATIONAL PREMIERE AIRPORT DEVELOPMENT CORP LIPAD CORP</t>
  </si>
  <si>
    <t>Christina</t>
  </si>
  <si>
    <t>Mandani</t>
  </si>
  <si>
    <t>Andres Bonifacio Avenue Clark Freeport Zone Philippines</t>
  </si>
  <si>
    <t>christina.aquino@lipadcorp.com</t>
  </si>
  <si>
    <t>2019-132</t>
  </si>
  <si>
    <t>Aviation</t>
  </si>
  <si>
    <t>/uploads/file-1635901318692.png</t>
  </si>
  <si>
    <t>D T INTERACTS PHILIPPINES INC</t>
  </si>
  <si>
    <t>Sullano</t>
  </si>
  <si>
    <t>Warehouse Supervisor</t>
  </si>
  <si>
    <t>Unit 17I Philexcel Business Park M Roxas Highway Clark Freeport Zone Philippines</t>
  </si>
  <si>
    <t>dtinteracts2@gmail.com</t>
  </si>
  <si>
    <t>2016-251</t>
  </si>
  <si>
    <t>/uploads/file-1555407845181.jpg</t>
  </si>
  <si>
    <t>5 SOARING EAGLES BUSINESS CORP Doing Business under the Name and Style of CastleClark</t>
  </si>
  <si>
    <t>Mae</t>
  </si>
  <si>
    <t>CLARK PHILIPPINES</t>
  </si>
  <si>
    <t>castleclarkhotel@gmail.com</t>
  </si>
  <si>
    <t>2019-163</t>
  </si>
  <si>
    <t>castle2020</t>
  </si>
  <si>
    <t>/uploads/file-1580795454896.png</t>
  </si>
  <si>
    <t>WILLZ CHICKEN  PIZZA RESTAURANT</t>
  </si>
  <si>
    <t>Unit Nos 106 107 and 108 ON Commercial Lot 1 E Aguinaldo Street Clark Freeport Zone Philippines</t>
  </si>
  <si>
    <t>Onlygodknowswhy847@gmail.com</t>
  </si>
  <si>
    <t>0966 432 2409</t>
  </si>
  <si>
    <t>2019-038</t>
  </si>
  <si>
    <t>Kakao678</t>
  </si>
  <si>
    <t>ROSE SILK HORIZON TAIWANESE SHABUSHABU</t>
  </si>
  <si>
    <t>Maria Lee Ann</t>
  </si>
  <si>
    <t>Acuna</t>
  </si>
  <si>
    <t>UnitB of Bldg7256 CM Recto Avenue Clark Civil Aviation Complex Clark Freeport Zone Philippines</t>
  </si>
  <si>
    <t>leeanngonzales1201@gmail.com</t>
  </si>
  <si>
    <t>2018-322</t>
  </si>
  <si>
    <t>ISOC LANDCLARK INC</t>
  </si>
  <si>
    <t>Along JP Rizal Avenue corner J Abad Santos Avenue Clark Freeport Zone Philippines</t>
  </si>
  <si>
    <t>msoriano@isocholdings.com</t>
  </si>
  <si>
    <t>2019-150</t>
  </si>
  <si>
    <t>ILand040219</t>
  </si>
  <si>
    <t>Private</t>
  </si>
  <si>
    <t>SRE SEOUL REAL ESTATE CORP</t>
  </si>
  <si>
    <t>Tom</t>
  </si>
  <si>
    <t>Unit A1 Club Bldg Abacan and Chico Streets Clark Hills Village Clark Freeport Zone Clark Freeport Zone Philippines</t>
  </si>
  <si>
    <t>tomkim0102@gmail.com</t>
  </si>
  <si>
    <t>0966-361-7000</t>
  </si>
  <si>
    <t>2019-194</t>
  </si>
  <si>
    <t>ENERGENCE RENEWABLE ENERGY CORPORATION</t>
  </si>
  <si>
    <t>Paolo Manuel</t>
  </si>
  <si>
    <t>alongside CRK North airfield and SCTEX Clark Civil Aviation Complex Clark International Airport Corporation Clark Freeport Zone Philippines</t>
  </si>
  <si>
    <t>paolo.rodriguez@energence.ph</t>
  </si>
  <si>
    <t>2018-535</t>
  </si>
  <si>
    <t>SOLID TRICOM BUILDERS AND DEVELOPMENT CORP</t>
  </si>
  <si>
    <t>Delos Reyes</t>
  </si>
  <si>
    <t>Nita</t>
  </si>
  <si>
    <t>Office Unit 205 Club Building Clark Hills Village Abacan and Chico  St Clark Freeport Zone Philippines</t>
  </si>
  <si>
    <t>nguiao1973@gmail.com</t>
  </si>
  <si>
    <t>2018-466</t>
  </si>
  <si>
    <t>AIDEA INTEGRATED TECHNOLOGIES INC</t>
  </si>
  <si>
    <t>HR Expert 2</t>
  </si>
  <si>
    <t>7th Floor Unit 1W702 One West Aeropark Bldg Clark Global City Clark Aviation Complex Clark Freeport Zone Philippines</t>
  </si>
  <si>
    <t>benefits@aidea.com.ph</t>
  </si>
  <si>
    <t>-02- 7758 8888</t>
  </si>
  <si>
    <t>2018-480</t>
  </si>
  <si>
    <t>aidea2020</t>
  </si>
  <si>
    <t>LILOPOT ENTERPRISE</t>
  </si>
  <si>
    <t>Ala</t>
  </si>
  <si>
    <t>Usman</t>
  </si>
  <si>
    <t>Clark Air Mall Clark International Airport Clark Freeport Zone Philippines</t>
  </si>
  <si>
    <t>weng_ala@yahoo.com</t>
  </si>
  <si>
    <t>2019-145</t>
  </si>
  <si>
    <t>JANRECKS SPA AND WELLNESS SUPPLIES</t>
  </si>
  <si>
    <t>Sale</t>
  </si>
  <si>
    <t>Aurora</t>
  </si>
  <si>
    <t>Building 2  Cornerstone Berthaphil II Office Park Jose Abad Santos Avenue Clark Freeport Zone Philippines</t>
  </si>
  <si>
    <t>guess_ptc@yahoo.com</t>
  </si>
  <si>
    <t>2019-193</t>
  </si>
  <si>
    <t>CHOWBITS STREETFOODS STALL</t>
  </si>
  <si>
    <t>LINDSAY</t>
  </si>
  <si>
    <t>SIson</t>
  </si>
  <si>
    <t>Unit G Philexcel Food Court Philexcel Business Park M Roxas Higway Clark Freeport Zone Philippines</t>
  </si>
  <si>
    <t>llsgonzales.escpro@gmail.com</t>
  </si>
  <si>
    <t>2019-144</t>
  </si>
  <si>
    <t>PP SERVICES INC</t>
  </si>
  <si>
    <t>Pavilion 10C Berthaphil Clark Center Jose Abad Santos Clark Freeport Zone Philippines</t>
  </si>
  <si>
    <t>jmforto@gmail.com</t>
  </si>
  <si>
    <t>2019-147</t>
  </si>
  <si>
    <t>QINWEI OUTSOURCED SERVICES PHILIPPINES INC</t>
  </si>
  <si>
    <t>CAPIDOS</t>
  </si>
  <si>
    <t>MARIA JOSEFINA</t>
  </si>
  <si>
    <t>Unit A 2nd Floor Clark Center 09 Berthaphil Clark Center Jose Abad Santos Avenue Clark Freeport Zone Philippines</t>
  </si>
  <si>
    <t>jeancapidos@gmail.com</t>
  </si>
  <si>
    <t>0917-515-7078</t>
  </si>
  <si>
    <t>2019-190</t>
  </si>
  <si>
    <t>/uploads/file-1559108707676.jpg</t>
  </si>
  <si>
    <t>PRIVEA SALON AND SPA</t>
  </si>
  <si>
    <t>Concepcion</t>
  </si>
  <si>
    <t>2nd Floor 5400 MA Roxas Highway Clark Freeport Zone</t>
  </si>
  <si>
    <t>unicamimay@gmail.com</t>
  </si>
  <si>
    <t>0943-1414-025</t>
  </si>
  <si>
    <t>2019-197</t>
  </si>
  <si>
    <t>salonPrivea17</t>
  </si>
  <si>
    <t>/uploads/file-1556938867537.png</t>
  </si>
  <si>
    <t>iVIRTUALLY INC</t>
  </si>
  <si>
    <t>Chief Operating Officer</t>
  </si>
  <si>
    <t>Clark Center Two2 Clark Center Jose Abad Santos Avenue Clark Freeport Zone Philippines</t>
  </si>
  <si>
    <t>ed@ivirtually.co</t>
  </si>
  <si>
    <t>2019-199</t>
  </si>
  <si>
    <t>/uploads/file-1557113110581.png</t>
  </si>
  <si>
    <t>WHATUP CORPORATION</t>
  </si>
  <si>
    <t>Joshwea</t>
  </si>
  <si>
    <t>Monis</t>
  </si>
  <si>
    <t>Unit 338 3rd Flr KACC Philmade Bldg Clark Freeport Zone Philippines</t>
  </si>
  <si>
    <t>whatupcorp19@gmail.com</t>
  </si>
  <si>
    <t>2018-475</t>
  </si>
  <si>
    <t>JnH PHILIPPINES DEVELOPMENT CORPORATION</t>
  </si>
  <si>
    <t>QUIAZON</t>
  </si>
  <si>
    <t>LARA MAE</t>
  </si>
  <si>
    <t>Lot 1 Block 1 Commercial Mixed Use B CM Recto Highway Clark Freeport Zone Philippines Clark Freeport Zone Philippines</t>
  </si>
  <si>
    <t>jnhphilipinnesdevcorp2024@gmail.com</t>
  </si>
  <si>
    <t>2019-192</t>
  </si>
  <si>
    <t>ABSCO INDUSTRIES INC</t>
  </si>
  <si>
    <t>Escalante</t>
  </si>
  <si>
    <t>Marius</t>
  </si>
  <si>
    <t>Customer Operations Manager</t>
  </si>
  <si>
    <t>Office Centre 06 L  M Clark Centre Jose Abad Santos Ave Clark Freeport Zone Philippines</t>
  </si>
  <si>
    <t>marius@absco.com.ph</t>
  </si>
  <si>
    <t>0917 110 9040</t>
  </si>
  <si>
    <t>2019-035</t>
  </si>
  <si>
    <t>Absco1234</t>
  </si>
  <si>
    <t>/uploads/file-1557288982499.png</t>
  </si>
  <si>
    <t>VMCC TELECONTROL AUTOMATION</t>
  </si>
  <si>
    <t>Cherry</t>
  </si>
  <si>
    <t>Room 118 Clark Welcome Center Offices Suites Berthaphil VIII Compound SCTEX Road Clark Freeport Zone Philippines</t>
  </si>
  <si>
    <t>cherry.cruz@moikai.net</t>
  </si>
  <si>
    <t>2019-128</t>
  </si>
  <si>
    <t>BAPJIP INC</t>
  </si>
  <si>
    <t>Lansangan</t>
  </si>
  <si>
    <t>Karolyn Mae</t>
  </si>
  <si>
    <t>Carida</t>
  </si>
  <si>
    <t>Unit 102 YB Commercial Building Clark Hills Village Abacan  Chico Street Clark Freeport Zone Philippines</t>
  </si>
  <si>
    <t>karol.hyundae@gmail.com</t>
  </si>
  <si>
    <t>0909-433-3558</t>
  </si>
  <si>
    <t>2019-200</t>
  </si>
  <si>
    <t>BAB 63 FOOD ENTERPRISE</t>
  </si>
  <si>
    <t>Bernardez</t>
  </si>
  <si>
    <t>Benimarie</t>
  </si>
  <si>
    <t>benibernardez@yahoo.com</t>
  </si>
  <si>
    <t>0975-415-4673</t>
  </si>
  <si>
    <t>2018-525</t>
  </si>
  <si>
    <t>VOGLIO WATER REFILLING STATION</t>
  </si>
  <si>
    <t>Randy</t>
  </si>
  <si>
    <t>representative</t>
  </si>
  <si>
    <t>Stall No 1A Lily Hill Plaza Clark Freeport Zone Philippines</t>
  </si>
  <si>
    <t>vogliowater@gmail.com</t>
  </si>
  <si>
    <t>2018-482</t>
  </si>
  <si>
    <t>Alessandra02*</t>
  </si>
  <si>
    <t>EJIA GROCERY</t>
  </si>
  <si>
    <t>Bldg N1473 Unit 107A Rio Grande de Pampanga</t>
  </si>
  <si>
    <t>2019-090</t>
  </si>
  <si>
    <t>LEADING EDGE AIR SERVICES CORPORATION</t>
  </si>
  <si>
    <t>Misa</t>
  </si>
  <si>
    <t>Kathlen</t>
  </si>
  <si>
    <t>Apan</t>
  </si>
  <si>
    <t>Clark International Airport Corporation General Aviation Area Civil Aviation Complex Clark Freeport Zone Philippines</t>
  </si>
  <si>
    <t>leascor2016@gmail.com</t>
  </si>
  <si>
    <t>2016-337</t>
  </si>
  <si>
    <t>SAKURANIKU CANTEEN</t>
  </si>
  <si>
    <t>Melitares</t>
  </si>
  <si>
    <t>Cinconiegue</t>
  </si>
  <si>
    <t>Unit A Philexcel Food Court Philexcel Business Park M Roxas Highway Clark Freeport Zone Philippines</t>
  </si>
  <si>
    <t>0935 651 5047</t>
  </si>
  <si>
    <t>2019-185</t>
  </si>
  <si>
    <t>MIRAE FIL BUILDER AND SUPPLY CORP</t>
  </si>
  <si>
    <t>Estella</t>
  </si>
  <si>
    <t>Jeannie</t>
  </si>
  <si>
    <t>Ortaliza</t>
  </si>
  <si>
    <t>CSM BLDG 1 UNIT 7 CM RECTO AVE COR   J TOPACIO ST CLARK FREEPORT ZONE ANGELES CITY PAMPANGA 2009</t>
  </si>
  <si>
    <t>conmirae@gmail.com</t>
  </si>
  <si>
    <t>2019-110</t>
  </si>
  <si>
    <t>Mirae0226</t>
  </si>
  <si>
    <t>/uploads/file-1561702718369.JPG</t>
  </si>
  <si>
    <t>RHENUS LOGISTICS INC</t>
  </si>
  <si>
    <t>Jenny</t>
  </si>
  <si>
    <t>jenny.galang@ph.rhenus.com</t>
  </si>
  <si>
    <t>0917-702-9130</t>
  </si>
  <si>
    <t>2019-062</t>
  </si>
  <si>
    <t>HIS WORD BUSINESS SUPPORT SERVICES</t>
  </si>
  <si>
    <t>Sunit</t>
  </si>
  <si>
    <t>Joy Leslie</t>
  </si>
  <si>
    <t>Room 108  109 Clark Welcome Center Office Suites Berthaphil VIII Compound SCTEX Road Clark Freeport Zone Philippines</t>
  </si>
  <si>
    <t>jazznblues29@gmail.com</t>
  </si>
  <si>
    <t>0916 527 8651</t>
  </si>
  <si>
    <t>2019-203</t>
  </si>
  <si>
    <t>Joshua_88</t>
  </si>
  <si>
    <t>INNOVATION MOTORS CORPORATION</t>
  </si>
  <si>
    <t>2019-154</t>
  </si>
  <si>
    <t>/uploads/file-1599703012697.png</t>
  </si>
  <si>
    <t>ETS PRODUCTS PHILIPPINES INC</t>
  </si>
  <si>
    <t>Mariano</t>
  </si>
  <si>
    <t>Argel Joseph</t>
  </si>
  <si>
    <t>Malacad</t>
  </si>
  <si>
    <t>Manufacturing Engineer</t>
  </si>
  <si>
    <t>N2821 BAYANIHAN STREET CLARK FREEPORT ZONE</t>
  </si>
  <si>
    <t>argel@ets-products.com</t>
  </si>
  <si>
    <t>2018-288</t>
  </si>
  <si>
    <t>0529ets2025</t>
  </si>
  <si>
    <t>/uploads/file-1734677920214.png</t>
  </si>
  <si>
    <t>MAPLEWAY INTERNATIONAL DISTRIBUTIONS CORP</t>
  </si>
  <si>
    <t>Ybiernas</t>
  </si>
  <si>
    <t>Maria Leonora</t>
  </si>
  <si>
    <t>Madarico</t>
  </si>
  <si>
    <t>Room 14 Philexcel Business Center 2 Philexcel Business Park M A Roxas Highway Clark Freeport Zone Philippines</t>
  </si>
  <si>
    <t>mapleway.internationaldc@gmail.com</t>
  </si>
  <si>
    <t>0947 360 6268</t>
  </si>
  <si>
    <t>2019-134</t>
  </si>
  <si>
    <t>Midc052019</t>
  </si>
  <si>
    <t>PEOPLES AIR CARGO  AND WAREHOUSING CO INC</t>
  </si>
  <si>
    <t>Cando</t>
  </si>
  <si>
    <t>Ma Lorilynn</t>
  </si>
  <si>
    <t>Mananghaya</t>
  </si>
  <si>
    <t>Assistant Manager  Clark Operations</t>
  </si>
  <si>
    <t>Building 7590 Clark Civil Aviation Complex Clark Freeport Zone Philippines  Building 7491 Clark Civil Aviation Complex Clark Freeport Zone Philippines</t>
  </si>
  <si>
    <t>lori.cando@paircargo.com</t>
  </si>
  <si>
    <t>2017-469</t>
  </si>
  <si>
    <t>PAIRCARGO</t>
  </si>
  <si>
    <t>/uploads/file-1558576552458.jpg</t>
  </si>
  <si>
    <t>XIE CHENG HUO GUO RESTAURANT</t>
  </si>
  <si>
    <t>Rizza</t>
  </si>
  <si>
    <t>Stall Nos 105108 KACC Philmade Annex Bldg Lot 12 corner Jose Abad Santos Avenue and E Quirino Street Clark Freeport Zone Philippines</t>
  </si>
  <si>
    <t>xiechenghuoguoresto@gmail.com</t>
  </si>
  <si>
    <t>2018-353</t>
  </si>
  <si>
    <t>GCG GAMING SOLUTIONS INC</t>
  </si>
  <si>
    <t>COUNTRY MANAGER</t>
  </si>
  <si>
    <t>Room 117 Clark Welcome Center Office Suites Berthaphil VIII Compound SCTEX Road Clark Freeport Zone Philippines</t>
  </si>
  <si>
    <t>abigail@gamingconceptsgroup.com</t>
  </si>
  <si>
    <t>2019-064</t>
  </si>
  <si>
    <t>GCG201903</t>
  </si>
  <si>
    <t>/uploads/file-1562074906608.png</t>
  </si>
  <si>
    <t>TRENDS  TECHNOLOGIES INC</t>
  </si>
  <si>
    <t>Bugarin</t>
  </si>
  <si>
    <t>Jela</t>
  </si>
  <si>
    <t>Piccio</t>
  </si>
  <si>
    <t>Senior HR Assistant</t>
  </si>
  <si>
    <t>Room 115  116 Clark Welcome Center Office Suites Berthaphil VIII Compound SCTEX Road Clark Freeport Zone Philippines</t>
  </si>
  <si>
    <t>jpbugarin@trends.com.ph</t>
  </si>
  <si>
    <t>2019-080</t>
  </si>
  <si>
    <t>CDC_Trends</t>
  </si>
  <si>
    <t>KSEOWON DEVELOPMENT CORPORATION</t>
  </si>
  <si>
    <t>Johncen</t>
  </si>
  <si>
    <t>Admin Officer  Corporate Secretary</t>
  </si>
  <si>
    <t>N1473 Rio Grande de Pampanga cor Abacan Sts Clark Freeport Zone Philippines</t>
  </si>
  <si>
    <t>seowondevtcorp@gmail.com</t>
  </si>
  <si>
    <t>0945-251-6521</t>
  </si>
  <si>
    <t>2019-238</t>
  </si>
  <si>
    <t>Kseowon2017</t>
  </si>
  <si>
    <t>/uploads/file-1657250430716.png</t>
  </si>
  <si>
    <t>LERMA S GOMEZ SAFARIS CATERING SERVICES</t>
  </si>
  <si>
    <t>Unit  2 2F Business Center 6 Philexcel Business Park MA Roxas Highway Clark Freeport Zone Philippines</t>
  </si>
  <si>
    <t>2019-262</t>
  </si>
  <si>
    <t>CYBER ELITE SHOOTERS GUN AND FIRING RANGE CORPORATION</t>
  </si>
  <si>
    <t>Andrin</t>
  </si>
  <si>
    <t>Payroll Staff</t>
  </si>
  <si>
    <t>Clark Valley View  Clark Freeport Zone Philippines</t>
  </si>
  <si>
    <t>cyber_elite@yahoo.com</t>
  </si>
  <si>
    <t>2019-248</t>
  </si>
  <si>
    <t>ALJ OUTDOOR GAMES INC</t>
  </si>
  <si>
    <t>Lu</t>
  </si>
  <si>
    <t>Cheng</t>
  </si>
  <si>
    <t>Hui</t>
  </si>
  <si>
    <t>Bldg 01D  Berthaphil V Industrial Park Clark Freeport Zone Philippines</t>
  </si>
  <si>
    <t>aljoutdoorgames.ph@gmail.com</t>
  </si>
  <si>
    <t>Bldg 01D  Berthaphil V Industrial Park C</t>
  </si>
  <si>
    <t>2018-514</t>
  </si>
  <si>
    <t>RIKKO DEVELOPMENT CORPORATION</t>
  </si>
  <si>
    <t>E Jacinto Street Clark Freeport Zone Philippines</t>
  </si>
  <si>
    <t>2019-061</t>
  </si>
  <si>
    <t>rikko1234</t>
  </si>
  <si>
    <t>JANTZEN  INTERNATIONAL FASHION CO LTD INC</t>
  </si>
  <si>
    <t>HR ASST SUPERVISOR</t>
  </si>
  <si>
    <t>Bldg 5415 C M Recto Highway Clark Freeport Zone Philippines</t>
  </si>
  <si>
    <t>hrassistant.jif@gmail.com</t>
  </si>
  <si>
    <t>499-5584</t>
  </si>
  <si>
    <t>2019-259</t>
  </si>
  <si>
    <t>Jantzen2020</t>
  </si>
  <si>
    <t>SWIMWEAR</t>
  </si>
  <si>
    <t>/uploads/file-1632880492358.jpg</t>
  </si>
  <si>
    <t>CIANA INC</t>
  </si>
  <si>
    <t>Caeda</t>
  </si>
  <si>
    <t>Unit 16A Philexcel Business Park M A Roxas Highway Clark Freeport Zone Philippines</t>
  </si>
  <si>
    <t>cianainc@gmail.com</t>
  </si>
  <si>
    <t>499 8389</t>
  </si>
  <si>
    <t>2019-250</t>
  </si>
  <si>
    <t>GLOCAL FOOD CONCEPTS INC DOING BUSINESS UNDER THE NAME AND STYLE OF HOLY GRILL SMOKE HOUSE</t>
  </si>
  <si>
    <t>Pueblo</t>
  </si>
  <si>
    <t>Ground Floor Unit 1W107 and 1W108 One West Aeroprak Building Clark Global City Clark Civil Aviation Complex Clark Freeport Zone Philippines</t>
  </si>
  <si>
    <t>mjvconsultancy@yahoo.com.ph</t>
  </si>
  <si>
    <t>0995-821-3745</t>
  </si>
  <si>
    <t>2019-287</t>
  </si>
  <si>
    <t>LENETTE NAVA MANALANG JUNCO MUSIC LOUNGE</t>
  </si>
  <si>
    <t>Lenette</t>
  </si>
  <si>
    <t>Stall 210211 2nd Flr KACC Philmade Bldg Lot 1  corner  J Abad Santos St and E Quirino St  Clark Freeport Zone Philippines</t>
  </si>
  <si>
    <t>junco.musiclounge2022@gmail.com</t>
  </si>
  <si>
    <t>2019-280</t>
  </si>
  <si>
    <t>LMS ASIA CORP</t>
  </si>
  <si>
    <t>Lacuna</t>
  </si>
  <si>
    <t>Olive</t>
  </si>
  <si>
    <t>Office Center 08R2 Berthaphil Clark Center Jose Abad Santos Avenue Clark Freeport Zone Philippines</t>
  </si>
  <si>
    <t>admin@lmsasia.com.ph</t>
  </si>
  <si>
    <t>2018-385</t>
  </si>
  <si>
    <t>NIMFA SANCHEZ DAVID HONGXING EATERY</t>
  </si>
  <si>
    <t>Retainer Accountant</t>
  </si>
  <si>
    <t>Unit 105 Lot 1E Aguinaldo St  Clark Freeport Zone Philippines</t>
  </si>
  <si>
    <t>nsdavid2019@gmail.com</t>
  </si>
  <si>
    <t>2019-302</t>
  </si>
  <si>
    <t>hongxing2019</t>
  </si>
  <si>
    <t>PROVIDENCE SURETY AND INSURANCE MGT AGENCY INC</t>
  </si>
  <si>
    <t>Biol</t>
  </si>
  <si>
    <t>Georgene</t>
  </si>
  <si>
    <t>Umpad</t>
  </si>
  <si>
    <t>Admin Assit</t>
  </si>
  <si>
    <t>Stall No 2A  2B Lilly Hill Commercial Complex CM Recto Highway Clark Freeport Zone Philippines</t>
  </si>
  <si>
    <t>georgenebiol@gmail.com</t>
  </si>
  <si>
    <t>0955 795 3134</t>
  </si>
  <si>
    <t>2019-305</t>
  </si>
  <si>
    <t>psimai1234</t>
  </si>
  <si>
    <t>TRAXXALLTECHNOLOGIES INC  PHILIPPINE BRANCH</t>
  </si>
  <si>
    <t>Unit 6 Ground Floor Berthaphil Clark Center 09 Jose Abad Santos Avenue Clark Freeport Zone Philippines</t>
  </si>
  <si>
    <t>kespinosa@traxxall.com</t>
  </si>
  <si>
    <t>2019-191</t>
  </si>
  <si>
    <t>ACQUISITIONIFY SERVICES INC</t>
  </si>
  <si>
    <t>Office Center 06K Berthaphil Clark Center Jose Abad Santos Avenue Clark Freeport Zone Philippines</t>
  </si>
  <si>
    <t>2019-281</t>
  </si>
  <si>
    <t>GO BEYOND LIMITS OUTSOURCING SOLUTIONS INC</t>
  </si>
  <si>
    <t>Maricar</t>
  </si>
  <si>
    <t>Office Suites Annex 4B Berthaphil Clark Center Jose Abad Santos Avenue Clark Freeport Zone Philippines</t>
  </si>
  <si>
    <t>Maricar@beyondlimitsbpo.com</t>
  </si>
  <si>
    <t>045-499-5476</t>
  </si>
  <si>
    <t>2019-195</t>
  </si>
  <si>
    <t>BL@2019</t>
  </si>
  <si>
    <t>PAULA CLAUDETTE FRANCESCA LASON PUNSALAN JPK FOOD SERVICES</t>
  </si>
  <si>
    <t>Paula Claudette Francesca</t>
  </si>
  <si>
    <t>N4047 Clark Premier Industrial Park MA Roxas Clark Freeport Zone Philippines</t>
  </si>
  <si>
    <t>pcf_lacson@yahoo.com</t>
  </si>
  <si>
    <t>0917-798-6982</t>
  </si>
  <si>
    <t>2018-508</t>
  </si>
  <si>
    <t>FUTURE LIVING DEVELOPMENT AND CONSTRUCTION CORPORATION</t>
  </si>
  <si>
    <t>Samonte</t>
  </si>
  <si>
    <t>Lira Eunice</t>
  </si>
  <si>
    <t>Lot 4 Bldg N5395 Kalayaan Road Claro M Recto Clark Freeport Zone Philippines</t>
  </si>
  <si>
    <t>lira_samonte@futureliving.ph</t>
  </si>
  <si>
    <t>-045- 649-8701 local 8701</t>
  </si>
  <si>
    <t>2018-274</t>
  </si>
  <si>
    <t>/uploads/file-1562043385109.png</t>
  </si>
  <si>
    <t>VINCENT GREGORY TAN TIONG RUYI CHUAN CAI GUAN RESTAURANT</t>
  </si>
  <si>
    <t>REPRESENTATIVE</t>
  </si>
  <si>
    <t>Stall 206  207 Lot 1 Lot 2 Corner J Abad Santos Avenue  E Quirino St Clark Freeport Zone Clark Freeport Zone Philippines</t>
  </si>
  <si>
    <t>2019-252</t>
  </si>
  <si>
    <t>goodfood</t>
  </si>
  <si>
    <t>CINCO CORPORATION DOING BUSINESS UNDER THE NAME AND STYLE OF POTATO CORNER</t>
  </si>
  <si>
    <t>Diocson</t>
  </si>
  <si>
    <t>Michael</t>
  </si>
  <si>
    <t>Situbal</t>
  </si>
  <si>
    <t>Liason Officer</t>
  </si>
  <si>
    <t>Inside Puregold Duty Free CM Recto Highway corner P Kalaw Street Philippines  Clark Freeport Zone Philippines</t>
  </si>
  <si>
    <t>michael.diocson@potatocorner.com</t>
  </si>
  <si>
    <t>0916-613-9130</t>
  </si>
  <si>
    <t>2018-252</t>
  </si>
  <si>
    <t>DAWON PHILIPPINES CONSTRUCTION DEVELOPMENT CORP</t>
  </si>
  <si>
    <t>Sebastian</t>
  </si>
  <si>
    <t>Admin and accounting officer</t>
  </si>
  <si>
    <t>Unit 202A YB Commericial Building Clark Hills Village Abacan Street Clark Freeport Zone Philippines</t>
  </si>
  <si>
    <t>kgs.dawon@gmail.com</t>
  </si>
  <si>
    <t>0930 126 6964</t>
  </si>
  <si>
    <t>2019-153</t>
  </si>
  <si>
    <t>ANN MARGARETTE BARRERA CHUA ANNMC CANTEEN</t>
  </si>
  <si>
    <t>Ann Margarette</t>
  </si>
  <si>
    <t>Barrera</t>
  </si>
  <si>
    <t>West Aeropark Phase 2 Tempfacil Area Clark Freeport Zone Philippines</t>
  </si>
  <si>
    <t>marga_chua@ymail.com</t>
  </si>
  <si>
    <t>0908-703-6342</t>
  </si>
  <si>
    <t>2019-338</t>
  </si>
  <si>
    <t>Annmccanteen23</t>
  </si>
  <si>
    <t>KIMBERLY ORONGAN TANJAY JINGDIAN HUOGUO RESTAURANT</t>
  </si>
  <si>
    <t>Unit 301304 ON Commercial Bldg Lot 1 E Aguinaldo St Clark Freeport Zone Philippines</t>
  </si>
  <si>
    <t>akieshalove@gmail.com</t>
  </si>
  <si>
    <t>0906-587-4000</t>
  </si>
  <si>
    <t>2019-345</t>
  </si>
  <si>
    <t>JIN GENERAL BUSINESS SERVICES INC</t>
  </si>
  <si>
    <t>Uniferly</t>
  </si>
  <si>
    <t>2nd floor Unit 8A Northwalk MA Roxas Highway Clark Freeport Zone Philippines</t>
  </si>
  <si>
    <t>uniferlyabalos@yahoo.com</t>
  </si>
  <si>
    <t>0995-902-8958</t>
  </si>
  <si>
    <t>2019-225</t>
  </si>
  <si>
    <t>ALICIA ORBONG PAMINTUAN NAMSEONG SKIN CARE SPA</t>
  </si>
  <si>
    <t>Alicia</t>
  </si>
  <si>
    <t>Orbong</t>
  </si>
  <si>
    <t>Unit 205 and 206 ON Commercial Building Lot 1 E Aguinaldo St Clark Freeport Zone Clark Freeport Zone Philippines</t>
  </si>
  <si>
    <t>aliciapamintuan2714@gmail.com</t>
  </si>
  <si>
    <t>0915-548-5951</t>
  </si>
  <si>
    <t>2019-254</t>
  </si>
  <si>
    <t>namseong1212</t>
  </si>
  <si>
    <t>KHAN ACE CONSTRUCTION CORP</t>
  </si>
  <si>
    <t>Ana Joy</t>
  </si>
  <si>
    <t>Unit 202 ON Commercial Building Lot 1 E Aguinaldo St Clark Freeport Zone Clark Freeport Zone Philippines</t>
  </si>
  <si>
    <t>khanaceconstruction@gmail.com</t>
  </si>
  <si>
    <t>045 436 4967</t>
  </si>
  <si>
    <t>2019-263</t>
  </si>
  <si>
    <t>kactrinity</t>
  </si>
  <si>
    <t>LA ROSE NOIRE TRAINING CENTER INC</t>
  </si>
  <si>
    <t>Lot 1C IE5 Area MA Roxas Highway Clark Freeport Zone Philippines</t>
  </si>
  <si>
    <t>LRNF.Admin@la-rose-noire.com</t>
  </si>
  <si>
    <t>2016-468</t>
  </si>
  <si>
    <t>SK CONSTRUCTION INTERIOR FIXTURES FURNITURES INTERNATIONAL CORPORATION</t>
  </si>
  <si>
    <t>Romariz</t>
  </si>
  <si>
    <t>Ravago</t>
  </si>
  <si>
    <t>Unit 202B YB Commercial Bldg Clark Hills Village Abacan Street Clark Freeport Zone Philippines</t>
  </si>
  <si>
    <t>marizgalban@gmail.com</t>
  </si>
  <si>
    <t>2019-152</t>
  </si>
  <si>
    <t>INTEGRATED WORKERS SERVICE COOPERATIVE</t>
  </si>
  <si>
    <t>Loise Dianne</t>
  </si>
  <si>
    <t>Operation Specialist</t>
  </si>
  <si>
    <t>Unit 1A2 Philexcel Business Park MA Roxas Highway Clark Freeport Zone Philippines</t>
  </si>
  <si>
    <t>lspangilinan@topserve.com.ph</t>
  </si>
  <si>
    <t>0945 970 2109</t>
  </si>
  <si>
    <t>2019-170</t>
  </si>
  <si>
    <t>MA CELINIA MAGTOTO  EUSEBIO TRC STEAKHOUSE</t>
  </si>
  <si>
    <t>Antonio</t>
  </si>
  <si>
    <t>Barn House 2077 Cardinal Santos Ave Clark Freeport Zone Philippines</t>
  </si>
  <si>
    <t>andysrrn@yahoo.com</t>
  </si>
  <si>
    <t>0907 757 4310 - 599 5346</t>
  </si>
  <si>
    <t>2015-394</t>
  </si>
  <si>
    <t>ANNA RIO SALVACION ROXAS RHEA SONIA AND RIO FOODS</t>
  </si>
  <si>
    <t>Anna Rio</t>
  </si>
  <si>
    <t>GGDC Administrative Services Building Clark Global CityWest Aeropark Phase 2 Tempflacil Clark Freeport Zone Philippines</t>
  </si>
  <si>
    <t>annarioroxas0807@gmail.com</t>
  </si>
  <si>
    <t>0905-226-3502</t>
  </si>
  <si>
    <t>2019-360</t>
  </si>
  <si>
    <t>akoikaw093091</t>
  </si>
  <si>
    <t>/uploads/file-1563961434885.png</t>
  </si>
  <si>
    <t>POWER IMPRINT BUILDERS AND TRADING PHILS CORP</t>
  </si>
  <si>
    <t>Room 2 Philexcel Business Arcade I Philexcel Business Park M A Roxas Highway Clark Freeport Zone Philippines</t>
  </si>
  <si>
    <t>2018-250</t>
  </si>
  <si>
    <t>KILLARA CORPORATION</t>
  </si>
  <si>
    <t>ALFRED</t>
  </si>
  <si>
    <t>Along Malago St and Quitangil St Clark Freeport Zone Philippines</t>
  </si>
  <si>
    <t>killaracorp0407@gmail.com</t>
  </si>
  <si>
    <t>2017-505</t>
  </si>
  <si>
    <t>SHERLYN ZULITA SUMAOANG PENGHUOGUO CHINESE RESTAURANT</t>
  </si>
  <si>
    <t>Capulong</t>
  </si>
  <si>
    <t>Louie Bryan</t>
  </si>
  <si>
    <t>Stall Nos 17 18 and 19 Lilly Hill Commercial Complex CM Recto Highway Clark Freeport Zone Philippines</t>
  </si>
  <si>
    <t>lbryancapulong@gmail.com</t>
  </si>
  <si>
    <t>2019-335</t>
  </si>
  <si>
    <t>BATANG CALLE FOOD MANUFACTURING CORP</t>
  </si>
  <si>
    <t>Gold One Enterprises Inc Bldg N6414 MA Roxas Highway Clark Freeport Zone Philippines</t>
  </si>
  <si>
    <t>2018bnats@gmail.com</t>
  </si>
  <si>
    <t>0916-713-2882</t>
  </si>
  <si>
    <t>2013-653</t>
  </si>
  <si>
    <t>LOURDES RAZON FIGUEROA MANG PRUDENCIO CANTEEN</t>
  </si>
  <si>
    <t>Marilou</t>
  </si>
  <si>
    <t>HR OIC</t>
  </si>
  <si>
    <t>Centennial Road Corner PSPC  Clark Freeport Zone Philippines</t>
  </si>
  <si>
    <t>mgrazon123@gmail.com</t>
  </si>
  <si>
    <t>2019-133</t>
  </si>
  <si>
    <t>CASINO ARCADE MONEY CHANGER INC</t>
  </si>
  <si>
    <t>Empaynado</t>
  </si>
  <si>
    <t>Fajardo</t>
  </si>
  <si>
    <t>Compliance Officer</t>
  </si>
  <si>
    <t>DHEIGHTS CASINO T309 JOSE ABAD SANTOS AVE CLARK FREEPORT ZONE PH</t>
  </si>
  <si>
    <t>yempaynado@yahoo.com</t>
  </si>
  <si>
    <t>2019-383</t>
  </si>
  <si>
    <t>MAYRENE OCAMPO PELAYO TASTETEA MILKTEA HOUSE</t>
  </si>
  <si>
    <t>Baisac</t>
  </si>
  <si>
    <t>Ainy</t>
  </si>
  <si>
    <t>Kadusale</t>
  </si>
  <si>
    <t>Operation  Manager</t>
  </si>
  <si>
    <t>Stall 1B Lot 2 Clark Hauz Bldg MA Roxas Highway Clark Freeport Zone Philippines</t>
  </si>
  <si>
    <t>tasteteamilktea@yahoo.com</t>
  </si>
  <si>
    <t>2019-094</t>
  </si>
  <si>
    <t>Affinitea</t>
  </si>
  <si>
    <t>APEX ONE INC</t>
  </si>
  <si>
    <t>Cantos</t>
  </si>
  <si>
    <t>Gretchen</t>
  </si>
  <si>
    <t>Jacobe</t>
  </si>
  <si>
    <t>Compensation and Benefits Officer</t>
  </si>
  <si>
    <t>5th Floor Unit 502 One West Aeropark Building Clark Global City Clark Civil Aviation Complex Clark Freeport Zone Philippines</t>
  </si>
  <si>
    <t>gretchen.jacobe@kmc.solutions</t>
  </si>
  <si>
    <t>-02- 779 6540</t>
  </si>
  <si>
    <t>2019-377</t>
  </si>
  <si>
    <t>APEXONE01</t>
  </si>
  <si>
    <t>EPICUREAN PARTNERS EXCHANGE INC</t>
  </si>
  <si>
    <t>Balagtas</t>
  </si>
  <si>
    <t>Edwil</t>
  </si>
  <si>
    <t>Gacias</t>
  </si>
  <si>
    <t>Assistant Store Manager</t>
  </si>
  <si>
    <t>Space No 13 Building C5 Clark Air Mall Clark International Airport  Clark Freeport Zone Philippines</t>
  </si>
  <si>
    <t>brixg.balagtas@yahoo.com</t>
  </si>
  <si>
    <t>0905-808-0107</t>
  </si>
  <si>
    <t>2019-381</t>
  </si>
  <si>
    <t>ALAINNE ALFONSO TAN ALALTA FOOD  BEVERAGE STALL</t>
  </si>
  <si>
    <t>Paulo</t>
  </si>
  <si>
    <t>Manansala</t>
  </si>
  <si>
    <t>Store Supervisor</t>
  </si>
  <si>
    <t>Unit C2A Ground Floor Clark Center 05 Clark Center Jose Abad Santos Avenue Clark Freeport Zone Philippines</t>
  </si>
  <si>
    <t>paulo.sanjose@ymail.com</t>
  </si>
  <si>
    <t>2019-300</t>
  </si>
  <si>
    <t>milktea</t>
  </si>
  <si>
    <t>CB INTERNATIONAL INC</t>
  </si>
  <si>
    <t>Guintu</t>
  </si>
  <si>
    <t>Dean Michael</t>
  </si>
  <si>
    <t>Operation and Procurement Manager</t>
  </si>
  <si>
    <t>Unit 201 YB Commercial Clark Hills Village Abacan  Chico Streets Clark Freeport Zone Philippines</t>
  </si>
  <si>
    <t>deanguintu12@gmail.com</t>
  </si>
  <si>
    <t>0975-723-0221</t>
  </si>
  <si>
    <t>2019-386</t>
  </si>
  <si>
    <t>cbinternational</t>
  </si>
  <si>
    <t>NEW CLARK CYBER ELITE SECURITY AND INVESTIGATION SERVICES CORPORATION</t>
  </si>
  <si>
    <t>Clark Valley VIew Clark Freeport Zone Philippines</t>
  </si>
  <si>
    <t>2019-369</t>
  </si>
  <si>
    <t>/uploads/file-1636438995864.png</t>
  </si>
  <si>
    <t>JEREMEJEVITE CORPORATION</t>
  </si>
  <si>
    <t>Capan</t>
  </si>
  <si>
    <t>Amelita</t>
  </si>
  <si>
    <t>Unit Supia T1 lot 2 bounded by Abacan and Quitangil Streets Clark Freeport Zone Philippines</t>
  </si>
  <si>
    <t>amycapan@yahoo.com.ph</t>
  </si>
  <si>
    <t>0939 523 2089</t>
  </si>
  <si>
    <t>2019-378</t>
  </si>
  <si>
    <t>jeremejevite88</t>
  </si>
  <si>
    <t>SINWOO CONSTRUCTION PHILS INC</t>
  </si>
  <si>
    <t>CLAIRE ANNE</t>
  </si>
  <si>
    <t>ESTRELLA</t>
  </si>
  <si>
    <t>ASSISTANT CORPORATE SECRETARY</t>
  </si>
  <si>
    <t>Malago Street Clark Freeport Zone Philippines</t>
  </si>
  <si>
    <t>claire.estrella0328@gmail.com</t>
  </si>
  <si>
    <t>2019-316</t>
  </si>
  <si>
    <t>MANGO KINGDOM DESSERT CAFE</t>
  </si>
  <si>
    <t>ROSA VIREN</t>
  </si>
  <si>
    <t>Unit D Philexcel Food Court Philexcel Business Park M Roxas Highway Clark Freeport Zone Philippines</t>
  </si>
  <si>
    <t>CHILLIPADIPH@GMAIL.COM</t>
  </si>
  <si>
    <t>2019-186</t>
  </si>
  <si>
    <t>CHILLI PADI ASIANCUISINE FOOD HUB</t>
  </si>
  <si>
    <t>Unit E Philexcel Food Court Philexcel Business Park M Roxas Highway Clark Freeport Zone Philippines</t>
  </si>
  <si>
    <t>2019-173</t>
  </si>
  <si>
    <t>J YEON CONSTRUCTION SERVICES PHILIPPINES CORPORATION</t>
  </si>
  <si>
    <t>Dingal</t>
  </si>
  <si>
    <t>Charlene</t>
  </si>
  <si>
    <t>Lacsina</t>
  </si>
  <si>
    <t>Office Unit 208 Club Building Clark Hills Village Abacan  Chico Sts Clark Freeport Zone Philippines</t>
  </si>
  <si>
    <t>charlenejycsc@gmail.com</t>
  </si>
  <si>
    <t>0956-7728-999</t>
  </si>
  <si>
    <t>2019-382</t>
  </si>
  <si>
    <t>/uploads/file-1565943600843.PNG</t>
  </si>
  <si>
    <t>SIGNATURE HOSPITALITY MANAGEMENT AND CONSULTANCY INC</t>
  </si>
  <si>
    <t>Cagulada</t>
  </si>
  <si>
    <t>Mary Angel</t>
  </si>
  <si>
    <t>Gamayot</t>
  </si>
  <si>
    <t>DHeights Casino T309 Jose Abad Santos Avenue Clark Freeport Zone Philippines</t>
  </si>
  <si>
    <t>caguladamaryangel@gmail.com</t>
  </si>
  <si>
    <t>0917-174-2920</t>
  </si>
  <si>
    <t>2019-344</t>
  </si>
  <si>
    <t>/uploads/file-1565768952447.jpg</t>
  </si>
  <si>
    <t>MEXIKANU by MKS 22 KITCHEN</t>
  </si>
  <si>
    <t>LACSINA</t>
  </si>
  <si>
    <t>Unit F Philexcel Food Court Philexcel Business Park M A  Roxas Highway Clark Freeport Zone Philippines</t>
  </si>
  <si>
    <t>joepring78@yahoo.com</t>
  </si>
  <si>
    <t>2019-165</t>
  </si>
  <si>
    <t>9999 INC</t>
  </si>
  <si>
    <t>NITA</t>
  </si>
  <si>
    <t>GUIAO</t>
  </si>
  <si>
    <t>Unit 44D  45A Regency Park Jose Abad Santos Avenue Clark Freeport Zone Philippines</t>
  </si>
  <si>
    <t>2019-370</t>
  </si>
  <si>
    <t>CLARK MAC ENTERPRISES INC</t>
  </si>
  <si>
    <t>BORLADO</t>
  </si>
  <si>
    <t>CLARISSE MAE</t>
  </si>
  <si>
    <t>ACCOUNATNT</t>
  </si>
  <si>
    <t>CM Recto Highway Clark Freeport Zone Philippines</t>
  </si>
  <si>
    <t>clark.mac@ph.mcd.com</t>
  </si>
  <si>
    <t>2017-004</t>
  </si>
  <si>
    <t>HON WIN DEVELOPMENT INC</t>
  </si>
  <si>
    <t>Unit 108 Bldg N1473 Rio Grande de Pampanga cor Abacan Sts Clark Freeport Zone Philippines</t>
  </si>
  <si>
    <t>0932 559 0094</t>
  </si>
  <si>
    <t>2019-366</t>
  </si>
  <si>
    <t>A TABERNA FOODS INC</t>
  </si>
  <si>
    <t>Doncillo</t>
  </si>
  <si>
    <t>Jonel Mark</t>
  </si>
  <si>
    <t>Esperas</t>
  </si>
  <si>
    <t>Domestic PreDeparture Area DD1112 Clark International Airport Passenger Terminal Building Clark Aviation Complex  Clark Freeport Zone Philippines</t>
  </si>
  <si>
    <t>jonelmarkdoncillo@yahoo.com</t>
  </si>
  <si>
    <t>2019-408</t>
  </si>
  <si>
    <t>LB MGT VILLAS AND LOGISTICS CORP</t>
  </si>
  <si>
    <t>Canto</t>
  </si>
  <si>
    <t>Jabelo</t>
  </si>
  <si>
    <t>along Malago Street Clark Freeport Zone Philippines</t>
  </si>
  <si>
    <t>cantojoan326@gmail.com</t>
  </si>
  <si>
    <t>2019-317</t>
  </si>
  <si>
    <t>MIN XIANG YUAN RESTAURANT INC</t>
  </si>
  <si>
    <t>Sing</t>
  </si>
  <si>
    <t>Mario</t>
  </si>
  <si>
    <t>Unit 208 ON Commercial Building Lot 1 E Aguinaldo Street Clark Freeport Zone Philippines</t>
  </si>
  <si>
    <t>0917 388 4004</t>
  </si>
  <si>
    <t>2019-429</t>
  </si>
  <si>
    <t>CERNAN MANALILI GARCIA CERENAS FOOD HAUZ</t>
  </si>
  <si>
    <t>CERNAN</t>
  </si>
  <si>
    <t>2F Business Center 11 Philexcel Business Park M A Roxas Highway Clark Freeport Zone Philippines</t>
  </si>
  <si>
    <t>iagwowtmr17@yahoo.com</t>
  </si>
  <si>
    <t>2019-301</t>
  </si>
  <si>
    <t>ROYAL AIR CHARTER SERVICE INC DOING BUSINESS UNDER THE NAMES AND STYLES OF ROYAL AIR  FLY ROYAL AIR AND ROYAL AIR PH</t>
  </si>
  <si>
    <t>ARDILES</t>
  </si>
  <si>
    <t>HELEN</t>
  </si>
  <si>
    <t>DIRECTOR FOR HRAD</t>
  </si>
  <si>
    <t>Bldg 7549 Clark International Airport Passenger Terminal Building  Clark Freeport Zone Philippines</t>
  </si>
  <si>
    <t>helen.ardiles@flyroyalair.com</t>
  </si>
  <si>
    <t>2018-533</t>
  </si>
  <si>
    <t>/uploads/file-1565302792400.png</t>
  </si>
  <si>
    <t>IVAN HOWARD ABENDANO GUINTU FIRST RATE FOREIGN EXCHANGE</t>
  </si>
  <si>
    <t>Mallilline</t>
  </si>
  <si>
    <t>Tumaliuan</t>
  </si>
  <si>
    <t>Account Officer</t>
  </si>
  <si>
    <t>2nd Floor PreDeparture area of the Clark International AirportPassenger Terminal Building Clark Freeport Zone Philippines</t>
  </si>
  <si>
    <t>almamallilline@yahoo.com</t>
  </si>
  <si>
    <t>0917-608-6829</t>
  </si>
  <si>
    <t>2018-276</t>
  </si>
  <si>
    <t>CLARK GRAND LEISURE CORP</t>
  </si>
  <si>
    <t>Patricia Renz</t>
  </si>
  <si>
    <t>Compensation  Benefits Specialist</t>
  </si>
  <si>
    <t>Block 1 Lots 1 to 4 Clark Global City  Clark Freeport Zone Philippines</t>
  </si>
  <si>
    <t>patricia.gonzales@udenna.ph</t>
  </si>
  <si>
    <t>2019-372</t>
  </si>
  <si>
    <t>CGLC2019</t>
  </si>
  <si>
    <t>CGC VISTA RESTAURANT CORPORATION</t>
  </si>
  <si>
    <t>Lemuel</t>
  </si>
  <si>
    <t>11th Floor Unit 1W1101 One West Aeropark Building 77 Gatwick Gateway Clark Global City Clark Freeport Zone Philippines</t>
  </si>
  <si>
    <t>llserrano.cgc@gmail.com</t>
  </si>
  <si>
    <t>0956-295-8449</t>
  </si>
  <si>
    <t>2019-315</t>
  </si>
  <si>
    <t>/uploads/file-1567648079664.jpg</t>
  </si>
  <si>
    <t>LFIVE LAUNDRY AND DRY CLEANING SERVICES CORP</t>
  </si>
  <si>
    <t>Tapang</t>
  </si>
  <si>
    <t>Jasper</t>
  </si>
  <si>
    <t>Hilton Hotel T309 Clark Sunvalley Country Club Jose Abad Santos Clark Freeport Zone Philippines</t>
  </si>
  <si>
    <t>lending5.hr@gmail.com</t>
  </si>
  <si>
    <t>0963-449-9508</t>
  </si>
  <si>
    <t>2018-344</t>
  </si>
  <si>
    <t>LFIVECDCMR</t>
  </si>
  <si>
    <t>VICTORY LINER INC</t>
  </si>
  <si>
    <t>Genese</t>
  </si>
  <si>
    <t>Vanessa</t>
  </si>
  <si>
    <t>Varona</t>
  </si>
  <si>
    <t>HR Superintendent</t>
  </si>
  <si>
    <t>Along B Fernando St at the back of Candaba Farm Fresh Market Clark Civil Aviation Complex Clark Freeport Zone Philippines</t>
  </si>
  <si>
    <t>vvgenese@victoryliner.com</t>
  </si>
  <si>
    <t>2019-453</t>
  </si>
  <si>
    <t>RENEN SALONGA PALOMO KINGSTRIO CATERING AND EVENT PLANNING</t>
  </si>
  <si>
    <t>palomo</t>
  </si>
  <si>
    <t>renen</t>
  </si>
  <si>
    <t>salonga</t>
  </si>
  <si>
    <t>Site 3 Office Center 9 Jose Abad Santos Avenue Clark Freeport Zone Clark Freeport Zone Philippines</t>
  </si>
  <si>
    <t>lapalomo20@gmail.com</t>
  </si>
  <si>
    <t>0927 451 3400</t>
  </si>
  <si>
    <t>2019-374</t>
  </si>
  <si>
    <t>/uploads/file-1634171581952.jpg</t>
  </si>
  <si>
    <t>WONDERFUL HAIRDRESSING SALON CORP</t>
  </si>
  <si>
    <t>Daisy</t>
  </si>
  <si>
    <t>Company Representative</t>
  </si>
  <si>
    <t>Unit 206A Bldg N1473 Rio Grande de Pampanga cor Abacan Sts Clark Freeport Zone Philippines</t>
  </si>
  <si>
    <t>2019-426</t>
  </si>
  <si>
    <t>PAUL REYES BALANAY SDKJCHAMPION BBQ  CHINESE RESTAURANT</t>
  </si>
  <si>
    <t>Donggwang ODE Country Bldg CM Recto Highway Clark Freeport Zone Philippines</t>
  </si>
  <si>
    <t>2019-385</t>
  </si>
  <si>
    <t>VIC1234</t>
  </si>
  <si>
    <t>WILSON UY TECSON WCT FOOD CHAIN</t>
  </si>
  <si>
    <t>Karen</t>
  </si>
  <si>
    <t>Miguel</t>
  </si>
  <si>
    <t>Office Admin  Accounting Associates</t>
  </si>
  <si>
    <t>PreDeparture Area Passenger Terminal Bldg 7549 Clark International Airport Civil Aviation Complex Clark Freeport Zone Philippines</t>
  </si>
  <si>
    <t>krexpress2008@gmail.com</t>
  </si>
  <si>
    <t>351-1084</t>
  </si>
  <si>
    <t>2019-460</t>
  </si>
  <si>
    <t>LUCKYU INC</t>
  </si>
  <si>
    <t>MARVIC TERIZ</t>
  </si>
  <si>
    <t>MEDINA</t>
  </si>
  <si>
    <t>Midori Clark Hotel and Casino Kalayaan Road CM Recto Avenue Clark Freeport Zone Philippines</t>
  </si>
  <si>
    <t>marvicflores.altavalore@gmail.com</t>
  </si>
  <si>
    <t>2019-435</t>
  </si>
  <si>
    <t>ICT Industrial</t>
  </si>
  <si>
    <t>LUKAS HND DEVELOPMENT CORPORATION</t>
  </si>
  <si>
    <t>JinGon</t>
  </si>
  <si>
    <t>Room 103 Clark Welcome Center Office SuitesBerthaphil VIII Compound Lot 1 SCTEX Road Clark Freeport Zone Philippines</t>
  </si>
  <si>
    <t>yeo6214@gmail.com</t>
  </si>
  <si>
    <t>0917-801-2875</t>
  </si>
  <si>
    <t>2019-420</t>
  </si>
  <si>
    <t>EDNA YUTUC GEGANTE JONAED CATERING</t>
  </si>
  <si>
    <t>Gegante</t>
  </si>
  <si>
    <t>Jozziel</t>
  </si>
  <si>
    <t>Bldg 01 and 01A Berthaphil V Compound Sen Gil Puyat Avenue Clark Freeport Zone Philippines</t>
  </si>
  <si>
    <t>jonaedcatering@gmail.com</t>
  </si>
  <si>
    <t>0955 046 5382</t>
  </si>
  <si>
    <t>2019-445</t>
  </si>
  <si>
    <t>JCatering777</t>
  </si>
  <si>
    <t>MABUHAY CAR RENTALS</t>
  </si>
  <si>
    <t>Catalan</t>
  </si>
  <si>
    <t>Maria Morena</t>
  </si>
  <si>
    <t>Macabig</t>
  </si>
  <si>
    <t>Claro M Recto Highway beside the Candaba Farm Fresh Market Clark Civil Aviation Clark Freeport Zone Philippines</t>
  </si>
  <si>
    <t>clarkmabuhay@yahoo.com</t>
  </si>
  <si>
    <t>0915 885 0464</t>
  </si>
  <si>
    <t>2019-041</t>
  </si>
  <si>
    <t>/uploads/file-1602037959907.png</t>
  </si>
  <si>
    <t>SOUTH STAR DRUG INC doing business under the name and style of SOUTH STAR DRUG and MANSON DRUG</t>
  </si>
  <si>
    <t>MANALO</t>
  </si>
  <si>
    <t>LHEILA</t>
  </si>
  <si>
    <t>AREA SUPERVISOR</t>
  </si>
  <si>
    <t>Retail 2 Clark Center 2 Berthaphil Clark Center Clark Freeport Zone Philippines</t>
  </si>
  <si>
    <t>pac16@southstardrug.com.ph</t>
  </si>
  <si>
    <t>499-8074</t>
  </si>
  <si>
    <t>2017-211</t>
  </si>
  <si>
    <t>ELENA JANE CHANGCOCO DULAY BIG KISSLITTLE HUG BAGS  ACCESSORIES SHOP</t>
  </si>
  <si>
    <t>Dulay</t>
  </si>
  <si>
    <t>Elena Jane</t>
  </si>
  <si>
    <t>Ground Floor Bldg N5398 Lot 2B Lot 2C and Lot 2E1 MA Roxas Highway Clark Freeport Zone Philippines</t>
  </si>
  <si>
    <t>elara@schmidtcorp.co</t>
  </si>
  <si>
    <t>045 499 8054</t>
  </si>
  <si>
    <t>2019-473</t>
  </si>
  <si>
    <t>bigkiss</t>
  </si>
  <si>
    <t>PACIFICSPOTTERS CORPORATION</t>
  </si>
  <si>
    <t>Magtanong</t>
  </si>
  <si>
    <t>Buildings 7157 and N7166 located along CM Recto Highway and Gil Puyat Avenue Clark Civil Aviation Complex Clark Freeport Zone Philippines</t>
  </si>
  <si>
    <t>mmagtanong.psc@gmail.com</t>
  </si>
  <si>
    <t>0935-329-3352- 045-599-9123</t>
  </si>
  <si>
    <t>2019-511</t>
  </si>
  <si>
    <t>TAJA GLOBAL PHILIPPINES INCORPORATED</t>
  </si>
  <si>
    <t>Janssen</t>
  </si>
  <si>
    <t>Giselle</t>
  </si>
  <si>
    <t>Talape</t>
  </si>
  <si>
    <t>Unit 1E Philexcel Business Park Annex near Sapang Bato Gate  Clark Freeport Zone Philippines</t>
  </si>
  <si>
    <t>gisellej@tajaglobal.com</t>
  </si>
  <si>
    <t>0961-279-6313</t>
  </si>
  <si>
    <t>2019-490</t>
  </si>
  <si>
    <t>hrtaja2021*</t>
  </si>
  <si>
    <t>/uploads/file-1569804017034.png</t>
  </si>
  <si>
    <t>RELENE MAYRINA ANGELES HAPPY HEAD START PLAYHOUSE</t>
  </si>
  <si>
    <t>Front Desk Excecutive</t>
  </si>
  <si>
    <t>Ground Floor Unit 1W101 One West Aeropark Building Clark Global City Clark Civil Aviation Complex Clark Freeport Zone Philippines</t>
  </si>
  <si>
    <t>ronalyn.happyheadstart@gmail.com</t>
  </si>
  <si>
    <t>2019-353</t>
  </si>
  <si>
    <t>happyheadstart2019</t>
  </si>
  <si>
    <t>/uploads/file-1574309454360.jpg</t>
  </si>
  <si>
    <t>GAANO TRAVEL GROUP INC</t>
  </si>
  <si>
    <t>Rica</t>
  </si>
  <si>
    <t>Extension C1A of Building 35 Philexcel Business Park MA Roxas Highway Clark Freeport Zone Philippines</t>
  </si>
  <si>
    <t>gaanorentals@gmail.com</t>
  </si>
  <si>
    <t>0908-255-7286</t>
  </si>
  <si>
    <t>2019-505</t>
  </si>
  <si>
    <t>UNISTOP OUTSOURCING INC</t>
  </si>
  <si>
    <t>Legarte</t>
  </si>
  <si>
    <t>hermie.d@unistopsolutions.com</t>
  </si>
  <si>
    <t>2019-504</t>
  </si>
  <si>
    <t>vnyCWkha97a9Q5b</t>
  </si>
  <si>
    <t>ANGELES MANGO TOURS INC</t>
  </si>
  <si>
    <t>Lourdes Rose</t>
  </si>
  <si>
    <t>Unit 202 CFZ Regency Park Gihon Bldg Jose Abad Santos Avenue cor E Aguinaldo St Clark Freeport Zone Philippines</t>
  </si>
  <si>
    <t>lourdesrosedeguzman@yahoo.com</t>
  </si>
  <si>
    <t>0915-668-4761</t>
  </si>
  <si>
    <t>2019-375</t>
  </si>
  <si>
    <t>VALENTINO ISIP GONZALES SWIZZLE EXPRESS FOODS</t>
  </si>
  <si>
    <t>Valentino</t>
  </si>
  <si>
    <t>Business Center 5 Philexcel Business Park M A Roxas Highway Clark Freeport Zone Philippines</t>
  </si>
  <si>
    <t>valg@rocketmail.com</t>
  </si>
  <si>
    <t>0917 312 7829</t>
  </si>
  <si>
    <t>2019-528</t>
  </si>
  <si>
    <t>val214</t>
  </si>
  <si>
    <t>JAPD SUPERMARKET</t>
  </si>
  <si>
    <t>GF I Workplus Building Acacia Drive Filinvest Mimosa Clark Freeport Zone Philippines</t>
  </si>
  <si>
    <t>2019-111</t>
  </si>
  <si>
    <t>RICRICAFORT BARBER SHOP</t>
  </si>
  <si>
    <t>2019-112</t>
  </si>
  <si>
    <t>RICRICAFORT DIMSUM NOODLE HOUSE</t>
  </si>
  <si>
    <t>GF Acacia Drive 1 Workplus Building Filinvest Mimosa Clark Freeport Zone Philippines</t>
  </si>
  <si>
    <t>2019-114</t>
  </si>
  <si>
    <t>RICRICAFORT COFFEE SHOP</t>
  </si>
  <si>
    <t>GF Acacia Drive 1 Workplus Building Filinvest Mimos Clark Freeport Zone Philippines</t>
  </si>
  <si>
    <t>2019-113</t>
  </si>
  <si>
    <t>CGLC CULTURAL HERITAGE FOUNDATION INC</t>
  </si>
  <si>
    <t>GGDC Administrative Services Building Clark Global City Clark Freeport Zone Philippines</t>
  </si>
  <si>
    <t>2019-522</t>
  </si>
  <si>
    <t>FCGLC2019</t>
  </si>
  <si>
    <t>PH RESORTS GROUP HOLDINGS INC</t>
  </si>
  <si>
    <t>Angioline</t>
  </si>
  <si>
    <t>Cayabyab</t>
  </si>
  <si>
    <t>HR Director</t>
  </si>
  <si>
    <t>angioline.villanueva@theemeraldhotel.com</t>
  </si>
  <si>
    <t>2019-531</t>
  </si>
  <si>
    <t>PHR2019</t>
  </si>
  <si>
    <t>AN LEE FAMILY PHILIPPINEKOREA CONSTRUCTION INC</t>
  </si>
  <si>
    <t>Unit b1 Club Building Clark Hills Village Abacan  Chico Sts  Clark Freeport Zone Philippines</t>
  </si>
  <si>
    <t>2019-484</t>
  </si>
  <si>
    <t>DeviceDesign Philippines Corp</t>
  </si>
  <si>
    <t>AGUIILUS</t>
  </si>
  <si>
    <t>NIKA</t>
  </si>
  <si>
    <t>Junior HR Admin Personnel</t>
  </si>
  <si>
    <t>Bldg N3852 Prince Balagtas Ave corner Panday Pira Ave Clark Freeport Zone Pampanga</t>
  </si>
  <si>
    <t>dddphr-admin@dd-device.com</t>
  </si>
  <si>
    <t>045-5998455</t>
  </si>
  <si>
    <t>2019-514</t>
  </si>
  <si>
    <t>SUJI BEST DISTRIBUTING CORPORATION</t>
  </si>
  <si>
    <t>Cabral</t>
  </si>
  <si>
    <t>Marketing Manager</t>
  </si>
  <si>
    <t>Building 2511D Samat Street Ninoy Aquino Avenue Clark Freeport Zone Philippines</t>
  </si>
  <si>
    <t>tongolmargie@gmail.com</t>
  </si>
  <si>
    <t>2019-525</t>
  </si>
  <si>
    <t>FUJITSU PHILIPPINES INC</t>
  </si>
  <si>
    <t>Balbacal</t>
  </si>
  <si>
    <t>Karen Anne</t>
  </si>
  <si>
    <t>Mea</t>
  </si>
  <si>
    <t>Office Number 506 5th Clark Center 07 Clark Center Jose Abad Santos Avenue Clark Freeport Zone Philippines</t>
  </si>
  <si>
    <t>k.balbacal@fujitsu.com</t>
  </si>
  <si>
    <t>-02- 841 8488</t>
  </si>
  <si>
    <t>2019-555</t>
  </si>
  <si>
    <t>LBY CONSTRUCTION INC</t>
  </si>
  <si>
    <t>Narra</t>
  </si>
  <si>
    <t>Mariel</t>
  </si>
  <si>
    <t>Pacaldo</t>
  </si>
  <si>
    <t>Ground Floor Unit 1W104 One West Aeropark Building Clark Global City Clark Civil Aviation Complex Clark Freeport Zone Philippines</t>
  </si>
  <si>
    <t>mnarra940@gmail.com</t>
  </si>
  <si>
    <t>0956-899-4838</t>
  </si>
  <si>
    <t>2019-469</t>
  </si>
  <si>
    <t>PRIMEWATER TAHAL PAVI MGS CORP</t>
  </si>
  <si>
    <t>Alas</t>
  </si>
  <si>
    <t>Fatima Eliza</t>
  </si>
  <si>
    <t>New Clark City Capas Tarlac Clark Freeport Zone Philippines</t>
  </si>
  <si>
    <t>pie.alas@primewatercorp.com</t>
  </si>
  <si>
    <t>0998 590 3404</t>
  </si>
  <si>
    <t>2019-508</t>
  </si>
  <si>
    <t>THE GRANDE CITY DEVELOPMENT INC</t>
  </si>
  <si>
    <t>Shiela</t>
  </si>
  <si>
    <t>Unit 316 3rd Floor KACC Philmade Bldg Lot 12 corner J Abad Santos Avenue and E Quirino Street Clark Freeport Zone Philippines</t>
  </si>
  <si>
    <t>thesharp2020@gmail.com</t>
  </si>
  <si>
    <t>2019-554</t>
  </si>
  <si>
    <t>RADIUS TELECOM INC Formerly TANGENT NETWORKS INC</t>
  </si>
  <si>
    <t>Saldivar</t>
  </si>
  <si>
    <t>Ronallyne</t>
  </si>
  <si>
    <t>Lau</t>
  </si>
  <si>
    <t>HR  Payroll</t>
  </si>
  <si>
    <t>Room 2 Philexcel Business Center 2 Philexcel Business Park MA Roxas Highway Clark Freeport Zone Philippines</t>
  </si>
  <si>
    <t>Rlsaldivar@radius.ph</t>
  </si>
  <si>
    <t>0999 992 1399</t>
  </si>
  <si>
    <t>2019-578</t>
  </si>
  <si>
    <t>/uploads/file-1583132570813.png</t>
  </si>
  <si>
    <t>MARJU PASION GESLANI GESLANI BAKERY</t>
  </si>
  <si>
    <t>Pilapil</t>
  </si>
  <si>
    <t>Patrica Joy</t>
  </si>
  <si>
    <t>Pimentel</t>
  </si>
  <si>
    <t>Team Leader</t>
  </si>
  <si>
    <t>Clark 1 Berthaphil 2 Jose Abad Santos Avenue Clark Freeport Zone Clark Freeport Zone Philippines</t>
  </si>
  <si>
    <t>patricajoy@gmail.com</t>
  </si>
  <si>
    <t>2019-510</t>
  </si>
  <si>
    <t>CONNEXT GLOBAL SOLUTIONS INC</t>
  </si>
  <si>
    <t>Carbon</t>
  </si>
  <si>
    <t>Lerma</t>
  </si>
  <si>
    <t>Laluna</t>
  </si>
  <si>
    <t>Unit 1F5 Philexcel Business Center 9 Philexcel Business Park MA Roxas Highway Clark Freeport Zone Philippines</t>
  </si>
  <si>
    <t>lcarbon@connextglobal.com</t>
  </si>
  <si>
    <t>2019-512</t>
  </si>
  <si>
    <t>/uploads/file-1612853231882.png</t>
  </si>
  <si>
    <t>ISLAND RESORT CLUB TOUR SERVICES INC</t>
  </si>
  <si>
    <t>Gojunco</t>
  </si>
  <si>
    <t>Ruby</t>
  </si>
  <si>
    <t>Accounting Manager</t>
  </si>
  <si>
    <t>Stall No 8 Lilly Hill Commercial Complex CM Recto Highway Clark Freeport Zone Philippines</t>
  </si>
  <si>
    <t>acct@hotelclick.com.ph</t>
  </si>
  <si>
    <t>0915-042-4627</t>
  </si>
  <si>
    <t>2019-576</t>
  </si>
  <si>
    <t>ALWEN DELA CRUZ YAP ALWEN YAP CATERING SERVICES</t>
  </si>
  <si>
    <t>Alonzo</t>
  </si>
  <si>
    <t>Suzette</t>
  </si>
  <si>
    <t>Crew relative</t>
  </si>
  <si>
    <t>Unit B Philexcel Food Court Philexcel Businessk M A Roxas Highway Clark Freeport Zone Philippines</t>
  </si>
  <si>
    <t>suzettealonzo16@gmail.com</t>
  </si>
  <si>
    <t>2019-188</t>
  </si>
  <si>
    <t>JUDITH ALQUERO DELA CRUZ JURIST CAFETERIA</t>
  </si>
  <si>
    <t>Jutdith</t>
  </si>
  <si>
    <t>Alquero</t>
  </si>
  <si>
    <t>NCLUB Inc Bldg 5365 CM Recto Highway Clark Freeport Zone Philippines</t>
  </si>
  <si>
    <t>judithdelacruz_23@yahoo.com</t>
  </si>
  <si>
    <t>0906 336 4229</t>
  </si>
  <si>
    <t>2019-521</t>
  </si>
  <si>
    <t>MADONA PINEDA MAMANGUN FOODSET2GO FOOD SERVICES</t>
  </si>
  <si>
    <t>WILBERN</t>
  </si>
  <si>
    <t>BK103 Ground Floor Two West Aeropark Building Clark Global City Clark Civil Aviation Complex Clark Freeport Zone Philippines</t>
  </si>
  <si>
    <t>ramoswilbern@gmail.com</t>
  </si>
  <si>
    <t>2019-603</t>
  </si>
  <si>
    <t>rusticbox</t>
  </si>
  <si>
    <t>TKHS GROUP INCORPORATED</t>
  </si>
  <si>
    <t>Eco</t>
  </si>
  <si>
    <t>Emanuelle</t>
  </si>
  <si>
    <t>Ruedas</t>
  </si>
  <si>
    <t>Installation Manager</t>
  </si>
  <si>
    <t>Mini Warehouse 07 Berthaphil II North Manunggal Street Jose Abad Santos Avenue Clark Freeport Zone Philippines</t>
  </si>
  <si>
    <t>emmanuel.eco@tkhsgroup.com</t>
  </si>
  <si>
    <t>2019-597</t>
  </si>
  <si>
    <t>/uploads/file-1572325353898.jpg</t>
  </si>
  <si>
    <t>NNR GLOBAL LOGISTICS PHILIPPINES INC</t>
  </si>
  <si>
    <t>Tazawa</t>
  </si>
  <si>
    <t>Manabu</t>
  </si>
  <si>
    <t>Room 1 Philexcel Business Center 2 Philexcel Business Park M Roxas Highway Clark Freeport Zone Philippines</t>
  </si>
  <si>
    <t>tazawa@nnrphils.com.ph</t>
  </si>
  <si>
    <t>0917-542-7554</t>
  </si>
  <si>
    <t>2018-484</t>
  </si>
  <si>
    <t>International Freight Forwarding</t>
  </si>
  <si>
    <t>RL FOODS CORP</t>
  </si>
  <si>
    <t>Conti</t>
  </si>
  <si>
    <t>Nina ricci</t>
  </si>
  <si>
    <t>Dela Fuente</t>
  </si>
  <si>
    <t>Sales and Marketing Officer</t>
  </si>
  <si>
    <t>Ground Floor Unit 1W116 and 1W117 One West Aeropark Building Clark Global City Clark Civil Aviation Complex Clark Freeport Zone Philippines</t>
  </si>
  <si>
    <t>nina.conti@rlapids.com.ph</t>
  </si>
  <si>
    <t>0998 850 6008</t>
  </si>
  <si>
    <t>2019-617</t>
  </si>
  <si>
    <t>REY CRUZ LAPID RC LAPID FOOD KIOSK</t>
  </si>
  <si>
    <t>Nina Ricci</t>
  </si>
  <si>
    <t>2019-180</t>
  </si>
  <si>
    <t>FRANCIS TAMBONG ORTIZ FZITRO FOOD CART</t>
  </si>
  <si>
    <t>Tambong</t>
  </si>
  <si>
    <t>Space No C3A Building C3 Clark Airmall Clark Freeport Zone Philippines</t>
  </si>
  <si>
    <t>kiko_zitro@yahoo.com</t>
  </si>
  <si>
    <t>0999-518-7134</t>
  </si>
  <si>
    <t>2019-575</t>
  </si>
  <si>
    <t>MONEY BOX FAMILY KTV INC</t>
  </si>
  <si>
    <t>Sumo</t>
  </si>
  <si>
    <t>Angel</t>
  </si>
  <si>
    <t>Lolong</t>
  </si>
  <si>
    <t>New Clubhouse Building Fontana Leisure Parks Clark Freeport Zone Philippines</t>
  </si>
  <si>
    <t>corporate889900@gmail.com</t>
  </si>
  <si>
    <t>0917 688 4326</t>
  </si>
  <si>
    <t>2019-618</t>
  </si>
  <si>
    <t>AVANTI OUTSOURCE SERVICES INC</t>
  </si>
  <si>
    <t>CANNING</t>
  </si>
  <si>
    <t>STEVEN RONALD</t>
  </si>
  <si>
    <t>CORPORATE TREASURER</t>
  </si>
  <si>
    <t>Room 2  3 Philexcel Business Arcade 3 Philexcel Business Park MA Roxas Highway  Clark Freeport Zone Philippines</t>
  </si>
  <si>
    <t>scanning@cenbp.com.au</t>
  </si>
  <si>
    <t>2019-487</t>
  </si>
  <si>
    <t>WILFRIDO TURLA NUQUI JR 7TH TABLE FOOD SERVICES</t>
  </si>
  <si>
    <t>Rarican</t>
  </si>
  <si>
    <t>Katherine</t>
  </si>
  <si>
    <t>Ground Floor Unit 1W116 and 1W117 One West Aeropark Building Clark Global City Clark Aviation Complex Clark Freeport Zone Philippines</t>
  </si>
  <si>
    <t>nuquikath5@gmail.com</t>
  </si>
  <si>
    <t>0917-771-4649</t>
  </si>
  <si>
    <t>2019-623</t>
  </si>
  <si>
    <t>GILBERT GONZALES ENERO RAPHAEL QUARTZ FILIPINO KOREAN RESTAURANT</t>
  </si>
  <si>
    <t>Enero</t>
  </si>
  <si>
    <t>Rendcee</t>
  </si>
  <si>
    <t>Philexcel Clark Freeport Zone Philippines</t>
  </si>
  <si>
    <t>renzyenero.re@gmail.com</t>
  </si>
  <si>
    <t>2019-552</t>
  </si>
  <si>
    <t>SKY BLUE NEW CLARK CITY GOLF AND RESORT CORP</t>
  </si>
  <si>
    <t>Victoria</t>
  </si>
  <si>
    <t>Grant Kimberly Shaine</t>
  </si>
  <si>
    <t>Mapaye</t>
  </si>
  <si>
    <t>Southern portion of the New Clark City Capas Tarlac Clark Freeport Zone Philippines</t>
  </si>
  <si>
    <t>skybluegolfresort@gmail.com</t>
  </si>
  <si>
    <t>0917-101-3336</t>
  </si>
  <si>
    <t>2019-630</t>
  </si>
  <si>
    <t>WOOBANG CONSTRUCTION CORPORATION</t>
  </si>
  <si>
    <t>RAGUINDIN</t>
  </si>
  <si>
    <t>AIZA</t>
  </si>
  <si>
    <t>TUTAAN</t>
  </si>
  <si>
    <t>Room ll Lot 11 Commercial Mixed Use B The Villages CM Recto Highway Clark Freeport Zone Philippines</t>
  </si>
  <si>
    <t>woobang2019@gmail.com</t>
  </si>
  <si>
    <t>0967-573-0575</t>
  </si>
  <si>
    <t>2019-588</t>
  </si>
  <si>
    <t>Woobang2019</t>
  </si>
  <si>
    <t>IFTI KOREA CORP</t>
  </si>
  <si>
    <t>Pendon</t>
  </si>
  <si>
    <t>Jerica</t>
  </si>
  <si>
    <t>Administrative manager</t>
  </si>
  <si>
    <t>Unit A2A Club Building Clark Hills Village Abacan  Chico St Clark Freeport Zone Philippines</t>
  </si>
  <si>
    <t>2018-427</t>
  </si>
  <si>
    <t>ifti2018</t>
  </si>
  <si>
    <t>AIRSWIFT TRANSPORT INC</t>
  </si>
  <si>
    <t>Bldg 7549 Civil Aviation Complex Clark Freeport Zone Philippines</t>
  </si>
  <si>
    <t>2018-071</t>
  </si>
  <si>
    <t>GUERILLA CREATIVE MARKETING INC</t>
  </si>
  <si>
    <t>Valenzuela</t>
  </si>
  <si>
    <t>Erika Geuel</t>
  </si>
  <si>
    <t>Unit 1E1 Philexcel Business Park Annex near Sapang Bato Gate  Clark Freeport Zone Philippines</t>
  </si>
  <si>
    <t>hr@guerillacreativemarketing.com</t>
  </si>
  <si>
    <t>2019-626</t>
  </si>
  <si>
    <t>GCM2021*</t>
  </si>
  <si>
    <t>/uploads/file-1575244917638.png</t>
  </si>
  <si>
    <t>ACC17 FOOD AND BEVERAGE STALL</t>
  </si>
  <si>
    <t>CORRES</t>
  </si>
  <si>
    <t>JANICE CHRISTINE</t>
  </si>
  <si>
    <t>Store Operator</t>
  </si>
  <si>
    <t>Commercial Main Bldg A Lot1  2 Corner J Abad Santos Avenue E Qurino St Clark Freeport Zone Philippines</t>
  </si>
  <si>
    <t>acc17foodandbeveragestall@yahoo.com</t>
  </si>
  <si>
    <t>2018-305</t>
  </si>
  <si>
    <t>SHOREAGENTS INC</t>
  </si>
  <si>
    <t>RAQUEL</t>
  </si>
  <si>
    <t>Unit 1F2 Philexcel Business Center 6 Philexcel Business Park MA Roxas Highway Clark Freeport Zone Philippines</t>
  </si>
  <si>
    <t>2019-646</t>
  </si>
  <si>
    <t>CLARK RESORT TRAVEL AND AMUSEMENT CORPORATION</t>
  </si>
  <si>
    <t>Vedania</t>
  </si>
  <si>
    <t>Alyssa Karen</t>
  </si>
  <si>
    <t>HR Compensation and Benefits</t>
  </si>
  <si>
    <t>Club House C Bldg 489 Fontana Leisure Parks C M Recto Highway Clark Freeport Zone Philippines</t>
  </si>
  <si>
    <t>casinohrofficer@fontana.com.ph</t>
  </si>
  <si>
    <t>2016-406</t>
  </si>
  <si>
    <t>MARLON YUMANG GUEVARRA TEAAMO FOOD HOUSE</t>
  </si>
  <si>
    <t>Stall No 27 Mangan Tamu Food Strip R Cardinal Santos St Clark Freeport Zone Philippines</t>
  </si>
  <si>
    <t>zenaidaguevarra77@hotmail.com</t>
  </si>
  <si>
    <t>2019-662</t>
  </si>
  <si>
    <t>sexy9195ku</t>
  </si>
  <si>
    <t>Food Retailer</t>
  </si>
  <si>
    <t>HELEN ENOBIO LARA HELENS GRILL HOUSE</t>
  </si>
  <si>
    <t>Lara</t>
  </si>
  <si>
    <t>Lovely</t>
  </si>
  <si>
    <t>Enobio</t>
  </si>
  <si>
    <t>Stall No 79 Mangan Tamu Food Strip R Cardinal Santos St Clark Freeport Zone Philippines</t>
  </si>
  <si>
    <t>lovelylara552@gmail.com</t>
  </si>
  <si>
    <t>0927-420-5857</t>
  </si>
  <si>
    <t>2019-643</t>
  </si>
  <si>
    <t>JOYBEAN FOOD MASTERS CORP</t>
  </si>
  <si>
    <t>Joyce Ann</t>
  </si>
  <si>
    <t>Unit Head</t>
  </si>
  <si>
    <t>FB Unit No IPD12 2F International PreDeparture Clark International Airport Passenger Terminal Building Civil Avaition Complex Clark Freeport Zone Philippines</t>
  </si>
  <si>
    <t>jb_clarkairport@joybean.com.ph</t>
  </si>
  <si>
    <t>2019-678</t>
  </si>
  <si>
    <t>CATHERINE CARLOS UNCAD LUWENCES FOOD AND BEVERAGE STALL</t>
  </si>
  <si>
    <t>CLARISSE</t>
  </si>
  <si>
    <t>Dnata Travel Inc Business Center 8 Philexcel Business Park MA Roxas Highway Clark Freeport Zone Philippines</t>
  </si>
  <si>
    <t>clangsantos9@gmail.com</t>
  </si>
  <si>
    <t>2019-530</t>
  </si>
  <si>
    <t>MAJESTIC WORLD REALTY DEVELOPMENT CORPORATION</t>
  </si>
  <si>
    <t>MESINA</t>
  </si>
  <si>
    <t>DIANA JOY</t>
  </si>
  <si>
    <t>TEVES</t>
  </si>
  <si>
    <t>AdminOfficer</t>
  </si>
  <si>
    <t>Lot 8B the Villages Clark Freeport Zone Philippines</t>
  </si>
  <si>
    <t>majesticworldrealty@gmail.com</t>
  </si>
  <si>
    <t>045-499-7817</t>
  </si>
  <si>
    <t>2019-696</t>
  </si>
  <si>
    <t>STOTSENBERG DEVELOPMENT INC</t>
  </si>
  <si>
    <t>Level 2 Stotsenberg Medical Center Building Ninoy Aquino Avenue Clark Freeport Zone Philippines</t>
  </si>
  <si>
    <t>smci_jesydizon@yahoo.com</t>
  </si>
  <si>
    <t>045 499-0494</t>
  </si>
  <si>
    <t>2019-628</t>
  </si>
  <si>
    <t>CHASTEN KIEN MANABAT VENTURA FUDBOL FOOD SERVICES</t>
  </si>
  <si>
    <t>Ventura</t>
  </si>
  <si>
    <t>Stall No 49 Mangan Tamu Food Strip R Cardinal Santos St Clark Freeport Zone Philippines</t>
  </si>
  <si>
    <t>venturajane70@gmail.com</t>
  </si>
  <si>
    <t>2019-692</t>
  </si>
  <si>
    <t>LEILANI MANALANG CAYLAOSOLIMAN LE_MIEUX CATERING SERVICES</t>
  </si>
  <si>
    <t>CAYLAOSOLIMAN</t>
  </si>
  <si>
    <t>LEILANI</t>
  </si>
  <si>
    <t>MANALANG</t>
  </si>
  <si>
    <t>Alpha Aviation Group  1088 Jose Abad Santos Avenue  Clark Freeport Zone Philippines</t>
  </si>
  <si>
    <t>lemieuxcaterings@gmail.com</t>
  </si>
  <si>
    <t>2019-598</t>
  </si>
  <si>
    <t>Unic4hij411</t>
  </si>
  <si>
    <t>GUTS BPO INCORPORATED</t>
  </si>
  <si>
    <t>GUIWA</t>
  </si>
  <si>
    <t>JEFFREY</t>
  </si>
  <si>
    <t>Office Number 507 5F Clark Center 07 Berthaphil Clark Center Jose Abad Santos Avenue Clark Freeport Zone Philippines</t>
  </si>
  <si>
    <t>jeff.gutsbpo@gmail.com</t>
  </si>
  <si>
    <t>2019-581</t>
  </si>
  <si>
    <t>ZAP EXPRESS GRILL CORPORATION</t>
  </si>
  <si>
    <t>VELILLA</t>
  </si>
  <si>
    <t>MAICY</t>
  </si>
  <si>
    <t>ACCOUNTING MANAGER</t>
  </si>
  <si>
    <t>Space No 03 Building C7 Clark Airmall Clark International Airport Civil Aviation Complex Clark Freeport Zone Philippines</t>
  </si>
  <si>
    <t>zapexpressgrill@yahoo.com</t>
  </si>
  <si>
    <t>2019-714</t>
  </si>
  <si>
    <t>Airmall</t>
  </si>
  <si>
    <t>AOG ENTERPRISE AND LINKS CO</t>
  </si>
  <si>
    <t>RAE ALLAN</t>
  </si>
  <si>
    <t>PANGILINAN</t>
  </si>
  <si>
    <t>Office No 512 5F Clark Center 07 Berthaphil Clark Center Jose Abad Santos Avenue Clark Freeport Zone Philippines</t>
  </si>
  <si>
    <t>raealland@yahoo.com</t>
  </si>
  <si>
    <t>2019-709</t>
  </si>
  <si>
    <t>THE DRAGON LUXURY INFINITY CORP</t>
  </si>
  <si>
    <t>NUQUE</t>
  </si>
  <si>
    <t>ANGELICA</t>
  </si>
  <si>
    <t>CORPORATE ADMIN ASSISTANT</t>
  </si>
  <si>
    <t>Room 119 Clark Welcome Center Office Suites Berthaphil VIII Compound SCTEX Road Clark Freeport Zone Philippines</t>
  </si>
  <si>
    <t>angelicanuque1@gmail.com</t>
  </si>
  <si>
    <t>2019-620</t>
  </si>
  <si>
    <t>YANMAR ASIA SINGAPORE CORPORATION PTE LTD  PHILIPPINE BRANCH</t>
  </si>
  <si>
    <t>Irish Joyce</t>
  </si>
  <si>
    <t>Yanga</t>
  </si>
  <si>
    <t>Senior HR  Office Administrator</t>
  </si>
  <si>
    <t>BLDG 3 BERTHAPHIL II SOUTH BAYANIHAN ST JOSE ABAD SANTOS AVE CLARK FREEPORT ZONE</t>
  </si>
  <si>
    <t>irish_gonzales@yanmar.com</t>
  </si>
  <si>
    <t>2019-704</t>
  </si>
  <si>
    <t>Yascphb06302020</t>
  </si>
  <si>
    <t>PH MEMENTO INC</t>
  </si>
  <si>
    <t>ARMENA</t>
  </si>
  <si>
    <t>CHRISTIAN JOSEPH</t>
  </si>
  <si>
    <t>STORE AREA MANAGER</t>
  </si>
  <si>
    <t>International PreDeparture Area 2nd Floor CSB12 Clark International Airport Passenger Terminal Building Clark Civil Aviation Complex  Clark Freeport Zone Philippines</t>
  </si>
  <si>
    <t>cjhayarmena@yahoo.com</t>
  </si>
  <si>
    <t>2018-485</t>
  </si>
  <si>
    <t>ph485</t>
  </si>
  <si>
    <t>/uploads/file-1575594372293.jpg</t>
  </si>
  <si>
    <t>CATICLAN SOUVENIR AND GIFT INC</t>
  </si>
  <si>
    <t>STORE AREA MANGER</t>
  </si>
  <si>
    <t>Domestic PreDeparture Area DD08 Clark International Airport Passenger Terminal Building Clark Aviation Complex  Clark Freeport Zone Philippines</t>
  </si>
  <si>
    <t>2018-486</t>
  </si>
  <si>
    <t>CSGI486</t>
  </si>
  <si>
    <t>/uploads/file-1575595505234.jpg</t>
  </si>
  <si>
    <t>THERESA CATHERINE SINGUEO SACCUMAN HAPPYLIFE DETOX DRINKS</t>
  </si>
  <si>
    <t>De Lita</t>
  </si>
  <si>
    <t>Jackie Lou</t>
  </si>
  <si>
    <t>Stall No 7 Mangan Tamu Food Strip R Cardinal Santos St Clark Freeport Zone Philippines</t>
  </si>
  <si>
    <t>theresasaccuman@gmail.com</t>
  </si>
  <si>
    <t>0917 827 0808</t>
  </si>
  <si>
    <t>2019-644</t>
  </si>
  <si>
    <t>SHANGRILA CHINESE RESTAURANT CORP</t>
  </si>
  <si>
    <t>Stall No 9  10 Ground Floor Philmade Bldg Lot 1  2 corner Jose Abad Santos Avenue  E Quirino St Clark Freeport Zone Philippines</t>
  </si>
  <si>
    <t>2019-279</t>
  </si>
  <si>
    <t>ELMA PILA YUN ROYS PRINCESS CAFE</t>
  </si>
  <si>
    <t>Yun</t>
  </si>
  <si>
    <t>Elma</t>
  </si>
  <si>
    <t>Unit 101  102 ON Commercial Building Lot 1 E Aguinaldo Street Clark Freeport Zone Philippines</t>
  </si>
  <si>
    <t>0929 349 1050</t>
  </si>
  <si>
    <t>2019-722</t>
  </si>
  <si>
    <t>Elmayun7</t>
  </si>
  <si>
    <t>MINGCLUB SPORTS INC</t>
  </si>
  <si>
    <t>Stall No 201  202 2nd Floor Philmade Building Lot12 corner Jose Abad Santos Avenue and E Quirino Street  Clark Freeport Zone Philippines</t>
  </si>
  <si>
    <t>2019-689</t>
  </si>
  <si>
    <t>GOHAN FOOD HUB</t>
  </si>
  <si>
    <t>Mark Chester</t>
  </si>
  <si>
    <t>Stall No 65 Mangan Tamu food Strip R Crdinal Santos St  Clark Freeport Zone Philippines</t>
  </si>
  <si>
    <t>basilio.chester@gmail.com</t>
  </si>
  <si>
    <t>0917-3166-205</t>
  </si>
  <si>
    <t>2019-633</t>
  </si>
  <si>
    <t>/uploads/file-1578536262053.jpg</t>
  </si>
  <si>
    <t>MARIO DARE SUBA FIVE MARS CHICKEN FOOD HOUSE</t>
  </si>
  <si>
    <t>Dare</t>
  </si>
  <si>
    <t>Stall No 55 Mangan Tamu Food Strip R Cardinal Santos St  Clark Freeport Zone Philippines</t>
  </si>
  <si>
    <t>0936-8568-494</t>
  </si>
  <si>
    <t>2019-664</t>
  </si>
  <si>
    <t>ERWIN YAMZON CABIGTING RATANOUILLES FRIED NOODLES FOOD STALL</t>
  </si>
  <si>
    <t>Erwin</t>
  </si>
  <si>
    <t>Yamzon</t>
  </si>
  <si>
    <t>Stall No 51 Mangan Tamu Food Strip R Cardinal Santos St  Clark Freeport Zone Philippines</t>
  </si>
  <si>
    <t>winette49@yahoo.com</t>
  </si>
  <si>
    <t>2019-631</t>
  </si>
  <si>
    <t>canteenConcessionaire</t>
  </si>
  <si>
    <t>JAN MARCO PAMINTUAN ORFINADA TACOWARMA FOOD STALL</t>
  </si>
  <si>
    <t>Pacita</t>
  </si>
  <si>
    <t>Stall No 53 Mangan Tamu Food Strip R Cardinal Santos St Clark Freeport Zone Philippines</t>
  </si>
  <si>
    <t>jan_marco014@ymail.com</t>
  </si>
  <si>
    <t>0939-100-0762</t>
  </si>
  <si>
    <t>2019-653</t>
  </si>
  <si>
    <t>RHEA MACARAIG ANTONIO RICEBOX FOOD STALL</t>
  </si>
  <si>
    <t>Macaraig</t>
  </si>
  <si>
    <t>Stall No 47 Mangan Tamu Food Strip R Cardinal Santos St Clark Freeport Zone Philippines</t>
  </si>
  <si>
    <t>juicenricebox@gmail.com</t>
  </si>
  <si>
    <t>0916 531 5432</t>
  </si>
  <si>
    <t>2019-629</t>
  </si>
  <si>
    <t>RHEA MACARAIG ANTONIO JUICEBOX 143 FOOD STALL</t>
  </si>
  <si>
    <t>Stall No 45 Mangan Tamu Food Strip R Cardinal Santos St Clark Freeport Zone Philippines</t>
  </si>
  <si>
    <t>2019-637</t>
  </si>
  <si>
    <t>TWS VENTURES INC</t>
  </si>
  <si>
    <t>Castaeda</t>
  </si>
  <si>
    <t>Titat</t>
  </si>
  <si>
    <t>Lagdameo</t>
  </si>
  <si>
    <t>Hr In Charged</t>
  </si>
  <si>
    <t>Space No C5 Clark Air Mall Clark International Airport Clark Freeport Zone Philippines</t>
  </si>
  <si>
    <t>sweetvalleyfoods@gmail.com</t>
  </si>
  <si>
    <t>2019-577</t>
  </si>
  <si>
    <t>twsvi2019</t>
  </si>
  <si>
    <t>MICHAEL VINCENT PABUSTAN DIZON YADS DZONE FOOD HUB</t>
  </si>
  <si>
    <t>Sudio</t>
  </si>
  <si>
    <t>PatrisseAnne</t>
  </si>
  <si>
    <t>Cervantes</t>
  </si>
  <si>
    <t>Portion of Building C7 Clark Airmall Clark International Airport Clark Freeport Zone Philippines</t>
  </si>
  <si>
    <t>trishsudio.ers@gmail.com</t>
  </si>
  <si>
    <t>0928-196-1774</t>
  </si>
  <si>
    <t>2019-741</t>
  </si>
  <si>
    <t>POL VALDERRAMA BAGAYO JR RESDOL HANDICRAFT FASHION ACCESSORIES TRADING</t>
  </si>
  <si>
    <t>Bagayo Jr</t>
  </si>
  <si>
    <t>Pol</t>
  </si>
  <si>
    <t>Valderrama</t>
  </si>
  <si>
    <t>Stall No 103 Mangan Tamu Food Strip R Cardinal Santos St Clark Freeport Zone Philippines</t>
  </si>
  <si>
    <t>polbagayojr@yahoo.com</t>
  </si>
  <si>
    <t>0929 360 3106</t>
  </si>
  <si>
    <t>2019-665</t>
  </si>
  <si>
    <t>NANCY FERNANDEZ MONTERO TEAMOBILE MOBILE BEVERAGE SERVICES</t>
  </si>
  <si>
    <t>Montero</t>
  </si>
  <si>
    <t>Sonny</t>
  </si>
  <si>
    <t>Edale</t>
  </si>
  <si>
    <t>Stall No 3 Mangan Tamu Food Strip R Cardinal Santos St Clark Freeport Zone Philippines</t>
  </si>
  <si>
    <t>monterotwins2@gmail.com</t>
  </si>
  <si>
    <t>0977-138-0221</t>
  </si>
  <si>
    <t>2019-639</t>
  </si>
  <si>
    <t>KRISTINE ROSETE BENCIO KRISTENJOY FOOD STALL</t>
  </si>
  <si>
    <t>Bencio</t>
  </si>
  <si>
    <t>Rosete</t>
  </si>
  <si>
    <t>Stall No5 Mangan Tamu Food Strip R Cardinal Santos St Clark Freeport Zone Philippines</t>
  </si>
  <si>
    <t>kristenjoyfoodstall@gmail.com</t>
  </si>
  <si>
    <t>0906-434-4804</t>
  </si>
  <si>
    <t>2019-658</t>
  </si>
  <si>
    <t>JOHN HENRY BUENDIA MERCADO JOHNNYS FIRE GRILL</t>
  </si>
  <si>
    <t>John Henry</t>
  </si>
  <si>
    <t>Stall No31 Mangan Tamu Food Strip R Cardinal Santos St Clark Freeport Zone Philippines</t>
  </si>
  <si>
    <t>mercadojohn1987@yahoo.com.ph</t>
  </si>
  <si>
    <t>0915-811-0451</t>
  </si>
  <si>
    <t>2019-699</t>
  </si>
  <si>
    <t>ZARAH DELFIN RAMOS SHAWA MANIA FOOD HOUSE</t>
  </si>
  <si>
    <t>Zarah</t>
  </si>
  <si>
    <t>Stall No 10 Mangan Tamu Food Strip R Cardinal Santos St Clark Freeport Zone Philippines</t>
  </si>
  <si>
    <t>zcd_ramos@yahoo.com</t>
  </si>
  <si>
    <t>0923-566-0403</t>
  </si>
  <si>
    <t>2019-663</t>
  </si>
  <si>
    <t>OCC INCORPORATED</t>
  </si>
  <si>
    <t>Mungcal</t>
  </si>
  <si>
    <t>Rynel</t>
  </si>
  <si>
    <t>7th Floor Unit 1W703 One West Aeropark Clark Global City clark Civil Aviation Complex Clark Freeport Zone Philippines</t>
  </si>
  <si>
    <t>rynel.mungcal@ozlgroup.com</t>
  </si>
  <si>
    <t>2019-580</t>
  </si>
  <si>
    <t>ICTIndustry</t>
  </si>
  <si>
    <t>/uploads/file-1581917913160.png</t>
  </si>
  <si>
    <t>DFS AGGREGATES</t>
  </si>
  <si>
    <t>Gatmaitan</t>
  </si>
  <si>
    <t>Carlota</t>
  </si>
  <si>
    <t>Pontilo</t>
  </si>
  <si>
    <t>Bounded by Prince J Balagtas Avenue Sacobia River Bank CSEZ Clark Freeport Zone Philippines</t>
  </si>
  <si>
    <t>dfsaggregates@naver.com</t>
  </si>
  <si>
    <t>2019-768</t>
  </si>
  <si>
    <t>JETTA TRANSIT ELOGHISTICS INC</t>
  </si>
  <si>
    <t>Liwanag</t>
  </si>
  <si>
    <t>Office Center 06J1 Berthaphil Clark Center Jose Abad Santos Avenue Clark Freeport Zone Philippines</t>
  </si>
  <si>
    <t>jettatransit.acctg@gmail.com</t>
  </si>
  <si>
    <t>0905 581 1348</t>
  </si>
  <si>
    <t>2018-534</t>
  </si>
  <si>
    <t>JETTA TRANSIT ELOGISTICS INC</t>
  </si>
  <si>
    <t>ROCHELLE ANN</t>
  </si>
  <si>
    <t>Office Center 06J1 Berthaphil Clark CenterJose Abad Santos Avenue Clark Freeport Zone Philippines 2023</t>
  </si>
  <si>
    <t>jettahr19@gmail.com</t>
  </si>
  <si>
    <t>045-499-8626</t>
  </si>
  <si>
    <t>2019-1226</t>
  </si>
  <si>
    <t>RECLAIM HEALTH CARE ADMINISTRATIVE SERVICES CORPORATION</t>
  </si>
  <si>
    <t>Cababaro</t>
  </si>
  <si>
    <t>Neela</t>
  </si>
  <si>
    <t>Unit 1F2B  2C Philexcel Business Center 11 Philexcel Business Park MA Roxas Highway Clark Freeport Zone Philippines</t>
  </si>
  <si>
    <t>xyrieneela@gmail.com</t>
  </si>
  <si>
    <t>0928 623 3035</t>
  </si>
  <si>
    <t>2019-764</t>
  </si>
  <si>
    <t>/uploads/file-1678770550817.jpg</t>
  </si>
  <si>
    <t>HENG SHENG REALESTATE DEVELOPMENT INC</t>
  </si>
  <si>
    <t>Nuque</t>
  </si>
  <si>
    <t>Corporate Admin Assistant</t>
  </si>
  <si>
    <t>Unit 1017 Tower 2 Ode County Bldg CM Recto Highway Clark Freeport Zone Philippines</t>
  </si>
  <si>
    <t>0945 315 3650</t>
  </si>
  <si>
    <t>2019-745</t>
  </si>
  <si>
    <t>WYNHALL PROPERTIES INC</t>
  </si>
  <si>
    <t>Bonaobra</t>
  </si>
  <si>
    <t>Maria Madelon</t>
  </si>
  <si>
    <t>Feliciano</t>
  </si>
  <si>
    <t>Legal Assistant</t>
  </si>
  <si>
    <t>Unit 2F2 Philexcel Business Center 7 Philexcel Business Park M Roxas Highway Clark Freeport Zone Philippines</t>
  </si>
  <si>
    <t>madelon.bonaobra@gmail.com</t>
  </si>
  <si>
    <t>0966-764-3927</t>
  </si>
  <si>
    <t>2019-726</t>
  </si>
  <si>
    <t>MILLENNIUM PANASIA INFINITY  INC</t>
  </si>
  <si>
    <t>Alejah Chanel</t>
  </si>
  <si>
    <t>Beguiras</t>
  </si>
  <si>
    <t>Lot 12 along Andres Soriano Sr corner Claro M Recto Highway Clark Civil Aviation Complex Clark Freeport Zone Philippines</t>
  </si>
  <si>
    <t>infinitympai@gmail.com</t>
  </si>
  <si>
    <t>0928 534 0600</t>
  </si>
  <si>
    <t>2020-006</t>
  </si>
  <si>
    <t>/uploads/file-1578451308139.jpg</t>
  </si>
  <si>
    <t>TWAY AIR CO LTD</t>
  </si>
  <si>
    <t>Jessa Anne</t>
  </si>
  <si>
    <t>Regional Staff</t>
  </si>
  <si>
    <t>Office Unit No AO No 20 Domestic Arrival Clark International Airport Passenger Terminal Bldg Civil Aviation Complex Clark Freeport Zone Philippines</t>
  </si>
  <si>
    <t>jessa.r@twayair.com</t>
  </si>
  <si>
    <t>0955-322-4805</t>
  </si>
  <si>
    <t>2019-720</t>
  </si>
  <si>
    <t>CANELLE FOOD CORPORATION CINNABON PHILIPPINES</t>
  </si>
  <si>
    <t>Estupin</t>
  </si>
  <si>
    <t>Paitone</t>
  </si>
  <si>
    <t>Assitant Bakery Manager</t>
  </si>
  <si>
    <t>DPD14 Ground Floor Domestic PreDeparture Clark International Airport Passenger Terminal Building Civil Aviation Complex Clark Freeport Zone Philippines</t>
  </si>
  <si>
    <t>estupin@gmail.com</t>
  </si>
  <si>
    <t>0932 239 3273</t>
  </si>
  <si>
    <t>2019-769</t>
  </si>
  <si>
    <t>Skills and Placement Section</t>
  </si>
  <si>
    <t>Last Name</t>
  </si>
  <si>
    <t>First Name</t>
  </si>
  <si>
    <t>Middle Name</t>
  </si>
  <si>
    <t>CSR and Placement Division</t>
  </si>
  <si>
    <t>jobsatclark@gmail.com</t>
  </si>
  <si>
    <t>499-2265</t>
  </si>
  <si>
    <t>CSRPD2020</t>
  </si>
  <si>
    <t>Sample</t>
  </si>
  <si>
    <t>CSRPD</t>
  </si>
  <si>
    <t>DARLENE YVETTE CASTRO ALFONSO DYDC FOOD AND BEVERAGE STATION</t>
  </si>
  <si>
    <t>Darlene Yvette</t>
  </si>
  <si>
    <t>Ground Floor Kiosk No 3 Unit 1W116 and 1w117 One West Aeropark Building Clark Global City Clark Aviation Complex Clark Freeport Zone Philippines</t>
  </si>
  <si>
    <t>darlenealfonso23@gmail.com</t>
  </si>
  <si>
    <t>0920-2971-894</t>
  </si>
  <si>
    <t>2020-018</t>
  </si>
  <si>
    <t>PAI LI DEVELOPMENT CORP</t>
  </si>
  <si>
    <t>PEREZ</t>
  </si>
  <si>
    <t>ROBBIN</t>
  </si>
  <si>
    <t>PUBLIC RELATIONS AND LIAISON OFFICER</t>
  </si>
  <si>
    <t>J Abad Santos corner Claro M Recto Clark Freeport Zone Philippines</t>
  </si>
  <si>
    <t>pailidevelopmentcorp@gmail.com</t>
  </si>
  <si>
    <t>2019-775</t>
  </si>
  <si>
    <t>HANN DEVELOPMENT CORPORATION</t>
  </si>
  <si>
    <t>2019-763</t>
  </si>
  <si>
    <t>CDCL CLEANING SERVICES</t>
  </si>
  <si>
    <t>Pascua</t>
  </si>
  <si>
    <t>Evangelista</t>
  </si>
  <si>
    <t>Office Number S03 5F Clark Center 07 Berthaphil Clark Center MA Roxas Highway cor Jose Abad Santos Ave Clark Freeport Zone Philippines</t>
  </si>
  <si>
    <t>jepascua@beyonddnumber.com</t>
  </si>
  <si>
    <t>0917 307 5927</t>
  </si>
  <si>
    <t>2019-167</t>
  </si>
  <si>
    <t>CASEY EVARISTO SERRANO HSLS CONSUMER GOODS TRADING</t>
  </si>
  <si>
    <t>Casey</t>
  </si>
  <si>
    <t>Donggwang Building D Heights Resort T304 property Jose Abad Santos Avenue Clark Freeport Zone Philippines</t>
  </si>
  <si>
    <t>casetserrano1207@gmail.com</t>
  </si>
  <si>
    <t>0917 525 0051</t>
  </si>
  <si>
    <t>2020-011</t>
  </si>
  <si>
    <t>THL RESTO BAR</t>
  </si>
  <si>
    <t>Estepa</t>
  </si>
  <si>
    <t>Hanzel KImberly</t>
  </si>
  <si>
    <t>Fevidal</t>
  </si>
  <si>
    <t>Business Operations Officer</t>
  </si>
  <si>
    <t>Donggwang Building D Heights Resort T309 Jose Abad Santos Avenue Clark Freeport Zone Philippines</t>
  </si>
  <si>
    <t>hanzelkimberly.estepa@dheightsresort.com.ph</t>
  </si>
  <si>
    <t>0917-509-0137</t>
  </si>
  <si>
    <t>2020-001</t>
  </si>
  <si>
    <t>JOMAR OMEGA CAILLO JOMAR SPOON CANTEEN</t>
  </si>
  <si>
    <t>CAILLO</t>
  </si>
  <si>
    <t>JOMAR</t>
  </si>
  <si>
    <t>Ground Floor 7B KACC Philmade Bldg Lot 12 corner Jose Abad Santos Avenue and E Quirino Street Clark Freeport Zone Philippines</t>
  </si>
  <si>
    <t>jomarcaillo19@gmail.com</t>
  </si>
  <si>
    <t>0919-631-3359</t>
  </si>
  <si>
    <t>2019-616</t>
  </si>
  <si>
    <t>ATOMTRANS TECH CORP</t>
  </si>
  <si>
    <t>Durano</t>
  </si>
  <si>
    <t>Alleli Marie</t>
  </si>
  <si>
    <t>Bordon</t>
  </si>
  <si>
    <t>Human Resources Officer</t>
  </si>
  <si>
    <t>Unit 2 The Medical City Commercial Building 100 Gatwick Gateway Clark Global City  Clark Freeport Zone Philippines</t>
  </si>
  <si>
    <t>may.b@atcc.pro</t>
  </si>
  <si>
    <t>2020-044</t>
  </si>
  <si>
    <t>MARY GRACE FLORES LAXA MANGO SLUSHY FLOAT FOOD KIOSK</t>
  </si>
  <si>
    <t>Dimabuyo</t>
  </si>
  <si>
    <t>Nimar</t>
  </si>
  <si>
    <t>Baran</t>
  </si>
  <si>
    <t>Stall No 8 Mangan Tamu food Strip R cardinal Santos St Clark Freeport Zone Philippines</t>
  </si>
  <si>
    <t>ndimabuyo11@gmail.com</t>
  </si>
  <si>
    <t>0926-900-4622</t>
  </si>
  <si>
    <t>2020-065</t>
  </si>
  <si>
    <t>RLUX CONCEPTS COMPANY</t>
  </si>
  <si>
    <t>Taroy</t>
  </si>
  <si>
    <t>Marceliza</t>
  </si>
  <si>
    <t>Franchisee Manager</t>
  </si>
  <si>
    <t>Bk06  Bk 07 2nd Floor One  West Aeropark BuildingGlobal Gateway Logistics City Clark Freeport Zone Philippines</t>
  </si>
  <si>
    <t>mdavid0825@yahoo.com</t>
  </si>
  <si>
    <t>0916-627-6079</t>
  </si>
  <si>
    <t>2018-370</t>
  </si>
  <si>
    <t>MA TERESA SANTOS GONZALES BONJANG IHAWIHAW</t>
  </si>
  <si>
    <t>Lestee</t>
  </si>
  <si>
    <t>Stall No 46 Mangan Tamu Food Strip R Cardinal Santos St  Clark Freeport Zone Philippines</t>
  </si>
  <si>
    <t>louiegonzales651@gmail.com</t>
  </si>
  <si>
    <t>0915-029-9309</t>
  </si>
  <si>
    <t>2020-063</t>
  </si>
  <si>
    <t>PHYSICIANS BILLING SOLUTIONS INC</t>
  </si>
  <si>
    <t>Balicat</t>
  </si>
  <si>
    <t>Seguritan</t>
  </si>
  <si>
    <t>Unit 2F1B Philexcel Business Center 10 Philexcel Business Park M Roxas Highway Clark Freeport Zone Philippines</t>
  </si>
  <si>
    <t>reyb@physiciansbillingsolutions.net</t>
  </si>
  <si>
    <t>0917-550-7030</t>
  </si>
  <si>
    <t>2020-058</t>
  </si>
  <si>
    <t>DOUBLE 6 MANAGEMENT SERVICES CORPORATION</t>
  </si>
  <si>
    <t>Maureen</t>
  </si>
  <si>
    <t>Lot 4 Bldg No 5395 Kalayaan Road CM Recto Avenue Clark Freeport Zone Philippines</t>
  </si>
  <si>
    <t>maureen_canlas@double6s.com</t>
  </si>
  <si>
    <t>2019-652</t>
  </si>
  <si>
    <t>HARMONIC SYSTEM INCORPORATED</t>
  </si>
  <si>
    <t>Combento</t>
  </si>
  <si>
    <t>Noli</t>
  </si>
  <si>
    <t>Amada</t>
  </si>
  <si>
    <t>HR Lead</t>
  </si>
  <si>
    <t>Mabalacat Terminal along ClarkMabalacat Access Road CFZ Clark Freeport Zone Philippines</t>
  </si>
  <si>
    <t>noli@harmonicsystem.com</t>
  </si>
  <si>
    <t>0917 555 1548</t>
  </si>
  <si>
    <t>2020-062</t>
  </si>
  <si>
    <t>nolip@ssw0rd</t>
  </si>
  <si>
    <t>/uploads/file-1581637293406.png</t>
  </si>
  <si>
    <t>MARVIN SANTOS DEL ROSARIO OMAKASE SUSHI JAPANESE RESTAURANT</t>
  </si>
  <si>
    <t>Lumanog</t>
  </si>
  <si>
    <t>Jelyn</t>
  </si>
  <si>
    <t>Ground Floor 7A KACC Philmade Bldg Lot 12 corner Jose Abad Santos Avenue and E Quirino Street Clark Freeport Zone Philippines</t>
  </si>
  <si>
    <t>junemagbanua6164@gmail.com</t>
  </si>
  <si>
    <t>0907 511 1116</t>
  </si>
  <si>
    <t>2019-758</t>
  </si>
  <si>
    <t>RALPH LAWRENCE ANGELES FELICIANO TEAMOJI MILKTEA STATION</t>
  </si>
  <si>
    <t>Ralph Lawrence</t>
  </si>
  <si>
    <t>Stall No 33 Mangan Tamu Food Strip R Cardinal Santos St Clark Freeport Zone Philippines</t>
  </si>
  <si>
    <t>ralphlawrencefeliciano@gmail.com</t>
  </si>
  <si>
    <t>0935 850 4473</t>
  </si>
  <si>
    <t>2020-071</t>
  </si>
  <si>
    <t>KC PUNZALAN SALAS FOREST STEAK FOOD HUB</t>
  </si>
  <si>
    <t>KC</t>
  </si>
  <si>
    <t>Stall No 29 Mangan Tamu Food Strip R Cardinal Santos StClark Freeport Zone Philippines Clark Freeport Zone Philippines</t>
  </si>
  <si>
    <t>salas_kc@yahoo.com</t>
  </si>
  <si>
    <t>0975 583 2501</t>
  </si>
  <si>
    <t>2019-743</t>
  </si>
  <si>
    <t>SUSHIRESTO2020</t>
  </si>
  <si>
    <t>MICHELLE MIRANO GEBANA ELLA MELANIAS RESTAURANT</t>
  </si>
  <si>
    <t>Gebana</t>
  </si>
  <si>
    <t>ellamelaniasresto@gmail.com</t>
  </si>
  <si>
    <t>0906-582-9079</t>
  </si>
  <si>
    <t>2019-513</t>
  </si>
  <si>
    <t>EMR1954MOMMY</t>
  </si>
  <si>
    <t>/uploads/file-1589213338676.png</t>
  </si>
  <si>
    <t>CANDY CORNER PHILIPPINES INC doing business under the name and style of Candy Corner Formerly CANDY CORNER PHILIPPINE</t>
  </si>
  <si>
    <t>Liza</t>
  </si>
  <si>
    <t>Pasinabao</t>
  </si>
  <si>
    <t>Sales Staff</t>
  </si>
  <si>
    <t>IPD28 Second Floor International PreDeparture Clark International Airport Passenger Terminal Building Civil Aviation Complex Clark Freeport Zone Philippines</t>
  </si>
  <si>
    <t>lizagomez062391@gmail.com</t>
  </si>
  <si>
    <t>2019-636</t>
  </si>
  <si>
    <t>/uploads/file-1581584575346.jpg</t>
  </si>
  <si>
    <t>MARIGOLD LAUREANO VELASCO XIAO JIU GUAN RESTAURANT</t>
  </si>
  <si>
    <t>Stall No 208  209 Philmade Building Lot 1  2 corner Jose Abad Santos Avenue and E Quirino Street Clark Freeport Zone Philippines</t>
  </si>
  <si>
    <t>2019-624</t>
  </si>
  <si>
    <t>EUNICE AIZA CASURAO PENARANDA HSS CHINESE RESTAURANT</t>
  </si>
  <si>
    <t>Stall No 16 Lilly Hill Commercial Plaza CM Recto Highway Clark Freeport Zone Philippines</t>
  </si>
  <si>
    <t>2019-697</t>
  </si>
  <si>
    <t>DONENWOO PHI INC</t>
  </si>
  <si>
    <t>Manzano</t>
  </si>
  <si>
    <t>HR Compensation Benefits</t>
  </si>
  <si>
    <t>Office 4C Berthaphil III Clark Center Clark Freeport Zone Philippines</t>
  </si>
  <si>
    <t>compben.hrgiadas@gmail.com</t>
  </si>
  <si>
    <t>0922 810 4853</t>
  </si>
  <si>
    <t>2018-185</t>
  </si>
  <si>
    <t>HGIII CURRENCY TRADING INC</t>
  </si>
  <si>
    <t>Gueco</t>
  </si>
  <si>
    <t>Clark International Terminal 2 L3 CHS06 Third Level Check in Hall Landslide and L1 AHS 12 Ground Level Arrival Landslide</t>
  </si>
  <si>
    <t>romahg3@yahoo.com</t>
  </si>
  <si>
    <t>0933 624 1238</t>
  </si>
  <si>
    <t>2019-339</t>
  </si>
  <si>
    <t>Foreign Exchange</t>
  </si>
  <si>
    <t>/uploads/file-1583133742997.jpg</t>
  </si>
  <si>
    <t>Deato</t>
  </si>
  <si>
    <t>Ivy Rose</t>
  </si>
  <si>
    <t>ivyrosedeato@yahoo.com</t>
  </si>
  <si>
    <t>0936 475 5561</t>
  </si>
  <si>
    <t>CHRISTINE ABAD WANG ROYALLEGEND PALACE CHINESE RESTAURANT</t>
  </si>
  <si>
    <t>Wu</t>
  </si>
  <si>
    <t>Xyza</t>
  </si>
  <si>
    <t>Uson</t>
  </si>
  <si>
    <t>Commercial Unit B Puregold Building CM Recto corner P Kalaw Street  Clark Freeport Zone Philippines</t>
  </si>
  <si>
    <t>0927 411 1900</t>
  </si>
  <si>
    <t>2019-649</t>
  </si>
  <si>
    <t>JJ GIHON DEVELOPMENT INC</t>
  </si>
  <si>
    <t>Gihon Building J Abad Santos Avenue corner E Aguinaldo Street Clark Freeport Zone Philippines</t>
  </si>
  <si>
    <t>jjgihon@gmail.com</t>
  </si>
  <si>
    <t>2020-101</t>
  </si>
  <si>
    <t>Commercial Lessor</t>
  </si>
  <si>
    <t>ROYALTEA PHILIPPINES INC</t>
  </si>
  <si>
    <t>Marcos</t>
  </si>
  <si>
    <t>Angel Grace</t>
  </si>
  <si>
    <t>Nite</t>
  </si>
  <si>
    <t>Ground Floor Unit 2W114 Two West Aeropark Building Clark Global City Clark Civil Aviation Complex Clark Freeport Zone Philippines</t>
  </si>
  <si>
    <t>greatgempilipinas@gmail.com</t>
  </si>
  <si>
    <t>2019-723</t>
  </si>
  <si>
    <t>Refreshment Parlor</t>
  </si>
  <si>
    <t>Retail  WholeSale</t>
  </si>
  <si>
    <t>MAJESTIC VICTORY GENERAL BUSINESS SERVICES CORP</t>
  </si>
  <si>
    <t>Jaena Patricia</t>
  </si>
  <si>
    <t>Office Center 08R1 Clark Center Jose Abad Santos Avenue Clark Freeport Zone Philippines</t>
  </si>
  <si>
    <t>jha.aquino@majesticvictory.com</t>
  </si>
  <si>
    <t>0927-257-1287</t>
  </si>
  <si>
    <t>2020-090</t>
  </si>
  <si>
    <t>AUBREY PANAO CHOI CMEI MUSIC LOUNGE</t>
  </si>
  <si>
    <t>1F N1905 KTV Bldg Lohas Hotel Marimla Street Clark Freeport Zone Philippines</t>
  </si>
  <si>
    <t>2020-098</t>
  </si>
  <si>
    <t>CLARKBEE FOOD CORPORATION DOING BUSINESS UNDER THE NAME AND STYLE OF KRISPY KREME</t>
  </si>
  <si>
    <t>Blanco</t>
  </si>
  <si>
    <t>Ma Lutgarda</t>
  </si>
  <si>
    <t>Patague</t>
  </si>
  <si>
    <t>Assistant General Manager</t>
  </si>
  <si>
    <t>Portion of Building C2 Clark Airmall Clark International airport Civil Aviation Complex Clark Freeport Zone Philippines</t>
  </si>
  <si>
    <t>kk70164@krispykreme.com.ph</t>
  </si>
  <si>
    <t>0965-162-6670</t>
  </si>
  <si>
    <t>2020-043</t>
  </si>
  <si>
    <t>ECOSENTIA INTERNATIONAL TRADING CORPORATION</t>
  </si>
  <si>
    <t>Sally</t>
  </si>
  <si>
    <t>Tabradillo</t>
  </si>
  <si>
    <t>info@essenpia.com</t>
  </si>
  <si>
    <t>2019-479</t>
  </si>
  <si>
    <t>Private CDC</t>
  </si>
  <si>
    <t>AIR PHILIPPINES CORPORATION</t>
  </si>
  <si>
    <t>Assistant Station Officer</t>
  </si>
  <si>
    <t>Mezzanine Level Clark International Airport Passenger Terminal Building Clark Freeport Zone Philippines</t>
  </si>
  <si>
    <t>eymallari@pal.com.ph</t>
  </si>
  <si>
    <t>2016-616</t>
  </si>
  <si>
    <t>PHILIPPINE AIRLINES INC</t>
  </si>
  <si>
    <t>Kristine Joanne</t>
  </si>
  <si>
    <t>Dungo</t>
  </si>
  <si>
    <t>Station Officer</t>
  </si>
  <si>
    <t>kdgomez@pal.com.ph</t>
  </si>
  <si>
    <t>0998-993-8204</t>
  </si>
  <si>
    <t>2016-617</t>
  </si>
  <si>
    <t>JEJUAIR CO LTD</t>
  </si>
  <si>
    <t>McJason</t>
  </si>
  <si>
    <t>Pagsisihan</t>
  </si>
  <si>
    <t>Domestic Arrival Clark International Airport Passenger Terminal Bldg Civil Aviation Complex Clark Freeport Zone Philippines</t>
  </si>
  <si>
    <t>jejuair.co@gmail.com</t>
  </si>
  <si>
    <t>2020-131</t>
  </si>
  <si>
    <t>MANUEL TEE TAN BLUE TAXI</t>
  </si>
  <si>
    <t>Sumapig</t>
  </si>
  <si>
    <t>Analou</t>
  </si>
  <si>
    <t>Dolera</t>
  </si>
  <si>
    <t>Officerincharge</t>
  </si>
  <si>
    <t>Along CM Recto Highway beside Candaba Farm Fresh Market Clark Civil Aviation Complex  Clark Freeport Zone Philippines</t>
  </si>
  <si>
    <t>0935-150-7186</t>
  </si>
  <si>
    <t>2020-149</t>
  </si>
  <si>
    <t>UNIVERSAL ACCESS AND SYSTEMS SOLUTIONS PHILS INC</t>
  </si>
  <si>
    <t>Yuzon</t>
  </si>
  <si>
    <t>Jezenn</t>
  </si>
  <si>
    <t>Ground Floor Comclark Bldg N5664 M A Roxas Highway Clark Freeport Zone Philippines</t>
  </si>
  <si>
    <t>jyuzon@uas.com.ph</t>
  </si>
  <si>
    <t>2020-133</t>
  </si>
  <si>
    <t>GEMIK CLARK UNLIMITED SPORTS CLUB INCORPORATED</t>
  </si>
  <si>
    <t>LAURENCE JR</t>
  </si>
  <si>
    <t>SAMSON</t>
  </si>
  <si>
    <t>GEMIK CLARK UNLIMITED SPORTS CLUB INC</t>
  </si>
  <si>
    <t>gemik2019@gmail.com</t>
  </si>
  <si>
    <t>2020-036</t>
  </si>
  <si>
    <t>GEMIK2020</t>
  </si>
  <si>
    <t>Special Interrest</t>
  </si>
  <si>
    <t>BW MANUFACTURING CORPORATION</t>
  </si>
  <si>
    <t>Chriza May</t>
  </si>
  <si>
    <t>Bldg ABC J Abad Santos Cr Manunggal Street Clark Freeport Zone Philippines</t>
  </si>
  <si>
    <t>adminhr.bw@houseofcb.com</t>
  </si>
  <si>
    <t>499-5453</t>
  </si>
  <si>
    <t>2019-045</t>
  </si>
  <si>
    <t>DEVTRONIX LIMITED</t>
  </si>
  <si>
    <t>Desear</t>
  </si>
  <si>
    <t>Resident Agent</t>
  </si>
  <si>
    <t>mdg@devtronix.com</t>
  </si>
  <si>
    <t>2020-197</t>
  </si>
  <si>
    <t>DVX7777</t>
  </si>
  <si>
    <t>Representative Office</t>
  </si>
  <si>
    <t>ICT</t>
  </si>
  <si>
    <t>/uploads/file-1592799777909.jpeg</t>
  </si>
  <si>
    <t>JUNXUN CHEN WANFENG GROCERY</t>
  </si>
  <si>
    <t>Unit 4 Clark Square Mall Bldg 1 along CM Recto Avenue Corner J Topacio St Clark Freeport Zone Philippines</t>
  </si>
  <si>
    <t>wanfenggrocery@gmail.com</t>
  </si>
  <si>
    <t>047-252-6365</t>
  </si>
  <si>
    <t>2020-173</t>
  </si>
  <si>
    <t>Convenience  Store</t>
  </si>
  <si>
    <t>SEIMEN LEAL GUO DTCC CHINESE RESTAURANT</t>
  </si>
  <si>
    <t>Unit 3C Clark Square Mall 1 Bldg Along CM Recto Avenue Clark Civil Aviation Complex Clark Freeport Zone Philippines</t>
  </si>
  <si>
    <t>2019-713</t>
  </si>
  <si>
    <t>EL URBANWORK INC</t>
  </si>
  <si>
    <t>Padilla</t>
  </si>
  <si>
    <t>Katelyn</t>
  </si>
  <si>
    <t>LOT 12 BLOCK 3 CMUA THE VILLAGES CM RECTOHIGHWAY CLARK FREEPORT ZONE</t>
  </si>
  <si>
    <t>elurbanworkinc@gmail.com</t>
  </si>
  <si>
    <t>2020-182</t>
  </si>
  <si>
    <t>condominium</t>
  </si>
  <si>
    <t>ROMULO ALUDO URDANETA 3136 SHAXIAN SNACK HOUSE</t>
  </si>
  <si>
    <t>Urdaneta</t>
  </si>
  <si>
    <t>Myra</t>
  </si>
  <si>
    <t>Villa 3136 Edinburgh Street Fontana Leisure Parks Clark Freeport Zone Philippines</t>
  </si>
  <si>
    <t>myra0829_1975@yahoo.com</t>
  </si>
  <si>
    <t>0917 128 6941</t>
  </si>
  <si>
    <t>2020-226</t>
  </si>
  <si>
    <t>ROMULO ALUDO URDANETA 3137 CHAOSHAN  CASSEROLE EATERY</t>
  </si>
  <si>
    <t>3137 Edinburg Fontana Leisure Parks Clark Freeport Zone Philippines</t>
  </si>
  <si>
    <t>2020-230</t>
  </si>
  <si>
    <t>ROMULO ALUDO URDANETA 3144 Mini Grocery</t>
  </si>
  <si>
    <t>Villa 3144 Edinburgh Street Fontana Leisure Parks Clark Freeport Zone Philippines</t>
  </si>
  <si>
    <t>2020-235</t>
  </si>
  <si>
    <t>BUILDLAB INC</t>
  </si>
  <si>
    <t>Unit 312 KACC Bldg E Quirino St Clark Freeport Zone Pampanga</t>
  </si>
  <si>
    <t>buildlab2019@gmail.com</t>
  </si>
  <si>
    <t>0997-825-6645</t>
  </si>
  <si>
    <t>2020-217</t>
  </si>
  <si>
    <t>LAURA MARIE DUNLAP  LADUN RETAILING PHILIPPINE FAMILY MART CVS INC</t>
  </si>
  <si>
    <t>Dunlap</t>
  </si>
  <si>
    <t>Laura</t>
  </si>
  <si>
    <t>Franchisee</t>
  </si>
  <si>
    <t>Unit 8 Ground Floor clark Center 9 Berthaphil Clark Center Clark Freeport Zone Philippines</t>
  </si>
  <si>
    <t>laudunlap@gmail.com</t>
  </si>
  <si>
    <t>0917-620-4990</t>
  </si>
  <si>
    <t>2020-118</t>
  </si>
  <si>
    <t>VICTORIA TORRES GUIRON KAOJIANGHU RESTOBAR</t>
  </si>
  <si>
    <t>Gemena</t>
  </si>
  <si>
    <t>Mae Christine</t>
  </si>
  <si>
    <t>3143 Edinburg Street Fontana Fontan Leisure Parks  Clark Freeport Zone Philippines</t>
  </si>
  <si>
    <t>maechristinegemena001@gmail.com</t>
  </si>
  <si>
    <t>2020-237</t>
  </si>
  <si>
    <t>DGPAC PHILIPPINES INC</t>
  </si>
  <si>
    <t>Janella Ann</t>
  </si>
  <si>
    <t>AccountingAdmin</t>
  </si>
  <si>
    <t>Building 2  Office 2 Berthaphil IV Clark Civil Aviation Complex Clark Freeport Zone Clark Freeport Zone Philippines</t>
  </si>
  <si>
    <t>janella@dgpac.asia</t>
  </si>
  <si>
    <t>2019-073</t>
  </si>
  <si>
    <t>NOVA TEAM SOLUTIONS INC</t>
  </si>
  <si>
    <t>San Andres</t>
  </si>
  <si>
    <t>Unit B 2nd Floor Clark Center 10 Jose Abad Santos Avenue  Clark Freeport Zone Philippines</t>
  </si>
  <si>
    <t>April.gueco@novateamsolutions.com</t>
  </si>
  <si>
    <t>-63 917 841 1188</t>
  </si>
  <si>
    <t>2020-249</t>
  </si>
  <si>
    <t>HBP BUSINESS SERVICES INC</t>
  </si>
  <si>
    <t>Unit A 2nd floor Clark Maingate building MA Roxas highway Clark Freeport Zone</t>
  </si>
  <si>
    <t>angelrodriguez@halkinbp.com.au</t>
  </si>
  <si>
    <t>2020-157</t>
  </si>
  <si>
    <t>SilveMous3!</t>
  </si>
  <si>
    <t>DOTA AERO AVIATION SERVICES INC</t>
  </si>
  <si>
    <t>Yu Asensi</t>
  </si>
  <si>
    <t>Rob Lucio</t>
  </si>
  <si>
    <t>Portion of Bldg 7216 Civil Aviation Complex  Clark Freeport Zone Philippines</t>
  </si>
  <si>
    <t>2020-160</t>
  </si>
  <si>
    <t>EUNICE AIZA CASURAO PENARANDA XING JI SEAFOOD RESTAURANT</t>
  </si>
  <si>
    <t>Penaranda</t>
  </si>
  <si>
    <t>Eunice Aiza</t>
  </si>
  <si>
    <t>Casurao</t>
  </si>
  <si>
    <t>Ground Floor Residence 3 Building Fontana Leisure Parks Clark Freeport Zone Philippines</t>
  </si>
  <si>
    <t>eunicepenaranda568@gmail.com</t>
  </si>
  <si>
    <t>2020-267</t>
  </si>
  <si>
    <t>MICHAELA FIERA MACALINGA WENG QUAN JIA CHUN RESTAURANT and  BEAUTYS TOUCH SALON</t>
  </si>
  <si>
    <t>Weng</t>
  </si>
  <si>
    <t>Michaela Fiera</t>
  </si>
  <si>
    <t>Macalinga</t>
  </si>
  <si>
    <t>Villa 3148 Edinburg Street Fontana Leisure Park Clark Freeport Zone Philippines</t>
  </si>
  <si>
    <t>michaelaweng5@gmail.com</t>
  </si>
  <si>
    <t>2020-228</t>
  </si>
  <si>
    <t>MICHAELA FIERA MACALINGA WENG BO FEI TE BAKERY</t>
  </si>
  <si>
    <t>Michaela Feira</t>
  </si>
  <si>
    <t>Villa 3141 Edinburg Street Fontana Leisure Park Clark Freeport Zone Philippines</t>
  </si>
  <si>
    <t>2020-255</t>
  </si>
  <si>
    <t>FAMILY CARS INC</t>
  </si>
  <si>
    <t>Renz</t>
  </si>
  <si>
    <t>LGC Automotive Services Bldg M A Roxas Highway Clark Freeport Zone Philippines</t>
  </si>
  <si>
    <t>2020-277</t>
  </si>
  <si>
    <t>/uploads/file-1599702081099.jpg</t>
  </si>
  <si>
    <t>FREEPORT CAFE CORPORATION</t>
  </si>
  <si>
    <t>Carbonel</t>
  </si>
  <si>
    <t>Aileen</t>
  </si>
  <si>
    <t>LGC Automotive Service Building MA Roxas Highway Clark Freeport Zone Philippines</t>
  </si>
  <si>
    <t>aileen.carbonel@tablegroup.com.ph</t>
  </si>
  <si>
    <t>0917-658-8365</t>
  </si>
  <si>
    <t>2017-404</t>
  </si>
  <si>
    <t>OZOO DEVELOPMENT CORPORATION</t>
  </si>
  <si>
    <t>Nam</t>
  </si>
  <si>
    <t>Christy</t>
  </si>
  <si>
    <t>M Sanguyu</t>
  </si>
  <si>
    <t>Corp Sec</t>
  </si>
  <si>
    <t>Unit 1F2A Philexcel Business Center 11 Philexcel Business Park M A Roxas Highway Clark Freeport Zone Philippines</t>
  </si>
  <si>
    <t>info.ozoodc@gmail.com</t>
  </si>
  <si>
    <t>2020-140</t>
  </si>
  <si>
    <t>INSEOK PARK CORP</t>
  </si>
  <si>
    <t>Cleofe</t>
  </si>
  <si>
    <t>Along Malago St  Clark Freeport Zone Philippines</t>
  </si>
  <si>
    <t>inseokpark.corp@gmail.com</t>
  </si>
  <si>
    <t>0927-229-4452</t>
  </si>
  <si>
    <t>2017-455</t>
  </si>
  <si>
    <t>VIARTPHILKOR INC</t>
  </si>
  <si>
    <t>Belleza</t>
  </si>
  <si>
    <t>Ranalan</t>
  </si>
  <si>
    <t>Admin Secretary</t>
  </si>
  <si>
    <t>Unit 32 PQR Philexcel Business Park MA Roxas Highway Clark Freeport Zone Philippines</t>
  </si>
  <si>
    <t>viartphilkor@gmail.com</t>
  </si>
  <si>
    <t>2020-356</t>
  </si>
  <si>
    <t>ZENAIDA LACSAMANA PATAWARAN GOODSMILE EVENT COORDINATION AND CATERING SERVICES</t>
  </si>
  <si>
    <t>Raymond</t>
  </si>
  <si>
    <t>Macapagal</t>
  </si>
  <si>
    <t>Doc Keeper</t>
  </si>
  <si>
    <t>Phase I Lot C2 of DB CPIP MA Roxas Highway Clark Freeport Zone Philippines</t>
  </si>
  <si>
    <t>quiambaomraymond928@gmail.com</t>
  </si>
  <si>
    <t>2019-464</t>
  </si>
  <si>
    <t>IGNITE TELECOMMUNICATIONS INC</t>
  </si>
  <si>
    <t>Varilla</t>
  </si>
  <si>
    <t>Cesar</t>
  </si>
  <si>
    <t>AVP for Network Engineering</t>
  </si>
  <si>
    <t>Office Center 05F1 Clark Center Jose Abad Santos Avenue Clark Freeport Zone Philippines</t>
  </si>
  <si>
    <t>projects@sourcetelecoms.com.ph</t>
  </si>
  <si>
    <t>0917-857-2428</t>
  </si>
  <si>
    <t>2020-300</t>
  </si>
  <si>
    <t>ignite2023</t>
  </si>
  <si>
    <t>NIHON DENKEI PHILIPPINES INC</t>
  </si>
  <si>
    <t>Sereno</t>
  </si>
  <si>
    <t>Roel</t>
  </si>
  <si>
    <t>Room 112  113 Clark Welcome Center Office Suites Lot 1 Berthaphil VIII Compound SCTEX Road Clark Freeport Zone Philippines</t>
  </si>
  <si>
    <t>sereno@n-denkei.com.ph</t>
  </si>
  <si>
    <t>-63- 49 530-9553 or 9683</t>
  </si>
  <si>
    <t>2020-258</t>
  </si>
  <si>
    <t>cdc.nihon2020</t>
  </si>
  <si>
    <t>Ecozone Logistics Service Enterprise</t>
  </si>
  <si>
    <t>/uploads/file-1603247013601.jpeg</t>
  </si>
  <si>
    <t>QROPS SERVICES OPC</t>
  </si>
  <si>
    <t>Orange</t>
  </si>
  <si>
    <t>Unit 2F2B Philexcel Business Center 10 Philexcel Business Park M A Roxas Highway Clark Freeport Zone Philippines</t>
  </si>
  <si>
    <t>o.delrosario@ivcm.com</t>
  </si>
  <si>
    <t>2020-296</t>
  </si>
  <si>
    <t>HR_Qrops23</t>
  </si>
  <si>
    <t>/uploads/file-1603274547453.png</t>
  </si>
  <si>
    <t>EZION PHILIPPINES CORPORATION</t>
  </si>
  <si>
    <t>Esteban</t>
  </si>
  <si>
    <t>Roxanne</t>
  </si>
  <si>
    <t>Unit 34C Philexcel Business Park MA Roxas Highway Clark Freeport Zone Philippines</t>
  </si>
  <si>
    <t>2020-276</t>
  </si>
  <si>
    <t>CATHERINE MANGSAL MOLINA 365 MIX MINI MART</t>
  </si>
  <si>
    <t>RONQUILLO</t>
  </si>
  <si>
    <t>JAMAICA</t>
  </si>
  <si>
    <t>Unit F Club Building Clark Hills Village Abacan  Chico Streets Clark Freeport Zone Philippines</t>
  </si>
  <si>
    <t>mix.36five@gmail.com</t>
  </si>
  <si>
    <t>0969-490-6562</t>
  </si>
  <si>
    <t>2020-029</t>
  </si>
  <si>
    <t>365Mixmini</t>
  </si>
  <si>
    <t>PRIMECLINIC PHILS INC</t>
  </si>
  <si>
    <t>Villa 3135 Fontana Leisure Park C M Recto Highway Clark Freeport Zone Philippines</t>
  </si>
  <si>
    <t>2020-380</t>
  </si>
  <si>
    <t>PREMIER OUTSOURCE PARTNERS INC</t>
  </si>
  <si>
    <t>Bagtas</t>
  </si>
  <si>
    <t>Rona Yveth</t>
  </si>
  <si>
    <t>Silvetsre</t>
  </si>
  <si>
    <t>Pavilion 07 Clark Center Jose Abad Santos Avenue Clark Freeport Zone Philippines</t>
  </si>
  <si>
    <t>admin@premieroutsourcing.com.au</t>
  </si>
  <si>
    <t>2020-396</t>
  </si>
  <si>
    <t>Popi2022</t>
  </si>
  <si>
    <t>STRONGHOLD INSURANCE COMPANY INC</t>
  </si>
  <si>
    <t>Sulit</t>
  </si>
  <si>
    <t>Rosalie</t>
  </si>
  <si>
    <t>Unit No 345 3rd Floor KACC Philmade Building Lot 12 corner Jose Abad Santos Avenue and E Quirino Street Clark Freeport Zone Philippines</t>
  </si>
  <si>
    <t>rosaliesulit78@gmail.com</t>
  </si>
  <si>
    <t>2020-349</t>
  </si>
  <si>
    <t>CHIEF INDUSTRIES ASIA CORPORATION</t>
  </si>
  <si>
    <t>Buidings 19 and 41 Philexcel Business Park MA Roxas Highway Clark Freeport Zone Philippines</t>
  </si>
  <si>
    <t>maricel.rosario@chiefind.ph</t>
  </si>
  <si>
    <t>499-3495</t>
  </si>
  <si>
    <t>2020-398</t>
  </si>
  <si>
    <t>GSS OPC Doing Business under Global Support and Services and Bamboo Express</t>
  </si>
  <si>
    <t>Anne Shiella Marie</t>
  </si>
  <si>
    <t>Business Operations Specialist</t>
  </si>
  <si>
    <t>Office Center 06H Clark Center Jose Abad Santos Avenue Clark Freeport Zone Philippines</t>
  </si>
  <si>
    <t>shiellav@cabreragroup.com.ph</t>
  </si>
  <si>
    <t>2020-388</t>
  </si>
  <si>
    <t>VIOLITO PULGA AGUSTIN JR   WINWIN FOOD HUB</t>
  </si>
  <si>
    <t>Violito Jr</t>
  </si>
  <si>
    <t>Pulga</t>
  </si>
  <si>
    <t>Villas 3139 3140   3147 Edinburg Street Fontana Hot Spring Leisure Parks Clark Freeport Zone Philippines</t>
  </si>
  <si>
    <t>agustinviolito@gmail.com</t>
  </si>
  <si>
    <t>0966-137-0034</t>
  </si>
  <si>
    <t>2020-343</t>
  </si>
  <si>
    <t>REY PINEDA HIPOLITO AIMIN MEDICAL CLINIC</t>
  </si>
  <si>
    <t>Kim Monique</t>
  </si>
  <si>
    <t>On Commercial Unit 202 Lot 1 E Aguinaldo Street Clark Freeport Zone Philippines</t>
  </si>
  <si>
    <t>mtpf.kimmoniquemanansala@gmail.com</t>
  </si>
  <si>
    <t>2020-304</t>
  </si>
  <si>
    <t>ABC123000</t>
  </si>
  <si>
    <t>ARBEES FOOD CORPORATION</t>
  </si>
  <si>
    <t>Mark John</t>
  </si>
  <si>
    <t>Simbulan</t>
  </si>
  <si>
    <t>1st Floor Area B SRD Bldg 1 E Jacinto St Clark Freeport Zone Philippines</t>
  </si>
  <si>
    <t>markjohnaguas062492@gmail.com</t>
  </si>
  <si>
    <t>2020-357</t>
  </si>
  <si>
    <t>/uploads/file-1755425893780.jpg</t>
  </si>
  <si>
    <t>MTD CLARK INC</t>
  </si>
  <si>
    <t>Ponce</t>
  </si>
  <si>
    <t>NGAC Building 1A Integrated Operation Center Bldg Aranguren Capas Tarlac Clark Freeport Zone Philippines</t>
  </si>
  <si>
    <t>joeyponce@gmail.com</t>
  </si>
  <si>
    <t>2020-324</t>
  </si>
  <si>
    <t>POSCO ECO  CHALLENGE CO LTD</t>
  </si>
  <si>
    <t>Larry</t>
  </si>
  <si>
    <t>Unit 306 3rd Floor KACC Bldg  Corner J Abad Santos Ave  E Quirino St Clark Freeport Zone Philippines</t>
  </si>
  <si>
    <t>hrad.posco@gmail.com</t>
  </si>
  <si>
    <t>2020-431</t>
  </si>
  <si>
    <t>/uploads/file-1611383195591.png</t>
  </si>
  <si>
    <t>DELUGETECH TRADING CORP</t>
  </si>
  <si>
    <t>Darrell</t>
  </si>
  <si>
    <t>Office Center 05L2 Clark Center Jose abad santos Avenue Clark Freeport Zone Philippines</t>
  </si>
  <si>
    <t>darrell@delugetech.com</t>
  </si>
  <si>
    <t>2020-419</t>
  </si>
  <si>
    <t>HOUSE FOR LESS DEVELOPMENT CORPORATION</t>
  </si>
  <si>
    <t>Pena</t>
  </si>
  <si>
    <t>Chief of Staff</t>
  </si>
  <si>
    <t>Unit 6 Clark Center 09 Clark Center Jose Abad Santos Avenue Clark Freeport Zone Philippines</t>
  </si>
  <si>
    <t>jeffpena.hfldc@gmail.com</t>
  </si>
  <si>
    <t>2020-322</t>
  </si>
  <si>
    <t>HFLDC1234</t>
  </si>
  <si>
    <t>AUSPH BGP INTERNATIONAL INC</t>
  </si>
  <si>
    <t>Cura</t>
  </si>
  <si>
    <t>Office Number 507 5th Floor Clark Center 07 Berthaphil Clark Center M A Roxas Highway cor Jose Abad Santos Avenue Clark Freeport Zone Philippines</t>
  </si>
  <si>
    <t>patrick_cura2@yahoo.com</t>
  </si>
  <si>
    <t>2020-474</t>
  </si>
  <si>
    <t>Ausphbgp2020</t>
  </si>
  <si>
    <t>OSM Manufacturing Philippines Corp</t>
  </si>
  <si>
    <t>Manlungat</t>
  </si>
  <si>
    <t>Janice</t>
  </si>
  <si>
    <t>Unit 2C Philexcel Annex E Quirino Street near Sapang Bato Gate Clark Freeport Zone Philippines</t>
  </si>
  <si>
    <t>janice.manlungat@osm.group</t>
  </si>
  <si>
    <t>2020-476</t>
  </si>
  <si>
    <t>OSMph2021</t>
  </si>
  <si>
    <t>/uploads/file-1610347489483.jpg</t>
  </si>
  <si>
    <t>URBAN NEST CLARK HILLS INC</t>
  </si>
  <si>
    <t>Netcha</t>
  </si>
  <si>
    <t>CSM Bldg 1 Unit 13 along CM Recto Highway corner J Topacio St Clark Civil Aviation Complex Clark Freeport Zone Clark Freeport Zone Philippines</t>
  </si>
  <si>
    <t>unclarkhills@gmail.com</t>
  </si>
  <si>
    <t>045-499-6677-6678</t>
  </si>
  <si>
    <t>2020-434</t>
  </si>
  <si>
    <t>NHKIDL NEW HOI KONG INTERNATIONAL DEVELOPMENT LTD CORP</t>
  </si>
  <si>
    <t>Office Center 05C2 Clark Center Jose Abad Santos Avenue Clark Freeport Zone Philippines</t>
  </si>
  <si>
    <t>newhoikong37@gmail.com</t>
  </si>
  <si>
    <t>2020-400</t>
  </si>
  <si>
    <t>Dog.lov3r2022</t>
  </si>
  <si>
    <t>GERALD ONG CHUA STAR LONG SUPERMARKET</t>
  </si>
  <si>
    <t>CSM Bldg 1 Unit 9 CM Recto Highway corner JTopacio St Clark Civil Aviation Complex Clark Freeport Zone Philippines</t>
  </si>
  <si>
    <t>2020-285</t>
  </si>
  <si>
    <t>AEHR TEST SYSTEMS PHILIPPINES INC</t>
  </si>
  <si>
    <t>Office Center 08AE Clark Center Jose Abad Santos Avenue Clark Freeport Zone Pampanga 2023</t>
  </si>
  <si>
    <t>jmasangkay@aehr.com</t>
  </si>
  <si>
    <t>2020-454</t>
  </si>
  <si>
    <t>Palms Secret Skin Enhancement and Beauty Services Co</t>
  </si>
  <si>
    <t>Taedo</t>
  </si>
  <si>
    <t>Maria Patricia</t>
  </si>
  <si>
    <t>Sosing</t>
  </si>
  <si>
    <t>Finance</t>
  </si>
  <si>
    <t>Unit 302 3rd FLoor  KACC Philmade Bldg Lot 12 corner Jose Abad Santos Avenue and E Quirino Street  Clark Freeport Zone Philippines</t>
  </si>
  <si>
    <t>palmsofficeclark@gmail.com</t>
  </si>
  <si>
    <t>2020-462</t>
  </si>
  <si>
    <t>Harryjohn7*</t>
  </si>
  <si>
    <t>ROBINSONS BANK CORPORATION</t>
  </si>
  <si>
    <t>Christine Anne</t>
  </si>
  <si>
    <t>Branch Operations Officer</t>
  </si>
  <si>
    <t>Ground Floor Unit 2W117 Two West Aeropark Building Clark Global City Clark Civil Aviation Complex Clark Freeport Zone Philippines</t>
  </si>
  <si>
    <t>clarkglobalcity@robinsonsbank.com.ph</t>
  </si>
  <si>
    <t>499-3486</t>
  </si>
  <si>
    <t>2020-446</t>
  </si>
  <si>
    <t>3rd Floor SRD Bldg 1 Bldg 2103 E Jacinto Street CM Recto Highway Clark Freeport Zone Philippines</t>
  </si>
  <si>
    <t>oozoouzuph@gmail.com</t>
  </si>
  <si>
    <t>2020-165</t>
  </si>
  <si>
    <t>URBAN NEST HOTEL AND GOLF RESORT INC</t>
  </si>
  <si>
    <t>Liaison OfficerAdmin</t>
  </si>
  <si>
    <t>CSM Building 1 Unit Unit 1A along corner of CM Recto Avenue corner J Topacio Road Clark Civil Aviation Clark Freeport Zone Clark Freeport Zone Philippines</t>
  </si>
  <si>
    <t>unhotelgolf@gmail.com</t>
  </si>
  <si>
    <t>2020-427</t>
  </si>
  <si>
    <t>RICKY ARCILLA JUDILLA THL RESTO BAR</t>
  </si>
  <si>
    <t>Judilla</t>
  </si>
  <si>
    <t>Ricky</t>
  </si>
  <si>
    <t>Donggwang Building DHeights Resort T309 Jose Abad Santos Avenue Clark Freeport Zone Philippines</t>
  </si>
  <si>
    <t>rickyjudilla.rj@gmail.com</t>
  </si>
  <si>
    <t>2020-404</t>
  </si>
  <si>
    <t>BREDDAS INC</t>
  </si>
  <si>
    <t>Capuso</t>
  </si>
  <si>
    <t>Jonnel</t>
  </si>
  <si>
    <t>s</t>
  </si>
  <si>
    <t>Head Accountant</t>
  </si>
  <si>
    <t>Building 19B Berthaphil 1 Compound Jose Abad Santos Avenue Clark Freeport Zone Philippines</t>
  </si>
  <si>
    <t>jonnelcapusoabc@yahoo.com</t>
  </si>
  <si>
    <t>0956-738-5154</t>
  </si>
  <si>
    <t>2019-057</t>
  </si>
  <si>
    <t>Software Developer</t>
  </si>
  <si>
    <t>MABUHAY TAXI CORPORATION Doing business under names and styles of Blue Taxi and Mabuhay Taxi</t>
  </si>
  <si>
    <t>Along CM Recto highway beside Candaba Farm fresh Market Clark Civil Aviation Complex Clark Freeport Zone Philippines</t>
  </si>
  <si>
    <t>599-8337</t>
  </si>
  <si>
    <t>2021-030</t>
  </si>
  <si>
    <t>WINVEST REALTY AND DEVELOPMENT CORPORATION</t>
  </si>
  <si>
    <t>Robbin</t>
  </si>
  <si>
    <t>Public Relations and Liaison Officer</t>
  </si>
  <si>
    <t>Lot 8B of The Villages Clark Freeport Zone Clark Freeport Zone Philippines</t>
  </si>
  <si>
    <t>robbinperez08@gmail.com</t>
  </si>
  <si>
    <t>2020-210</t>
  </si>
  <si>
    <t>NACPIL MARQUEZ FOOD INC</t>
  </si>
  <si>
    <t>Marquez</t>
  </si>
  <si>
    <t>Herbert</t>
  </si>
  <si>
    <t>Escosio</t>
  </si>
  <si>
    <t>Diamond Canteen Philexcel Business Park MA Roxas Highway Clark Freeport Zone Philippines</t>
  </si>
  <si>
    <t>herbertlao27@gmail.com</t>
  </si>
  <si>
    <t>0905-247-1798</t>
  </si>
  <si>
    <t>2020-432</t>
  </si>
  <si>
    <t>YILANDS INC</t>
  </si>
  <si>
    <t>Joan Michelle</t>
  </si>
  <si>
    <t>Limlingan</t>
  </si>
  <si>
    <t>Bldg N7264 along CM Recto Highway Civil Aviation Complex Clark Freeport Zone Philippines</t>
  </si>
  <si>
    <t>jmichel_11@yahoo.com</t>
  </si>
  <si>
    <t>2019-523</t>
  </si>
  <si>
    <t>KOSMIC TECHNOLOGIES INC</t>
  </si>
  <si>
    <t>Pelino</t>
  </si>
  <si>
    <t>Perlyn</t>
  </si>
  <si>
    <t>HRPersonnel</t>
  </si>
  <si>
    <t>Building 53 Philexcel Business Park MA Roxas Highway Clark Freeport Zone Philippines</t>
  </si>
  <si>
    <t>admin@kosmicmedical.com</t>
  </si>
  <si>
    <t>2021-061</t>
  </si>
  <si>
    <t>SUNRISE TO SUNRISE GENERAL MERCHANDISE CORP</t>
  </si>
  <si>
    <t>Sarno</t>
  </si>
  <si>
    <t>LC1 Commercial Bldg of Monterrace Lake T309 DHeights Resorts Jose Abad Santos Avenue Clark Freeport Zone Philippines</t>
  </si>
  <si>
    <t>sarnojoyce@gmail.com</t>
  </si>
  <si>
    <t>2020-374</t>
  </si>
  <si>
    <t>RYAN MERCADO CALADIAO POSITIVE BUILDERS AND TRADING</t>
  </si>
  <si>
    <t>Musni</t>
  </si>
  <si>
    <t>Sherryl</t>
  </si>
  <si>
    <t>2nd Floor SRD Bldg 1 N2103 E Jacinto St Clark Freeport Zone Philippines</t>
  </si>
  <si>
    <t>private_shey@yahoo.com.ph</t>
  </si>
  <si>
    <t>2021-079</t>
  </si>
  <si>
    <t>positivebuilders2021</t>
  </si>
  <si>
    <t>ACCIONA CONSTRUCTION PHILIPPINES INC</t>
  </si>
  <si>
    <t>Reynaldo</t>
  </si>
  <si>
    <t>Cabatuan</t>
  </si>
  <si>
    <t>Unit 501502C 5th Floor One West Aeropark Bldg Gatwick Gateway Clark Global City Clark Freeport Mabalacat Pampanga</t>
  </si>
  <si>
    <t>reynaldo.romero@acciona.com</t>
  </si>
  <si>
    <t>2021-023</t>
  </si>
  <si>
    <t>RICHARD SARMIENTO MARCELO BHARZ KITCHEN CATERING SERVICES</t>
  </si>
  <si>
    <t>Franco</t>
  </si>
  <si>
    <t>Jemima</t>
  </si>
  <si>
    <t>Barba</t>
  </si>
  <si>
    <t>Clark 1 Berthaphil 2 Berthaphil Compound Jose Abad Santos Avenue Clark Freeport Zone Philippines</t>
  </si>
  <si>
    <t>bharzkitchen@gmail.com</t>
  </si>
  <si>
    <t>2021-043</t>
  </si>
  <si>
    <t>ECO APPLICATION SOLUTIONS PHILIPPINES INCORPORATED doing business under the name and style of Philippine Airport Diagnos</t>
  </si>
  <si>
    <t>Geronimo</t>
  </si>
  <si>
    <t>Frances Vanne</t>
  </si>
  <si>
    <t>Palisoc</t>
  </si>
  <si>
    <t>Ground Floor International Arrival Hall Swabbing Area 2F One Stop Shop Clark International Airport Clark Freeport Zone Philippines</t>
  </si>
  <si>
    <t>hradm@padlab.ph</t>
  </si>
  <si>
    <t>2021-019</t>
  </si>
  <si>
    <t>ONE ZONE ASIA PHILIPPINES INC</t>
  </si>
  <si>
    <t>Juvielyn</t>
  </si>
  <si>
    <t>Senior Office and HR Manager</t>
  </si>
  <si>
    <t>Unit 2F 4B Philexcel Business Center 10 Philexcel Business Park M A Roxas Highway Clark Freeport Zone Philippines</t>
  </si>
  <si>
    <t>Juvielyn.Alipio@one-z.com</t>
  </si>
  <si>
    <t>2021-117</t>
  </si>
  <si>
    <t>Oz@p2024!!</t>
  </si>
  <si>
    <t>/uploads/file-1687411547697.png</t>
  </si>
  <si>
    <t>STELLA FOOTWEAR SAMPAGUITA SMP CORP</t>
  </si>
  <si>
    <t>Janine Angela</t>
  </si>
  <si>
    <t>Umali</t>
  </si>
  <si>
    <t>J Abad Santos Cor Manunggal St Clark Freeport Zone Pampanga Clark Freeport Zone Philippines</t>
  </si>
  <si>
    <t>eninajoniuqa@gmail.com</t>
  </si>
  <si>
    <t>2017-366</t>
  </si>
  <si>
    <t>WACHOVIA REALTY  DEVELOPMENT INC</t>
  </si>
  <si>
    <t>ANTHONETTE</t>
  </si>
  <si>
    <t>2324F PINATUBO ST</t>
  </si>
  <si>
    <t>2016-448</t>
  </si>
  <si>
    <t>wachovia</t>
  </si>
  <si>
    <t>BYUS DEVELOPMENT CORPORATION</t>
  </si>
  <si>
    <t>DANICA MAY</t>
  </si>
  <si>
    <t>SAN PEDRO</t>
  </si>
  <si>
    <t>Block 3 Lot 1 and 2A Block Commercial Mixed Use CMU B The Villages  Clark Freeport Zone Philippines</t>
  </si>
  <si>
    <t>byusdevelopment.corp@gmail.com</t>
  </si>
  <si>
    <t>2021-034</t>
  </si>
  <si>
    <t>HOTEL AND CONDOMINIUM</t>
  </si>
  <si>
    <t>ESCALONA AND FONACIER LAW OFFICES</t>
  </si>
  <si>
    <t>Sumat</t>
  </si>
  <si>
    <t>Monsher</t>
  </si>
  <si>
    <t>Unit C2 Ground Floor Clark Center 05 Clark Freeport Zone Philippines</t>
  </si>
  <si>
    <t>lawyers.ef@gmail.com</t>
  </si>
  <si>
    <t>2020-351</t>
  </si>
  <si>
    <t>ROCKPORT ADMINISTRATIVE SUPPORT SERVICES OPC</t>
  </si>
  <si>
    <t>Unit 1F 2B and 2C Philexcel Business Center 11 Philexcel Business Park M A Roxas Highway Clark Freeport Zone Philippines</t>
  </si>
  <si>
    <t>2021-068</t>
  </si>
  <si>
    <t>Rockport2021</t>
  </si>
  <si>
    <t>XHAUL LOGISTICS SOLUTIONS INC</t>
  </si>
  <si>
    <t>Sangalang</t>
  </si>
  <si>
    <t>510Cowork06 Office Number 506 5F Clark Center 07 Berthaphil Clark Center Jose Abad Santos Avenue Clark Freeport Zone Philippines</t>
  </si>
  <si>
    <t>xhaul.logistics.solutionsinc@gmail.com</t>
  </si>
  <si>
    <t>499-8435</t>
  </si>
  <si>
    <t>2021-021</t>
  </si>
  <si>
    <t>Presios Construction Corp</t>
  </si>
  <si>
    <t>Eingeline Nicole</t>
  </si>
  <si>
    <t>Unit 340 Lot 1 Lot 2 Corner J Abad Santos  Quirino St Clark Freeport Zone Angeles City Pampanga</t>
  </si>
  <si>
    <t>eynjisantos16@gmail.com</t>
  </si>
  <si>
    <t>2021-139</t>
  </si>
  <si>
    <t>Presios1234</t>
  </si>
  <si>
    <t>TA MARKETING INC DOING BUSINESS UNDER THE NAME AND STYLE OF ACCESS PLUS DUCATI MANILA AND DUCATI ALABANG</t>
  </si>
  <si>
    <t>Martinez</t>
  </si>
  <si>
    <t>Lanilyn</t>
  </si>
  <si>
    <t>Lantacon</t>
  </si>
  <si>
    <t>Human Resource Supervisor</t>
  </si>
  <si>
    <t>N6414 along MA Roxas Highway Clark Freeport Zone Philippines</t>
  </si>
  <si>
    <t>lanilyn.martinez@accessplus.com.ph</t>
  </si>
  <si>
    <t>2021-022</t>
  </si>
  <si>
    <t>OPTECH INDUSTRY SERVICES INC</t>
  </si>
  <si>
    <t>Colcol</t>
  </si>
  <si>
    <t>Geneca</t>
  </si>
  <si>
    <t>Sacayanan</t>
  </si>
  <si>
    <t>Unit 2D Philexcel Business Park Annex E Quirino Street Clark Freeport Zone Philippines</t>
  </si>
  <si>
    <t>geneca_optech.ph@outlook.com</t>
  </si>
  <si>
    <t>2021-011</t>
  </si>
  <si>
    <t>GLASSHUS FACADES SERVICES OPC</t>
  </si>
  <si>
    <t>Chavez</t>
  </si>
  <si>
    <t>Ma Cynthia Edelita</t>
  </si>
  <si>
    <t>Sison</t>
  </si>
  <si>
    <t>Office Number 515 5th Floor Clark Center 07 Berthaphil Clark Center M A Roxas Highway corner Jose Abad Santos Avenue Clark Freeport Zone Philippines</t>
  </si>
  <si>
    <t>edelschavez@gmail.com</t>
  </si>
  <si>
    <t>2021-120</t>
  </si>
  <si>
    <t>MICHAELA FIERA MACALINGA WENG XIONG DI CHAO SHI GROCERY</t>
  </si>
  <si>
    <t>Michaela</t>
  </si>
  <si>
    <t>Fiera</t>
  </si>
  <si>
    <t>Villa 3149 Edinburg Street Fontana Leisure Parks Clark Freeport Zone Philippines</t>
  </si>
  <si>
    <t>2021-031</t>
  </si>
  <si>
    <t>MICHAELA FIERA MACALINGA WENG LEWISCU MILKTEA SHOP</t>
  </si>
  <si>
    <t>Villa 3150 Edinburg Street Fontana Leisure Parks Clark Freeport Zone Philippines</t>
  </si>
  <si>
    <t>2021-028</t>
  </si>
  <si>
    <t>PHILIPPINE GLOBAL COMMUNICATIONS INC</t>
  </si>
  <si>
    <t>Pasamonte</t>
  </si>
  <si>
    <t>Jigs Michelle II</t>
  </si>
  <si>
    <t>Senior Planning Engineer</t>
  </si>
  <si>
    <t>Room 10 Philexcel Business Center 2 M A Roxas Highway Clark Freeport Zone Philippines</t>
  </si>
  <si>
    <t>Jigs.Pasamonte@philcom.com</t>
  </si>
  <si>
    <t>2021-057</t>
  </si>
  <si>
    <t>Philcomeng2021</t>
  </si>
  <si>
    <t>FEILI INTERNATIONAL BUSINESS TRAVEL AND TOURS INC</t>
  </si>
  <si>
    <t>Li</t>
  </si>
  <si>
    <t>Kunhe</t>
  </si>
  <si>
    <t>n</t>
  </si>
  <si>
    <t>Unit 2 Ground Floor Clark Center 10 Jose Abad Santos Clark Freeport Zone Pampanga</t>
  </si>
  <si>
    <t>kevin.lee@feiligogo.com</t>
  </si>
  <si>
    <t>2021-064</t>
  </si>
  <si>
    <t>feili1688</t>
  </si>
  <si>
    <t>Travel and Tours Srvice</t>
  </si>
  <si>
    <t>/uploads/file-1679443681234.png</t>
  </si>
  <si>
    <t>PACIFIC CROSS INSURANCE INC</t>
  </si>
  <si>
    <t>Mark Anthony</t>
  </si>
  <si>
    <t>Pambuena</t>
  </si>
  <si>
    <t>Territory Sales Manager</t>
  </si>
  <si>
    <t>Patient Registry The Medical City Commercial Building 100 Gatwick Gateway Clark Global City Clark Freeport Zone Philippines</t>
  </si>
  <si>
    <t>markanthony_gabriel@pacificcross.com.ph</t>
  </si>
  <si>
    <t>2021-032</t>
  </si>
  <si>
    <t>Insurance</t>
  </si>
  <si>
    <t>KMC MAG SOLUTIONS INC</t>
  </si>
  <si>
    <t>CantupayVitin</t>
  </si>
  <si>
    <t>Jovineth</t>
  </si>
  <si>
    <t>Sr Compliance Specialist</t>
  </si>
  <si>
    <t>5th Floor Unit 502 One West Aeropark Clark Global City Clark Civil Aviation Complex Clark Freeport Zone Clark Freeport Zone Philippines</t>
  </si>
  <si>
    <t>jovineth.cuntapay-vitin@kmc.solutions</t>
  </si>
  <si>
    <t>2019-548</t>
  </si>
  <si>
    <t>KMCS001</t>
  </si>
  <si>
    <t>ARMORED TRANSPORT PLUS INCORPORATED</t>
  </si>
  <si>
    <t>Bulan</t>
  </si>
  <si>
    <t>Francisco Jr</t>
  </si>
  <si>
    <t>DJ</t>
  </si>
  <si>
    <t>Infrastructure Manager</t>
  </si>
  <si>
    <t>Bldg 01 Berthaphil II South Industrial Park Bayanihan Street Clark Freeport Zone Philippines</t>
  </si>
  <si>
    <t>francisco.masiglat@atpi.com.ph</t>
  </si>
  <si>
    <t>2021-126</t>
  </si>
  <si>
    <t>LTIG PHILIPPINES REPRESENTATIVE OFFICE</t>
  </si>
  <si>
    <t>Building 7506 1st Floor Civil Aviation Complex Clark Freeport Zone Philippines</t>
  </si>
  <si>
    <t>2020-439</t>
  </si>
  <si>
    <t>VERTE PHILIPPINES BRANCH OFFICE</t>
  </si>
  <si>
    <t>Bldg 7505 Annex Bldg7506  1st and 2nd Floors Clark Civil Aviation Complex Clark Freeport Zone Philippines</t>
  </si>
  <si>
    <t>2020-448</t>
  </si>
  <si>
    <t>YUMMIA FOOD CONCEPTS CO  TANTOCOS EXPRESS</t>
  </si>
  <si>
    <t>Tantoco</t>
  </si>
  <si>
    <t>Glenn</t>
  </si>
  <si>
    <t>Galvez</t>
  </si>
  <si>
    <t>Managing Partner</t>
  </si>
  <si>
    <t>2F Waiting Area The Medical City Commercial Building 100 Gatwick Gateway Clark Global City Clark Freeport Zone Philippines</t>
  </si>
  <si>
    <t>glenntantoco@gmail.com</t>
  </si>
  <si>
    <t>2021-077</t>
  </si>
  <si>
    <t>VIRTUAL ALLIANCE SERVICES INC</t>
  </si>
  <si>
    <t>Abuy</t>
  </si>
  <si>
    <t>Abelea</t>
  </si>
  <si>
    <t>Unit 4 Clark Center 09 Berthaphil Clark Center M A Roxas Highway cor Jose Abad Santos Avenue Clark Freeport Zone Philippines</t>
  </si>
  <si>
    <t>hrvirtualv@gmail.com</t>
  </si>
  <si>
    <t>2021-013</t>
  </si>
  <si>
    <t>SCHERRIE YABUT AUSTRIA FRAN ZEE CANTEEN</t>
  </si>
  <si>
    <t>Bldg N5215 Lily Hill Road Gil Puyat Avenue Clark Freeport Zone Philippines</t>
  </si>
  <si>
    <t>goldenstone_hr@gmail.com</t>
  </si>
  <si>
    <t>2020-329</t>
  </si>
  <si>
    <t>MBS LOGISTICS CO</t>
  </si>
  <si>
    <t>KIPTE</t>
  </si>
  <si>
    <t>MARIFE</t>
  </si>
  <si>
    <t>VILLAMOR</t>
  </si>
  <si>
    <t>HRAdmin</t>
  </si>
  <si>
    <t>Warehouse 1G Berthaphil IV Compound Civil Aviation Complex Bonifacio Avenue Clark Freeport Zone Philippines</t>
  </si>
  <si>
    <t>accounting@mbs-logistics.com.ph</t>
  </si>
  <si>
    <t>2021-155</t>
  </si>
  <si>
    <t>BRIGADE DE CUISINE FOOD CORP</t>
  </si>
  <si>
    <t>LC3 Commercial Bldg of Monterrace Lake T309 Jose Abad Santos Avenue Dheights Resort Clark Freeport Zone Philippines</t>
  </si>
  <si>
    <t>brigadedecuisine.dheights@gmail.com</t>
  </si>
  <si>
    <t>2020-392</t>
  </si>
  <si>
    <t>PETER JUSTINE INIEGO LIM GROCERY 9</t>
  </si>
  <si>
    <t>Unit 44D and 45A Regency Park Townhouses Jose Abad santos Avenue Clark Freeport Zone Philippines</t>
  </si>
  <si>
    <t>0938-485-3715</t>
  </si>
  <si>
    <t>2021-223</t>
  </si>
  <si>
    <t>ARANAS CRUZ ARANETA PARKER  FAUSTINO LAW OFFICES</t>
  </si>
  <si>
    <t>Room 106 Clark Welcome Center Office Suites Berthaphil VIII Compound SCTEX Road Clark Freeport Zone Philippines</t>
  </si>
  <si>
    <t>shirleypamintuan.rmn@gmail.com</t>
  </si>
  <si>
    <t>0932-321-7826</t>
  </si>
  <si>
    <t>2021-215</t>
  </si>
  <si>
    <t>BEST JOINT GROUP VENTURE INC</t>
  </si>
  <si>
    <t>CM Recto Highway and Blue Diamonds Street Clark Civil Aviation Complex Clark Freeport Zone Philippines</t>
  </si>
  <si>
    <t>bestjointgroupventure@gmail.com</t>
  </si>
  <si>
    <t>2018-116</t>
  </si>
  <si>
    <t>Bestjoint1</t>
  </si>
  <si>
    <t>MINGCHAO INC</t>
  </si>
  <si>
    <t>Armida</t>
  </si>
  <si>
    <t>Unit 108 AB and C Bldg N1473 Rio Grande de Pampanga cor Abacan Sts Clark Freeport Zone Philippines</t>
  </si>
  <si>
    <t>Unit 108 A,B and C, Bldg. N1473 Rio Grande de Pampanga cor. Abacan Sts., Clark Freeport Zone, Philippines</t>
  </si>
  <si>
    <t>MINGCHAO, INC.</t>
  </si>
  <si>
    <t>HMK PRIMELAND CLARK INC</t>
  </si>
  <si>
    <t>Lot 2 and 3 MA Roxas Highway Clark Freeport Zone Philippines</t>
  </si>
  <si>
    <t>chibaresto@gmail.com</t>
  </si>
  <si>
    <t>2020-368</t>
  </si>
  <si>
    <t>hmkchiba21</t>
  </si>
  <si>
    <t>EXCLUSIVE CARS INTERNATIONAL HOLDINGS INC</t>
  </si>
  <si>
    <t>Winnie</t>
  </si>
  <si>
    <t>Unit 13 1 Clark Square Mall Bldg1 along CM Recto Avenue corner J Topacio Street Clark Freeport Zone Philippines</t>
  </si>
  <si>
    <t>sungawine@gmail.com</t>
  </si>
  <si>
    <t>2021-160</t>
  </si>
  <si>
    <t xml:space="preserve">Apartment no15 ILONGOT STVILLA GLORIA </t>
  </si>
  <si>
    <t>midzmunoz26@gmail.com</t>
  </si>
  <si>
    <t>2021-196</t>
  </si>
  <si>
    <t>CLARENCE KAYE DE ASIS NEULID JOYFULFARM CLARK KOREAN FRUITS AND VEGETABLES TRADING</t>
  </si>
  <si>
    <t>Ariola</t>
  </si>
  <si>
    <t>Lee Alejandro</t>
  </si>
  <si>
    <t>External Accountant</t>
  </si>
  <si>
    <t>Pavilion 21 Clark Center Jose Abad Santos Avenue Clark Freeport Zone Philippines</t>
  </si>
  <si>
    <t>leeariola@gmail.com</t>
  </si>
  <si>
    <t>2021-200</t>
  </si>
  <si>
    <t>JAFCOR DEVELOPMENT COMPANY INC</t>
  </si>
  <si>
    <t>Eclarinal</t>
  </si>
  <si>
    <t>Danica</t>
  </si>
  <si>
    <t>AdminHead</t>
  </si>
  <si>
    <t>Prince J Balagtas Extension Sacobia River Bank Clark Special Economic Zone Philippines Clark Freeport Zone Philippines</t>
  </si>
  <si>
    <t>kv.jdci@gmail.com</t>
  </si>
  <si>
    <t>2021-248</t>
  </si>
  <si>
    <t>CONVERGE INFORMATION AND COMMUNICATIONS TECHNOLOGY SOLUTIONS CLARK FREEPORT ZONE INC</t>
  </si>
  <si>
    <t>Sharina</t>
  </si>
  <si>
    <t>Recruitment Admin Specialist</t>
  </si>
  <si>
    <t>Portion of the ground floor area of Companys Office Building MA Roxas Highway Clark Freeport Zone Philippines</t>
  </si>
  <si>
    <t>sscanlas@convergeict.com</t>
  </si>
  <si>
    <t>2021-176</t>
  </si>
  <si>
    <t>UBE EXPRESS INC</t>
  </si>
  <si>
    <t>Castillanes</t>
  </si>
  <si>
    <t>Jerico</t>
  </si>
  <si>
    <t>Strategic Partnership Manager</t>
  </si>
  <si>
    <t>Cargohaus Bldg FAC No 7550 Clark International Airport Complex Clark Freeport Zone Philippines Clark Freeport Zone Philippines</t>
  </si>
  <si>
    <t>jcastillanes@ubeexpress.com</t>
  </si>
  <si>
    <t>2021-125</t>
  </si>
  <si>
    <t>/uploads/file-1621996985070.jpg</t>
  </si>
  <si>
    <t>LITTLE JACK HORNER SERVICES INC</t>
  </si>
  <si>
    <t>Rocky</t>
  </si>
  <si>
    <t>Cristobal</t>
  </si>
  <si>
    <t>Room 2B Business Arcade 2 Philexcel Business Park CFEZ</t>
  </si>
  <si>
    <t>rocky@littlejackhorner.com.au</t>
  </si>
  <si>
    <t>2019-485</t>
  </si>
  <si>
    <t>Jack2034!</t>
  </si>
  <si>
    <t>/uploads/file-1622010528956.png</t>
  </si>
  <si>
    <t>OLIVE AIR ENTERPRISES INC</t>
  </si>
  <si>
    <t>Christian Levy</t>
  </si>
  <si>
    <t>Banal</t>
  </si>
  <si>
    <t>christian.oliveair@gmail.com</t>
  </si>
  <si>
    <t>2020-441</t>
  </si>
  <si>
    <t>FarmoreRenovations Inc</t>
  </si>
  <si>
    <t>Agent</t>
  </si>
  <si>
    <t>Unit 334 Lot 1 and 2 Corner J Abad Santos Avenue and EQuirino Avenue Clark Freeport Zone Philippines</t>
  </si>
  <si>
    <t>farmorrenovationsinc@gmail.com</t>
  </si>
  <si>
    <t>2021-255</t>
  </si>
  <si>
    <t>FARMORE2021</t>
  </si>
  <si>
    <t>/uploads/file-1622518854005.png</t>
  </si>
  <si>
    <t>BROADBAND BROADCAST SERVICES PTE LTD  PHILIPPINE BRANCH</t>
  </si>
  <si>
    <t>Repuesto</t>
  </si>
  <si>
    <t>Allaine Rose</t>
  </si>
  <si>
    <t>Villamor</t>
  </si>
  <si>
    <t>Sr HR and Admin Manager</t>
  </si>
  <si>
    <t>Room 6 Philexcel Business Center 1 Philexcel Business Park M Roxas Highway Clark Freeport Zone Philippines</t>
  </si>
  <si>
    <t>allaine@absatellite.com</t>
  </si>
  <si>
    <t>2021-280</t>
  </si>
  <si>
    <t>agila07012010</t>
  </si>
  <si>
    <t>Telemcom</t>
  </si>
  <si>
    <t>DREAM BUCKETS HOLDINGS INC</t>
  </si>
  <si>
    <t>Office Number 510 Cowork05 5th Floor Clark Center 07 Berthaphil Clark Center M A Roxas Highway corner Jose Abad Santos Avenue Clark Freeport Zone Philippines</t>
  </si>
  <si>
    <t>2021-159</t>
  </si>
  <si>
    <t>SIMON  STANLEY INTERNATIONAL TRADING AND DEVELOPMENT CO INC</t>
  </si>
  <si>
    <t>Balibat</t>
  </si>
  <si>
    <t>Lyann</t>
  </si>
  <si>
    <t>Pavilion 19 Clark Center Jose Abad Santos Ave Clark Freeport Zone Philippines</t>
  </si>
  <si>
    <t>hrrecruitment.sentine@gmail.com</t>
  </si>
  <si>
    <t>0999-220-5218</t>
  </si>
  <si>
    <t>2021-209</t>
  </si>
  <si>
    <t>ShowroomTakeOut Order</t>
  </si>
  <si>
    <t>/uploads/file-1623146656660.jpg</t>
  </si>
  <si>
    <t>SIR SONNY REALTY  DEVT CORP</t>
  </si>
  <si>
    <t>Nortez</t>
  </si>
  <si>
    <t>Clark Sunvalley Jose Abad Santos Ave Clark Freeport Zone Philippines</t>
  </si>
  <si>
    <t>irene.nortez1122@gmail.com</t>
  </si>
  <si>
    <t>2021-227</t>
  </si>
  <si>
    <t>gaelmiel1122$</t>
  </si>
  <si>
    <t>private</t>
  </si>
  <si>
    <t>ALPHALAND AVIATION INC</t>
  </si>
  <si>
    <t>GATOC</t>
  </si>
  <si>
    <t>DIONALYN</t>
  </si>
  <si>
    <t>DALAORAO</t>
  </si>
  <si>
    <t>HR BENEFITS ADMINISTRATOR</t>
  </si>
  <si>
    <t>Brgy 185 Zone 19 Andrews Avenue Pasay City Metro Manila Philippines</t>
  </si>
  <si>
    <t>ddgatoc@alphaland.com.ph</t>
  </si>
  <si>
    <t>2020-254</t>
  </si>
  <si>
    <t>DINA PAMINTUAN MALLARI DEAMS ONLINE SHOP</t>
  </si>
  <si>
    <t>Dina</t>
  </si>
  <si>
    <t>Unit 327 3rd Floor KACC Philmade Bldg Lot 12 cor Jose Abad Santos Avenue and E Quirino St Clark Freeport Zone Philippines</t>
  </si>
  <si>
    <t>malyn08192011@gmail.com</t>
  </si>
  <si>
    <t>2020-437</t>
  </si>
  <si>
    <t>VCloud Interactive Inc</t>
  </si>
  <si>
    <t>Lacandola</t>
  </si>
  <si>
    <t>Ma Rica Lice</t>
  </si>
  <si>
    <t>Corporate Secretarty</t>
  </si>
  <si>
    <t>Lot A of Building 35 Philexcel Business Park M A Roxas Highway Clark Freeport Zone Philippines</t>
  </si>
  <si>
    <t>2021-190</t>
  </si>
  <si>
    <t>SYCIP GORRES VELAYO  CO</t>
  </si>
  <si>
    <t>Romelizza</t>
  </si>
  <si>
    <t>Admin Manager  Assistant Director  Business Enablement Services</t>
  </si>
  <si>
    <t>2nd Floor 2 Workplus Building Acacia Drive Filinvest Mimosa Leisure City Clark Freeport Zone Philippines</t>
  </si>
  <si>
    <t>Romelizza.A.Gonzales@ph.ey.com</t>
  </si>
  <si>
    <t>2019-258</t>
  </si>
  <si>
    <t>SinyangMugs Corporation</t>
  </si>
  <si>
    <t>Along Gil Puyat Avenue Clark Civil Aviation Complex Clark Freeport Zone Philippines</t>
  </si>
  <si>
    <t>racastillo.bacholors@gmail.com</t>
  </si>
  <si>
    <t>2021-331</t>
  </si>
  <si>
    <t>8H@usisBlue8</t>
  </si>
  <si>
    <t>HUBLINK TRADING CORP</t>
  </si>
  <si>
    <t>Rodessa</t>
  </si>
  <si>
    <t>Building 04 and 05 Berthaphil VI Industrial Park Panday Pira Avenue Clark Freeport Zone Philippines</t>
  </si>
  <si>
    <t>rputong@flitek.com</t>
  </si>
  <si>
    <t>2020-453</t>
  </si>
  <si>
    <t>FILHIGH BUILDERS TRADING AND GENERAL SERVICES CORPORATION</t>
  </si>
  <si>
    <t>Office Center 06E 2 Clark Center Jose Abad Santos Avenue Clark Freeport Zone Philippines</t>
  </si>
  <si>
    <t>russelleironhipolito07@gmail.com</t>
  </si>
  <si>
    <t>2021-226</t>
  </si>
  <si>
    <t>VINCENT ANTHONY TAN ROQUE NV CLARK DIAGNOSTIC LABORATORY</t>
  </si>
  <si>
    <t>Building 1C Berthaphil I Industrial Park Jose Abad Santos Avenue Clark Freeport Zone Philippines</t>
  </si>
  <si>
    <t>2020-411</t>
  </si>
  <si>
    <t>MARCELIZA DAVID TAROY ELLA MARTINA CATERING SERVICES INC</t>
  </si>
  <si>
    <t>Ground Floor 2WK102 Two West Aeropark Building Clark Global City Clark Civil Aviation Complex Clark Freeport Zone Philippines</t>
  </si>
  <si>
    <t>2021-333</t>
  </si>
  <si>
    <t>kiosk</t>
  </si>
  <si>
    <t>JOSE EMMANUEL DAVID CARLOS ONECARDAV MILKTEA SHOP</t>
  </si>
  <si>
    <t>Jose Emmanuel</t>
  </si>
  <si>
    <t>Unit 6 The Pavillion Mall Philexcel Business Park M Roxas Highway Clark Freeport Zone Philippines</t>
  </si>
  <si>
    <t>jc.carlos25@yahoo.com</t>
  </si>
  <si>
    <t>2021-322</t>
  </si>
  <si>
    <t>/uploads/file-1625846768837.png</t>
  </si>
  <si>
    <t>SHARLEEN BARRERA MAGDAY PINKPRINCESS COFFEE SHOP</t>
  </si>
  <si>
    <t>Balleta</t>
  </si>
  <si>
    <t>Unit 101 and 102 ON Commercial Building Lot 1 E Aguinaldo Street Clark Freeport Zone Philippines</t>
  </si>
  <si>
    <t>pinkprincesscoffeeshop@gmail.com</t>
  </si>
  <si>
    <t>2021-349</t>
  </si>
  <si>
    <t>KAMOGAWA COMMERCE  SERVICES INC</t>
  </si>
  <si>
    <t>Bete</t>
  </si>
  <si>
    <t>Leo</t>
  </si>
  <si>
    <t>Sales Engineer</t>
  </si>
  <si>
    <t>Unit 17F Philexcel  Business Park M Roxas Highway Clark Freeport Zone Philippines</t>
  </si>
  <si>
    <t>leo.bete@kamog.com.ph</t>
  </si>
  <si>
    <t>-63 918 807 7791</t>
  </si>
  <si>
    <t>2021-071</t>
  </si>
  <si>
    <t>WOW COW SEAFOODS ALABANG INC</t>
  </si>
  <si>
    <t>Eduardson</t>
  </si>
  <si>
    <t>Former Cafe Fontana and No 09 Kitchen restaurant New Clubhouse Building Fontana Leisure Parks  Clark Freeport Zone Philippines</t>
  </si>
  <si>
    <t>richardvelarde1281@gmail.com</t>
  </si>
  <si>
    <t>2021-171</t>
  </si>
  <si>
    <t>SEONG LIM CONSTRUCTION  DEVELOPMENT CORPORATION</t>
  </si>
  <si>
    <t>2nd Floor SRD II Bldg 2062 E Jacinto St Clark Freeport Zone Philippines</t>
  </si>
  <si>
    <t>2021-325</t>
  </si>
  <si>
    <t>D BARN FOOD HOUSE INC</t>
  </si>
  <si>
    <t>1st Floor Area A SRD Bldg 1 E Jacinto Street Clark Freeport Zone Philippines</t>
  </si>
  <si>
    <t>tomntomscoffeeclark@gmail.com</t>
  </si>
  <si>
    <t>2021-379</t>
  </si>
  <si>
    <t>/uploads/file-1682066030772.jpg</t>
  </si>
  <si>
    <t>PATRICIA JHAYE VELASQUEZ BONDOC MAGNIFICENT EVENTS PRODUCTION AND STYLING</t>
  </si>
  <si>
    <t>Patricia Jhaye</t>
  </si>
  <si>
    <t>Clark Center 06 Clark Center Berthaphil 2 Berthaphil Compound Jose Abad Santos Avenue Clark Freeport Zone Philippines</t>
  </si>
  <si>
    <t>patriciabondoc1497@gmail.com</t>
  </si>
  <si>
    <t>2021-282</t>
  </si>
  <si>
    <t>patgeff27</t>
  </si>
  <si>
    <t>PRECISEMED CARE INC</t>
  </si>
  <si>
    <t>Daquipil</t>
  </si>
  <si>
    <t>Rita</t>
  </si>
  <si>
    <t>Unit 1 Level 1 Stotsenberg Medical Center Building corner E Jacinto Street and Ninoy Aquino Avenue  Clark Freeport Zone Philippines</t>
  </si>
  <si>
    <t>precisemedcare@gmail.com</t>
  </si>
  <si>
    <t>2021-378</t>
  </si>
  <si>
    <t>Diagnostic Clinic and Laboratory</t>
  </si>
  <si>
    <t>/uploads/file-1641364691405.png</t>
  </si>
  <si>
    <t>RHEA MAE GONZALES LANDICHO DIDROYAL INTERNET CAFE</t>
  </si>
  <si>
    <t>Landicho</t>
  </si>
  <si>
    <t>Rhea Mae</t>
  </si>
  <si>
    <t>Unit 203 2nd Floor KACC Philmade Building Lot 12 corner Jose Abad Santos Avenue and E Quirino Street Clark Freeport Zone Philippines</t>
  </si>
  <si>
    <t>2019-459</t>
  </si>
  <si>
    <t>KAY JESUS ANG PINAS KJP INCORPORATED</t>
  </si>
  <si>
    <t>Salita</t>
  </si>
  <si>
    <t>Crizelda</t>
  </si>
  <si>
    <t>Bldg 18B Berthaphil I Industrial Compound Jose Abad Santos Avenue Clark Freeport Zone Philippines</t>
  </si>
  <si>
    <t>salita.crizelda@auf.edu.ph</t>
  </si>
  <si>
    <t>2021-269</t>
  </si>
  <si>
    <t>ADVANCE INTEGRATED GOLDEN GATEWAY CORP</t>
  </si>
  <si>
    <t>Austria</t>
  </si>
  <si>
    <t>Lot 2 Block 1 The Villages Lot 11 Kalayaan Road Prince Balagtas Avenue Clark Freeport Zone Philippines</t>
  </si>
  <si>
    <t>aiggc2020@gmail.com</t>
  </si>
  <si>
    <t>2020-115</t>
  </si>
  <si>
    <t>COMERCIO CENTRAL CREATIVE VENTURES INC</t>
  </si>
  <si>
    <t>OPIASA</t>
  </si>
  <si>
    <t>KRISTINE</t>
  </si>
  <si>
    <t>Along Cardinal Santos Avenue Clark Freeport Zone Philippines</t>
  </si>
  <si>
    <t>comerciocentralcfz@gmail.com</t>
  </si>
  <si>
    <t>2021-082</t>
  </si>
  <si>
    <t>UNITED ASIA AUTOMOTIVE GROUP INC</t>
  </si>
  <si>
    <t>Dimaano</t>
  </si>
  <si>
    <t>Atty Ruby Grace</t>
  </si>
  <si>
    <t>VP for Legal and Compliance</t>
  </si>
  <si>
    <t>Ground Floor Unit 101 102 103 and 104 The Petron Gas Retail Plaza Udenna Ave Clark Global City  Clark Freeport Zone Philippines</t>
  </si>
  <si>
    <t>rgdimaano@uaagi.com</t>
  </si>
  <si>
    <t>2021-389</t>
  </si>
  <si>
    <t>ONEWTEK ACCESS OPC</t>
  </si>
  <si>
    <t>4th Floor Kalayaan Road Midori Bldg CM Recto Highway Clark Freeport Zone Philippines</t>
  </si>
  <si>
    <t>045-6498298</t>
  </si>
  <si>
    <t>2021-390</t>
  </si>
  <si>
    <t>PKR CORPORATION</t>
  </si>
  <si>
    <t>Zabat</t>
  </si>
  <si>
    <t>Fe</t>
  </si>
  <si>
    <t>Lot 1 Block 1 CMU A The Villages CM Recto Highway Clark Freeport Zone Philippines</t>
  </si>
  <si>
    <t>fgzabat.kr@gmail.com</t>
  </si>
  <si>
    <t>2021-372</t>
  </si>
  <si>
    <t>08*16!</t>
  </si>
  <si>
    <t>TOPSERVE SERVICE SOLUTIONS INC</t>
  </si>
  <si>
    <t>Lising I</t>
  </si>
  <si>
    <t>Genefrey</t>
  </si>
  <si>
    <t>Senior Operation Specialist</t>
  </si>
  <si>
    <t>Room 118 Clark Welcome Center Office Suites Bethaphil VIII Compound SCTEX Road  Clark Freeport Zone Philippines</t>
  </si>
  <si>
    <t>gglising@topserve.com.ph</t>
  </si>
  <si>
    <t>2021-430</t>
  </si>
  <si>
    <t>GOLD AS DUST CORPORATION</t>
  </si>
  <si>
    <t>Mandocdoc</t>
  </si>
  <si>
    <t>Ivan Gabriel</t>
  </si>
  <si>
    <t>Olan</t>
  </si>
  <si>
    <t>Pavilion 13B Berthaphil Clark Center Jose Abad Santos Avenue Clark Freeport Zone Philippines</t>
  </si>
  <si>
    <t>ivanmandocdoc@gmail.com</t>
  </si>
  <si>
    <t>0929-881-8125</t>
  </si>
  <si>
    <t>2021-426</t>
  </si>
  <si>
    <t>LOGOS TELESERVICES INC</t>
  </si>
  <si>
    <t>Ocol</t>
  </si>
  <si>
    <t>John</t>
  </si>
  <si>
    <t>Irving</t>
  </si>
  <si>
    <t>Second Floor Clark Center 07 Clark Center Jose Abad Santos Avenue Clark Freeport Zone Philippines</t>
  </si>
  <si>
    <t>john.ocol@logostsi.com</t>
  </si>
  <si>
    <t>2021-358</t>
  </si>
  <si>
    <t>/uploads/file-1629441909642.png</t>
  </si>
  <si>
    <t>PHILIPPINES AIR ASIA INC</t>
  </si>
  <si>
    <t>Algas</t>
  </si>
  <si>
    <t>Jamie</t>
  </si>
  <si>
    <t>Employee Relations Executive</t>
  </si>
  <si>
    <t>Bldg 7579 Clark Civil Aviation Complex Clark Freeport Zone Philippines</t>
  </si>
  <si>
    <t>jamiealgas@airasia.com</t>
  </si>
  <si>
    <t>0915-889-7855</t>
  </si>
  <si>
    <t>2018-253</t>
  </si>
  <si>
    <t>LACANLALE AND BONIFACIO LAW FIRM</t>
  </si>
  <si>
    <t>Administrative Officer</t>
  </si>
  <si>
    <t>Unit No 321  323 3rd Floor Philmade Building Lot 12 corner Jose Abad Santos Avenue and E Quirino Street Clark Freeport Zone Philippines</t>
  </si>
  <si>
    <t>lsm.lblaw@gmail.com</t>
  </si>
  <si>
    <t>2021-256</t>
  </si>
  <si>
    <t>BELVEDERE VISTA CORPORATION</t>
  </si>
  <si>
    <t>Joshua</t>
  </si>
  <si>
    <t>MA Roxas Avenue corner Ninoy Aquino Avenue Clark Freeport Zone Philippines</t>
  </si>
  <si>
    <t>belvederevistacorporation@gmail.com</t>
  </si>
  <si>
    <t>2021-329</t>
  </si>
  <si>
    <t>ESabong</t>
  </si>
  <si>
    <t>SKYBEST LOGISTICS CORPORATION</t>
  </si>
  <si>
    <t>Olivas</t>
  </si>
  <si>
    <t>Julie Ann</t>
  </si>
  <si>
    <t>Room 4 Philexcel Business Arcade 1 Philexcel business Park MA Roxas Highway Clark Freeport Zone Philippines</t>
  </si>
  <si>
    <t>julie.ann07olivas@gmail.com</t>
  </si>
  <si>
    <t>2021-380</t>
  </si>
  <si>
    <t>JANET BASILIO CANLAS CAFE MESA ONE</t>
  </si>
  <si>
    <t>2078 Cardinal Santos Avenue Clark Freeport Zone Pampanga</t>
  </si>
  <si>
    <t>2016-262</t>
  </si>
  <si>
    <t>SFI MULTIMIX CORPORATION</t>
  </si>
  <si>
    <t>Batino</t>
  </si>
  <si>
    <t>Shea Mari</t>
  </si>
  <si>
    <t>Bldg 5270 along Claro M Recto Highway Clark Freeport Zone Philippines</t>
  </si>
  <si>
    <t>crl.hrd@sfi-multimix.com.ph</t>
  </si>
  <si>
    <t>499-1239</t>
  </si>
  <si>
    <t>2017-266</t>
  </si>
  <si>
    <t>humanresources</t>
  </si>
  <si>
    <t>TARGET LIGHTING MFTG CORP</t>
  </si>
  <si>
    <t>RIGOR</t>
  </si>
  <si>
    <t>MERRY JOY</t>
  </si>
  <si>
    <t>GALINGAN</t>
  </si>
  <si>
    <t>Building 02 Lot 1 Berthaphil VIII Compound along SCTEX Spur Road Clark Freeport Zone Philippines</t>
  </si>
  <si>
    <t>targetlighting001@gmail.com</t>
  </si>
  <si>
    <t>045-499-5920</t>
  </si>
  <si>
    <t>2019-202</t>
  </si>
  <si>
    <t>BGC PHILBUILDER INC</t>
  </si>
  <si>
    <t>PADILLA</t>
  </si>
  <si>
    <t>CHARMAINE</t>
  </si>
  <si>
    <t>SILVESTRE</t>
  </si>
  <si>
    <t>Unit 1F7 Business Center 3 Philexcel Business Park M A Roxas Highway Clark Freeport Zone Philippines</t>
  </si>
  <si>
    <t>hr@bgcphilbuilder.com</t>
  </si>
  <si>
    <t>hr-bgcphilbuilder-com</t>
  </si>
  <si>
    <t>2015-175</t>
  </si>
  <si>
    <t>HUBBLE MULTISPORT INC HMI</t>
  </si>
  <si>
    <t>DELA ROSA</t>
  </si>
  <si>
    <t>JOMARI</t>
  </si>
  <si>
    <t>Along E Jacinto St Clark Freeport Zone</t>
  </si>
  <si>
    <t>jomari.delarosa24@gmail.com</t>
  </si>
  <si>
    <t>2014-072</t>
  </si>
  <si>
    <t>SPT PHIL CLARK CORPORATION</t>
  </si>
  <si>
    <t>Paulino</t>
  </si>
  <si>
    <t>Lot 30 Philexcel Business Park M A Roxas Highway Clark Freeport Zone 2023</t>
  </si>
  <si>
    <t>Alma.Nunag@spt.net</t>
  </si>
  <si>
    <t>045- 499-1119</t>
  </si>
  <si>
    <t>2017-066</t>
  </si>
  <si>
    <t>DNATA TRAVEL INC</t>
  </si>
  <si>
    <t>Tan</t>
  </si>
  <si>
    <t>Marie Angeli</t>
  </si>
  <si>
    <t>Chiong</t>
  </si>
  <si>
    <t>Philexcel Business Center 8 Philexcel Business Park MA Roxas Highway Clark Freeport Zone Philippines</t>
  </si>
  <si>
    <t>CRKHR@dnata.com</t>
  </si>
  <si>
    <t>2014-196</t>
  </si>
  <si>
    <t>SFA SEMICON PHILIPPINES CORPORATION</t>
  </si>
  <si>
    <t>Kang</t>
  </si>
  <si>
    <t>Daekyu</t>
  </si>
  <si>
    <t>Business Support Group Head</t>
  </si>
  <si>
    <t>Panday Pira Ave cor Creekside Road Clark Freeport Zone Pampanga Philippines</t>
  </si>
  <si>
    <t>ssphr@sfasemicon.com</t>
  </si>
  <si>
    <t>045- 499-1714</t>
  </si>
  <si>
    <t>2017-003</t>
  </si>
  <si>
    <t>Semiconductor</t>
  </si>
  <si>
    <t>DURBAN REALTY CORPORATION</t>
  </si>
  <si>
    <t>MARYLYN</t>
  </si>
  <si>
    <t>MARIN</t>
  </si>
  <si>
    <t>Prince Balagtas Ave Clark Freeport Zone Pampanga</t>
  </si>
  <si>
    <t>marylyn.rivera@wvca.net.ph</t>
  </si>
  <si>
    <t>2015-099</t>
  </si>
  <si>
    <t>Durb4n1234</t>
  </si>
  <si>
    <t>KMAS Management Brunei Corporation</t>
  </si>
  <si>
    <t>AGLIBA</t>
  </si>
  <si>
    <t>JOY</t>
  </si>
  <si>
    <t>Unit 05E Berthaphil Office Center III  Clark Freeport Zone Clarkfield Pampanga</t>
  </si>
  <si>
    <t>joy@kmasmanagement.com</t>
  </si>
  <si>
    <t>2016-619</t>
  </si>
  <si>
    <t>ENVIRONMENTAL PRACTITIONERS ASSOCIATION INC</t>
  </si>
  <si>
    <t>Yasmin</t>
  </si>
  <si>
    <t>Secretariat</t>
  </si>
  <si>
    <t>Unit  333 Third Floor Philmade Bldg Lot 12 corner  J Abad Santos Street and E Quirino Street Clark Freeport Zone Philippines</t>
  </si>
  <si>
    <t>ymdizon@yahoo.com</t>
  </si>
  <si>
    <t>0917-539-2594</t>
  </si>
  <si>
    <t>2017-163</t>
  </si>
  <si>
    <t>LIZARDBEAR TASKING INC</t>
  </si>
  <si>
    <t>Reymond</t>
  </si>
  <si>
    <t>Oruga</t>
  </si>
  <si>
    <t>7th and 8th Floor Two West Aeropark Building Global Gateway Logistics City Clark Freeport Zone Philippines</t>
  </si>
  <si>
    <t>peza.compliance@taskus.com</t>
  </si>
  <si>
    <t>2018-057</t>
  </si>
  <si>
    <t>Call Center  BPO</t>
  </si>
  <si>
    <t>PRUDENCE DEVELOPMENT AND MANAGEMENT CORPORATION</t>
  </si>
  <si>
    <t>HR HEAD</t>
  </si>
  <si>
    <t>CLARK PAMPANGA</t>
  </si>
  <si>
    <t>hrd.pdmc@venvi.com</t>
  </si>
  <si>
    <t>0917-804-8722</t>
  </si>
  <si>
    <t>2017-183</t>
  </si>
  <si>
    <t>2020-04-27T16:00:00.000Z</t>
  </si>
  <si>
    <t>CEBU AIR INC</t>
  </si>
  <si>
    <t>Tabudlong</t>
  </si>
  <si>
    <t>Yedda Marie</t>
  </si>
  <si>
    <t>Marinas</t>
  </si>
  <si>
    <t>Talent Management Specialist</t>
  </si>
  <si>
    <t>corner of CM Recto Avenue and P Kalaw St Clark Freeport Zone Philippines</t>
  </si>
  <si>
    <t>yeddamarie.tabudlong@cebupacificair.com</t>
  </si>
  <si>
    <t>2018-066</t>
  </si>
  <si>
    <t>GLOBAL GROUP PHILIPPINES CERTIFICATION SERVICES LTD CO</t>
  </si>
  <si>
    <t>ELVIRA</t>
  </si>
  <si>
    <t>BUSINESS DEVELOPMENT COORDINATOR</t>
  </si>
  <si>
    <t>Office Number S01 5F Clark Center 07 Berthaphil Clark Center Jose Abad Santos Avenue Clark Freeport Zone Philippines</t>
  </si>
  <si>
    <t>elvira@gcl-intl.com</t>
  </si>
  <si>
    <t>2016-564</t>
  </si>
  <si>
    <t>YIREH RESOURCE AND DEVELOPMENT CORP  Doing business under the name and style of FIRST HERITAGE CLARK HOTEL</t>
  </si>
  <si>
    <t>AUSTRIA</t>
  </si>
  <si>
    <t>CORP SEC</t>
  </si>
  <si>
    <t>Bldg 2041 along Ninoy Aquino Avenue CFZ Clark Freeport Zone Philippines</t>
  </si>
  <si>
    <t>clarkhotelph.bldg2041@gmail.com</t>
  </si>
  <si>
    <t>2018-228</t>
  </si>
  <si>
    <t>DUJON CONSTRUCTION AND DEVELOPMENT CORP</t>
  </si>
  <si>
    <t>Cutiongco</t>
  </si>
  <si>
    <t>Corporate Office Room II Park View Village The Villages Lot 11 CMUB CM Recto Highway Clark Freeport Zone Philippines</t>
  </si>
  <si>
    <t>dujonconstruction@gmail.com</t>
  </si>
  <si>
    <t>045-599-8132</t>
  </si>
  <si>
    <t>2017-268</t>
  </si>
  <si>
    <t>EXPAT SOLUTIONS PHILIPPINES INC</t>
  </si>
  <si>
    <t>CONDE</t>
  </si>
  <si>
    <t>MA FRANCHISCA</t>
  </si>
  <si>
    <t>SAN ANDRES</t>
  </si>
  <si>
    <t>Unit 804 One West Aeropark bldg Clark Global City	 Clark Freeport Zone	 Philippines</t>
  </si>
  <si>
    <t>chesca@expatustax.com</t>
  </si>
  <si>
    <t>2017-067</t>
  </si>
  <si>
    <t>2019-01-30T16:00:00.000Z</t>
  </si>
  <si>
    <t>BERTHAPHIL INC</t>
  </si>
  <si>
    <t>Montecillo</t>
  </si>
  <si>
    <t>Berthaphil I Compound Jose Abad Santos Avenue Clark Freeport Zone Philippines</t>
  </si>
  <si>
    <t>grace@berthaphil.com</t>
  </si>
  <si>
    <t>599-5312</t>
  </si>
  <si>
    <t>2016-602</t>
  </si>
  <si>
    <t>Bertha_1999</t>
  </si>
  <si>
    <t>KOREAN APPLE CORE CORP</t>
  </si>
  <si>
    <t>Haldos</t>
  </si>
  <si>
    <t>Shaira</t>
  </si>
  <si>
    <t>Lots 1 and 2 Jose Abad Santos Avenue corner E Quirino Avenue Clark Freeport Zone Philippines</t>
  </si>
  <si>
    <t>haldosshaira@gmail.com</t>
  </si>
  <si>
    <t>4993190 - 09260210021</t>
  </si>
  <si>
    <t>2014-440</t>
  </si>
  <si>
    <t>SEW SEW YOU PHILIPPINE REPRESENTATIVE OFFICE</t>
  </si>
  <si>
    <t>Ivanna Marie</t>
  </si>
  <si>
    <t>Bldg 7506 Clark Civil Aviation Complex Clark Freeport Zone Philippines</t>
  </si>
  <si>
    <t>ivanna@sewsewyou.com</t>
  </si>
  <si>
    <t>2020-219</t>
  </si>
  <si>
    <t>STOTSENBERG LEISURE PARK  HOTEL CORPORATION</t>
  </si>
  <si>
    <t>Palconit</t>
  </si>
  <si>
    <t>Toni Rose</t>
  </si>
  <si>
    <t>along Gil Puyat Ave corner Andres Soriano St Clark Freeport Zone Philippines</t>
  </si>
  <si>
    <t>hrdirector@hotelstotsenberg.com</t>
  </si>
  <si>
    <t>0995-558-8857</t>
  </si>
  <si>
    <t>2014-339</t>
  </si>
  <si>
    <t>Hospitality Tourism</t>
  </si>
  <si>
    <t>Hotel and Casino</t>
  </si>
  <si>
    <t>NANOX PHILIPPINES INC</t>
  </si>
  <si>
    <t>Padua</t>
  </si>
  <si>
    <t>Jessa Reina</t>
  </si>
  <si>
    <t>Civil Aviation Complex near Clark South Interchange Clark Freeport Zone Clarkfield Pampanga 2023</t>
  </si>
  <si>
    <t>nxp.hrd.zz@j-display.com</t>
  </si>
  <si>
    <t>63-45-598-5600 loc 2003</t>
  </si>
  <si>
    <t>2017-053</t>
  </si>
  <si>
    <t>Nanox_1234</t>
  </si>
  <si>
    <t>Glass and Glass Products</t>
  </si>
  <si>
    <t>KOSMIC CLARK MEDICAL COMPANY INC</t>
  </si>
  <si>
    <t>Lailanie</t>
  </si>
  <si>
    <t>Navera</t>
  </si>
  <si>
    <t>Parts Room Coordinator</t>
  </si>
  <si>
    <t>Unit 22 G to K Philexcel Business Park MA Roxas Highway Clark Freeport Zone Philippines</t>
  </si>
  <si>
    <t>kosmicclark@gmail.com</t>
  </si>
  <si>
    <t>045- 599-5719</t>
  </si>
  <si>
    <t>2016-247</t>
  </si>
  <si>
    <t>RJ GLOBUS SOLUTIONS INC</t>
  </si>
  <si>
    <t>Arde</t>
  </si>
  <si>
    <t>Lizand Paolo</t>
  </si>
  <si>
    <t>Fenis</t>
  </si>
  <si>
    <t>ER Specialist</t>
  </si>
  <si>
    <t>Unit A 3rd Floor Clark Center 07 Berthaphil Clark Center Jose Abad Santos Avenue Clark Freeport Zone Philippines</t>
  </si>
  <si>
    <t>lizand.arde@datamatics.com</t>
  </si>
  <si>
    <t>2020-010</t>
  </si>
  <si>
    <t>SUMOSYS INC</t>
  </si>
  <si>
    <t>SANTIAGO</t>
  </si>
  <si>
    <t>GARY</t>
  </si>
  <si>
    <t>SENIOR MANAGER ADMIN</t>
  </si>
  <si>
    <t>Unit 3BC Philexcel Business Park Annex near Sapang Bato Gate Clark Freeport Zone Philippines</t>
  </si>
  <si>
    <t>garys@sumosys.com.ph</t>
  </si>
  <si>
    <t>0923-083-0353</t>
  </si>
  <si>
    <t>2019-559</t>
  </si>
  <si>
    <t>KAIXIN INTERNATIONAL CORPORATION</t>
  </si>
  <si>
    <t>Cathelyn</t>
  </si>
  <si>
    <t>Terrible</t>
  </si>
  <si>
    <t>N5310A Centennial Road Clark Freeport Zone Philippines</t>
  </si>
  <si>
    <t>cathelyndizon@yahoo.com</t>
  </si>
  <si>
    <t>2015-286</t>
  </si>
  <si>
    <t>Kaixin</t>
  </si>
  <si>
    <t>2018-09-13T16:00:00.000Z</t>
  </si>
  <si>
    <t>IRM AVIATION SECURITY INC</t>
  </si>
  <si>
    <t>Lawis</t>
  </si>
  <si>
    <t>Operation Officer</t>
  </si>
  <si>
    <t>Unit 17 J Philexcel Business Park MA Roxas Highway Clark Freeport Zone Philippines</t>
  </si>
  <si>
    <t>charles_cedric_17@yahoo.com</t>
  </si>
  <si>
    <t>0908-881-8520</t>
  </si>
  <si>
    <t>2015-222</t>
  </si>
  <si>
    <t>2016-02-28T16:00:00.000Z</t>
  </si>
  <si>
    <t>PROJECTS ADMINISTRATION AND CONTRACTING ENTERPRISE INC FORMERLY IMCO PHILIPPINES INC</t>
  </si>
  <si>
    <t>Puno</t>
  </si>
  <si>
    <t>HR DIrector</t>
  </si>
  <si>
    <t>Unit 704B 7th Floor One West Aeropark Building Clark Global City Clark Civil Aviation Complex Clark Freeport Zone Philippines</t>
  </si>
  <si>
    <t>JPuno@imcoconstruction.com</t>
  </si>
  <si>
    <t>2016-623</t>
  </si>
  <si>
    <t>BRIZAIR CORP</t>
  </si>
  <si>
    <t>Executive Asst</t>
  </si>
  <si>
    <t>Bldg 7256 Unit A2 CM Recto Highway Civil Complex Clark Freeport Zone Philippines</t>
  </si>
  <si>
    <t>brizair.corp@gmail.com</t>
  </si>
  <si>
    <t>499-8061</t>
  </si>
  <si>
    <t>2017-192</t>
  </si>
  <si>
    <t>SS CLARK TRADING   BUILDERS INC</t>
  </si>
  <si>
    <t>ANGIE</t>
  </si>
  <si>
    <t>719 Tower 3 Clark ODE County CM Recto Highway Clark Freeport Zone Philippines</t>
  </si>
  <si>
    <t>ssclark_2010@yahoo.com</t>
  </si>
  <si>
    <t>2016-461</t>
  </si>
  <si>
    <t>ssclark2010</t>
  </si>
  <si>
    <t>/uploads/file-1633404818696.png</t>
  </si>
  <si>
    <t>ASIAN AEROSPACE CORPORATION</t>
  </si>
  <si>
    <t>RONALD</t>
  </si>
  <si>
    <t>Bldg 7226 7233 Clark Aviation Complex Clark Freeport Zone Philippines</t>
  </si>
  <si>
    <t>mis@asianaerospace.com.ph</t>
  </si>
  <si>
    <t>045-4997777</t>
  </si>
  <si>
    <t>2016-600</t>
  </si>
  <si>
    <t>DIZON AGROINDUSTRIAL INC</t>
  </si>
  <si>
    <t>YBIERNAS</t>
  </si>
  <si>
    <t>LIMUEL</t>
  </si>
  <si>
    <t>Ammo Dump Area near Clark Water Treatment Facilities and High Edge projects Clark Freeport Zone Philippines</t>
  </si>
  <si>
    <t>daii_makati@yahoo.com.ph</t>
  </si>
  <si>
    <t>2016-427</t>
  </si>
  <si>
    <t>Agro Industrial</t>
  </si>
  <si>
    <t>TGA FOODS CORPORATION</t>
  </si>
  <si>
    <t>Taguinod</t>
  </si>
  <si>
    <t>N7179 Blue Diamond corner C M Recto Highway Clark Freeport Zone Philippines</t>
  </si>
  <si>
    <t>tgafoodscorp@gmail.com</t>
  </si>
  <si>
    <t>2016-393</t>
  </si>
  <si>
    <t>GLOBAL CATERING CLARK SERVICES CORP</t>
  </si>
  <si>
    <t>Lumanlan</t>
  </si>
  <si>
    <t>Josephine</t>
  </si>
  <si>
    <t>Section Head Support</t>
  </si>
  <si>
    <t>DAU</t>
  </si>
  <si>
    <t>JLumanlan@globalcatering.com.ph</t>
  </si>
  <si>
    <t>045- 499-0985 -950</t>
  </si>
  <si>
    <t>2016-341</t>
  </si>
  <si>
    <t>AIW INTERNATIONAL DEVELOPMENT CORP</t>
  </si>
  <si>
    <t>Ronan</t>
  </si>
  <si>
    <t>Unit 201  202 Bldg N1473 Rio Grande de Pampanga cor Abacan St Clark Freeport Zone Philippines</t>
  </si>
  <si>
    <t>aiw.hr2011@gmail.com</t>
  </si>
  <si>
    <t>2016-481</t>
  </si>
  <si>
    <t>EUNSAN PHILKO CORP</t>
  </si>
  <si>
    <t>Office Center 06J2 Clark Center Jose Abad Santos Avenue Clark Freeport Zone Philippines</t>
  </si>
  <si>
    <t>winniedventura@yahoo.com</t>
  </si>
  <si>
    <t>0917 744 5475</t>
  </si>
  <si>
    <t>2018-558</t>
  </si>
  <si>
    <t>Rm3123rdfloor</t>
  </si>
  <si>
    <t>FULLY ADVANCED MANPOWER SOLUTIONS INC</t>
  </si>
  <si>
    <t>Lindo</t>
  </si>
  <si>
    <t>Mariz</t>
  </si>
  <si>
    <t>Office Center 06I2 Berthaphil Clark Center Jose Abad Santos Avenue Clark Freeport Zone Philippines</t>
  </si>
  <si>
    <t>mariz.famsi@yahoo.com</t>
  </si>
  <si>
    <t>2015-272</t>
  </si>
  <si>
    <t>YIKIPHIL ENTERPRISE CORPORATION</t>
  </si>
  <si>
    <t>AGUILUS</t>
  </si>
  <si>
    <t>HR ADMIN OFFICER</t>
  </si>
  <si>
    <t>nikaaguilus06@gmail.com</t>
  </si>
  <si>
    <t>C2017-452</t>
  </si>
  <si>
    <t>yikiphil2021</t>
  </si>
  <si>
    <t>SSI CORPORATION</t>
  </si>
  <si>
    <t>YVES MAY</t>
  </si>
  <si>
    <t>VITUG</t>
  </si>
  <si>
    <t>Phase 3 Abacan and Chico Streets Clark Freeport Zone Philippines 2023 Clark Freeport Zone Philippines</t>
  </si>
  <si>
    <t>ssicorp2@gmail.com</t>
  </si>
  <si>
    <t>499-6125</t>
  </si>
  <si>
    <t>2018-492</t>
  </si>
  <si>
    <t>SSICORP1234</t>
  </si>
  <si>
    <t>DH PHILS ELECTRICAL CORP</t>
  </si>
  <si>
    <t>Lucilla</t>
  </si>
  <si>
    <t>Leonora</t>
  </si>
  <si>
    <t>Office Center 05C1 Berthaphil Clark Center Jose Abad Santos Avenue Clark Freeport Zone Philippines</t>
  </si>
  <si>
    <t>2017-105</t>
  </si>
  <si>
    <t>THE CASTAWAY FOIL COMPANY PTY LTD INC</t>
  </si>
  <si>
    <t>Unit 1F8 Philexcel Business Center 9 Philexcel Business Park MA Roxas Highway Clark Freeport Zone Philippines</t>
  </si>
  <si>
    <t>2016-067</t>
  </si>
  <si>
    <t>TANIKA PHILIPPINES CORPORATION</t>
  </si>
  <si>
    <t>PANTALEON</t>
  </si>
  <si>
    <t>MICHELLE</t>
  </si>
  <si>
    <t>Bldg 40 and 40A Philexcel Business Park M Roxas Highway Clark Freeport Zone Philippines</t>
  </si>
  <si>
    <t>pantaleonmichelle2497@gmail.com</t>
  </si>
  <si>
    <t>2017-027</t>
  </si>
  <si>
    <t>TANIKAPHILIPPINE</t>
  </si>
  <si>
    <t>SEA FLOW MARKETING CORPORATION</t>
  </si>
  <si>
    <t>Polison</t>
  </si>
  <si>
    <t>Marezyl</t>
  </si>
  <si>
    <t>Tinaghanao</t>
  </si>
  <si>
    <t>Philexcel Business Park MA Roxas Highway Clark Freeport Zone Philippines</t>
  </si>
  <si>
    <t>ptt.seaflow@gmail.com</t>
  </si>
  <si>
    <t>2016-230</t>
  </si>
  <si>
    <t>O  G LEATHER MFTG CORP</t>
  </si>
  <si>
    <t>ROLLAINE</t>
  </si>
  <si>
    <t>COSICO</t>
  </si>
  <si>
    <t>HR DIVISION CHIEF</t>
  </si>
  <si>
    <t>UNIT 4A1 PHILEXCEL BUSINESS PARK CLARK PAMPANGA</t>
  </si>
  <si>
    <t>hrd@og-mftg.com</t>
  </si>
  <si>
    <t>2017-114</t>
  </si>
  <si>
    <t>H3 TECHNOLOGY PHILS INC</t>
  </si>
  <si>
    <t>Rotea</t>
  </si>
  <si>
    <t>Ann Jennifer</t>
  </si>
  <si>
    <t>Valerio</t>
  </si>
  <si>
    <t>Admin OICAcctg Sup</t>
  </si>
  <si>
    <t>N2850 Bayanihan Street Jose Abad Santos Avenue Clark Freeport Zone Philippines</t>
  </si>
  <si>
    <t>jrotea@h3-technology.com</t>
  </si>
  <si>
    <t>045-499-0440 to 42</t>
  </si>
  <si>
    <t>2016-520</t>
  </si>
  <si>
    <t>2019-10-14T16:00:00.000Z</t>
  </si>
  <si>
    <t>Spicus</t>
  </si>
  <si>
    <t>Mary May</t>
  </si>
  <si>
    <t>Capid</t>
  </si>
  <si>
    <t>Human Resources Development  Project Manager</t>
  </si>
  <si>
    <t>UNIT 207 AND 208 ON COMMERCIAL BLDG LOT 1 E AGUINALDO ST CFZ</t>
  </si>
  <si>
    <t>joanne.spicus@gmail.com</t>
  </si>
  <si>
    <t>045-499-3315</t>
  </si>
  <si>
    <t>2015-008</t>
  </si>
  <si>
    <t>MINEMAN PACIFIC INC</t>
  </si>
  <si>
    <t>Vasquez</t>
  </si>
  <si>
    <t>Joji</t>
  </si>
  <si>
    <t>Henarios</t>
  </si>
  <si>
    <t>Regional Manager  Philippines</t>
  </si>
  <si>
    <t>Unit B Third Floor located at Main Gate Building Lot 03 Manuel Roxas Highway Clark Freeport Zone Philippines</t>
  </si>
  <si>
    <t>joji.vasquez@mineman.com</t>
  </si>
  <si>
    <t>02- 941-1129</t>
  </si>
  <si>
    <t>2017-093</t>
  </si>
  <si>
    <t>forMMPclark!</t>
  </si>
  <si>
    <t>Office  IT  BPO</t>
  </si>
  <si>
    <t>Software Service</t>
  </si>
  <si>
    <t>DBE FRUITS TRADING</t>
  </si>
  <si>
    <t>Mejia</t>
  </si>
  <si>
    <t>Allan</t>
  </si>
  <si>
    <t>Anzures</t>
  </si>
  <si>
    <t>Sales Representative</t>
  </si>
  <si>
    <t>Unit 17B Philexcel Business Park MA Roxas Highway Clark Freeport Zone Philippines</t>
  </si>
  <si>
    <t>allan.mejia@dbe.com.ph</t>
  </si>
  <si>
    <t>0999-224-2702</t>
  </si>
  <si>
    <t>2018-219</t>
  </si>
  <si>
    <t>FEDERAL EXPRESS PACIFIC LLC</t>
  </si>
  <si>
    <t>Alayon</t>
  </si>
  <si>
    <t>Aiko</t>
  </si>
  <si>
    <t>People Operations Coordinator Sr</t>
  </si>
  <si>
    <t>Clark Center 5 Ground Flr 2nd Floor and 3rd Floor Clark Center Jose Abad Santos Avenue Clark Freeport Zone Philippines</t>
  </si>
  <si>
    <t>FedEx-HRS_Philippines@corp.ds.fedex.com</t>
  </si>
  <si>
    <t>045 499 3759</t>
  </si>
  <si>
    <t>2016-543</t>
  </si>
  <si>
    <t>SUNTEST SEMICONDUCTOR PHILIPPINES CORP</t>
  </si>
  <si>
    <t>Jellyn</t>
  </si>
  <si>
    <t>Alfaro</t>
  </si>
  <si>
    <t>SFA Semicon Compound Panday Pira Ave cor Creekside Road Clark Freeport Zone Philippines</t>
  </si>
  <si>
    <t>suntest.semiconductor@gmail.com</t>
  </si>
  <si>
    <t>045-499-1965</t>
  </si>
  <si>
    <t>2016-029</t>
  </si>
  <si>
    <t>NCLUB INC</t>
  </si>
  <si>
    <t>Weill</t>
  </si>
  <si>
    <t>Frances Allysa</t>
  </si>
  <si>
    <t>Basanes</t>
  </si>
  <si>
    <t>Office Center 06K Clark Center Jose Abad Santos Avenue Clark Freeport  Zone Pampanga</t>
  </si>
  <si>
    <t>admin@nclubonline.com</t>
  </si>
  <si>
    <t>2016-300</t>
  </si>
  <si>
    <t>MICRO GENESIS CFZ INC</t>
  </si>
  <si>
    <t>CHANGCOCO</t>
  </si>
  <si>
    <t>KNYMN</t>
  </si>
  <si>
    <t>CLAUDIO</t>
  </si>
  <si>
    <t>ADMINSALES ASSISTANT</t>
  </si>
  <si>
    <t>Room 5 Philexcel Business Arcade 3 Philexcel Business Park M A Roxas Highway Clark Freeport Zone Philippines</t>
  </si>
  <si>
    <t>knymn.changcoco@mgenesis.com</t>
  </si>
  <si>
    <t>599 8172- 0927 071 3976</t>
  </si>
  <si>
    <t>2017-107</t>
  </si>
  <si>
    <t>GREEN PROPERTY BUILDERS INC</t>
  </si>
  <si>
    <t>Frany</t>
  </si>
  <si>
    <t>Stall No 5 2nd Floor Philmade Building Lot 1  2 corner Jose Abad Santos Avenue and E Quirino Street Clark Freeport Zone Philippines</t>
  </si>
  <si>
    <t>greenpropertymci@gmail.com</t>
  </si>
  <si>
    <t>2016-591</t>
  </si>
  <si>
    <t>gp2017</t>
  </si>
  <si>
    <t>SCHENKER PHILIPPINES INC</t>
  </si>
  <si>
    <t>Warehouse1C Berthaphil IV Compound A Bonifacio Avenue Clark Freeport Zone Philippines</t>
  </si>
  <si>
    <t>x0268612@ti.com</t>
  </si>
  <si>
    <t>406-8757</t>
  </si>
  <si>
    <t>2016-511</t>
  </si>
  <si>
    <t>DUTY FREE PHILIPPINES CORPORATION</t>
  </si>
  <si>
    <t>ACE ARCHIBALD</t>
  </si>
  <si>
    <t>OIC DFPC Clark</t>
  </si>
  <si>
    <t>Level 1 Arrival Hall Clark International Airport Terminal 2</t>
  </si>
  <si>
    <t>dfpclarkt2@gmail.com</t>
  </si>
  <si>
    <t>499-1231</t>
  </si>
  <si>
    <t>2015-240</t>
  </si>
  <si>
    <t>INNOVEN CONTENTS CENTER INC FORMERLY IVOLINE CONTENTS CENTER INC</t>
  </si>
  <si>
    <t>Marie Charmaine</t>
  </si>
  <si>
    <t>Domingo</t>
  </si>
  <si>
    <t>Bldg 5272 along CM Recto Highway Clark Freeport Zone Philippines</t>
  </si>
  <si>
    <t>ivohr_recruitment@outlook.com</t>
  </si>
  <si>
    <t>2013-600</t>
  </si>
  <si>
    <t>2021innoven</t>
  </si>
  <si>
    <t>DESIGNER2BUILDER Architecture and Construction</t>
  </si>
  <si>
    <t>ROMMEL</t>
  </si>
  <si>
    <t>GOPEZ</t>
  </si>
  <si>
    <t>PRESIDENT  PRINCIPAL ARCHITECT</t>
  </si>
  <si>
    <t>Office Center 06 F2 Berthaphil Clark Center Jose Abad Santos Avenue Clark Freeport Zone Philippines</t>
  </si>
  <si>
    <t>09226357355-09566425030</t>
  </si>
  <si>
    <t>2018-063</t>
  </si>
  <si>
    <t>CONNECTWISE PHILIPPINES INC</t>
  </si>
  <si>
    <t>Estela Maris</t>
  </si>
  <si>
    <t>Lino</t>
  </si>
  <si>
    <t>Unit A Third Floor Clark Center 7 Clark Center Jose Abad Santos Avenue Clark Freeport Zone Pampanga Philippines</t>
  </si>
  <si>
    <t>estela.serrano@ConnectWise.com</t>
  </si>
  <si>
    <t>0922-891-7329</t>
  </si>
  <si>
    <t>2021-163</t>
  </si>
  <si>
    <t>TANCORP MANUFACTURING INC</t>
  </si>
  <si>
    <t>Bianca Chris</t>
  </si>
  <si>
    <t>Laguisma</t>
  </si>
  <si>
    <t>Human ResourcesAdmin</t>
  </si>
  <si>
    <t>Unit 10C PLUS LOT A PHILEXCEL BUSINESS PARK M ROXAS HIGHWAY CLARK FREEPORT ZONE</t>
  </si>
  <si>
    <t>tancoropmanufacturinginc@gmail.com</t>
  </si>
  <si>
    <t>2019-647</t>
  </si>
  <si>
    <t>MULTITEK FASTENERS INCORPORATED</t>
  </si>
  <si>
    <t>HR Assistant Officer</t>
  </si>
  <si>
    <t>Bldg N4355 Panday Pira Avenue and Gil Puyat Highway Clark Freeport Zone Philippines</t>
  </si>
  <si>
    <t>mtfasteners_phil@yahoo.como.com.ph</t>
  </si>
  <si>
    <t>045-499-0818</t>
  </si>
  <si>
    <t>2014-264</t>
  </si>
  <si>
    <t>HAPPY LAND GROUP REAL ESTATE CORP FORMERLY MAT CHON CHICKEN INC</t>
  </si>
  <si>
    <t>Jeanibel</t>
  </si>
  <si>
    <t>Unit 44A Regency Park Townhomes Jose Abad Santos Ave Rio Grande and E Aguinaldo Streets Clark Freeport Zone Philippines</t>
  </si>
  <si>
    <t>happylandclark@gmail.com</t>
  </si>
  <si>
    <t>2019-740</t>
  </si>
  <si>
    <t>LA FORGE LIGHTING AND FURNITURE INC FORMERLY LA FORGE DESIGNS INC</t>
  </si>
  <si>
    <t>BLUE</t>
  </si>
  <si>
    <t>MAMANGUN</t>
  </si>
  <si>
    <t>Bldg 14  Berthaphil I Compound Jose Abad Santos Avenue Clark Freeport Zone Philippines</t>
  </si>
  <si>
    <t>hr@laforgedesignsinc.com</t>
  </si>
  <si>
    <t>499-0256</t>
  </si>
  <si>
    <t>2014-310</t>
  </si>
  <si>
    <t>Chandelier  Furniture and Crafts</t>
  </si>
  <si>
    <t>LANMEI AIRCRAFT MAINTENANCE PHILIPPINES INC</t>
  </si>
  <si>
    <t>Guerta</t>
  </si>
  <si>
    <t>Robbie</t>
  </si>
  <si>
    <t>Sarsaba</t>
  </si>
  <si>
    <t>Portion of Hangar 7588 Civil Aviation Complex Clark Freeport Zone Philippines</t>
  </si>
  <si>
    <t>robbie.guerta@lanmeiairlines.com</t>
  </si>
  <si>
    <t>2021-311</t>
  </si>
  <si>
    <t>ASIANA AIRLINES INC</t>
  </si>
  <si>
    <t>Vivien Joy</t>
  </si>
  <si>
    <t>Mendi</t>
  </si>
  <si>
    <t>Airport Supervisor</t>
  </si>
  <si>
    <t>L1008 B2 Level 1 Clark International Airport Terminal 2 Civil Aviation Complex Clark Freeport Zone Pampanga</t>
  </si>
  <si>
    <t>vivienrivera14@gmail.com</t>
  </si>
  <si>
    <t>2017-212</t>
  </si>
  <si>
    <t>JIN AIR Co Ltd</t>
  </si>
  <si>
    <t>Albert</t>
  </si>
  <si>
    <t>Asst Manager  Clark Station</t>
  </si>
  <si>
    <t>Level 2 012 Mezzanine level  Landside Clark International Airport terminal 2  Clark Freeport Zone  Pampanga Philippines 2023</t>
  </si>
  <si>
    <t>crkadm@jinair.com</t>
  </si>
  <si>
    <t>2015-227</t>
  </si>
  <si>
    <t>Airline</t>
  </si>
  <si>
    <t>HONG CHEON FOOD CORPORATION</t>
  </si>
  <si>
    <t>Bldg 7256 Unit C CM Recto Highway Civil Aviation Complex Clark Freeport Zone Philippines</t>
  </si>
  <si>
    <t>045-499-1618</t>
  </si>
  <si>
    <t>2018-163</t>
  </si>
  <si>
    <t>JTA ELECTRONICS PHILS CORPORATION</t>
  </si>
  <si>
    <t>BLDG 46 PHILEXCEL BUSINESS PARK MA ROXAS HIGHWAY CLARK FREEPORT ZONE</t>
  </si>
  <si>
    <t>-045- 499 5165</t>
  </si>
  <si>
    <t>2015-083</t>
  </si>
  <si>
    <t>GREEN ECO XPRESS INC</t>
  </si>
  <si>
    <t>Unit C3 Ground Floor Clark Center 05 Berthaphil Clark Center Jose Abad Santos Avenue Clark Freeport Zone Philippines</t>
  </si>
  <si>
    <t>s.roque@gex-inc.com</t>
  </si>
  <si>
    <t>045-499-8435</t>
  </si>
  <si>
    <t>2017-440</t>
  </si>
  <si>
    <t>SHOWA AIRCRAFT INDUSTRY PHILIPPINES INC</t>
  </si>
  <si>
    <t>Malig</t>
  </si>
  <si>
    <t>Unit 25C Philexcel Business Park M A Roxas Highway Clark Freeport Zone Philippines</t>
  </si>
  <si>
    <t>s.jane@showa-aircraft.co.jp</t>
  </si>
  <si>
    <t>2014-317</t>
  </si>
  <si>
    <t>Showa2017</t>
  </si>
  <si>
    <t>VENTANAS PHILIPPINES CONSTRUCTION INC</t>
  </si>
  <si>
    <t>Jin</t>
  </si>
  <si>
    <t>Jang</t>
  </si>
  <si>
    <t>Young</t>
  </si>
  <si>
    <t>Finance and Admin Manager</t>
  </si>
  <si>
    <t>Kids Cafe  Podium Bldg101 The Sharp ClarkHills Chico Street Clark Freeport Zone Philippines</t>
  </si>
  <si>
    <t>forbes@poscoenc.com</t>
  </si>
  <si>
    <t>0916 666 9594</t>
  </si>
  <si>
    <t>2017-432</t>
  </si>
  <si>
    <t>DHEIGHTS CORPORATION FORMERLY SUNVALLEY HOTEL CLARK CORPORATION</t>
  </si>
  <si>
    <t>Usi</t>
  </si>
  <si>
    <t>Noriel</t>
  </si>
  <si>
    <t>HROfficer</t>
  </si>
  <si>
    <t>Room 2 Clubhouse Sunvalley Country Club T304 Jose Abad Santos Avenue Clark Freeport Zone Philippines</t>
  </si>
  <si>
    <t>hr@dheightsresort.com.ph</t>
  </si>
  <si>
    <t>045-598-5388</t>
  </si>
  <si>
    <t>2015-081</t>
  </si>
  <si>
    <t>2018-03-04T16:00:00.000Z</t>
  </si>
  <si>
    <t>METRO CLARK WASTE MANAGEMENT CORPORATION</t>
  </si>
  <si>
    <t>Lofranco</t>
  </si>
  <si>
    <t>Baby Gin</t>
  </si>
  <si>
    <t>HR Recruitment and Training Staff</t>
  </si>
  <si>
    <t>Subzone D Sitio Kalangitan Clark Special Economic Zone Tarlac Clark Freeport Zone Philippines</t>
  </si>
  <si>
    <t>b.lofranco@mcwm.net</t>
  </si>
  <si>
    <t>0912-868-0064</t>
  </si>
  <si>
    <t>2016-125</t>
  </si>
  <si>
    <t>Waste Management</t>
  </si>
  <si>
    <t>SCHMIDT CORPORATION PTE LIMITED</t>
  </si>
  <si>
    <t>BINNIE</t>
  </si>
  <si>
    <t>STEPHEN PATRICK</t>
  </si>
  <si>
    <t>Unit 8A Philexcel Business Park MA Roxas Highway Clark Freeport Zone Philippines</t>
  </si>
  <si>
    <t>steve@schmidtcorp.co</t>
  </si>
  <si>
    <t>045-4998088</t>
  </si>
  <si>
    <t>2016-404</t>
  </si>
  <si>
    <t>DAVID ZANG ROYALLEGENDPALACE CHINESE RESTAURANT</t>
  </si>
  <si>
    <t>Balingit</t>
  </si>
  <si>
    <t>Karren</t>
  </si>
  <si>
    <t>Unit 45C  45D Austine Building Regency Park Townhouses J Abad Santos Avenue corner  E Aguinaldo Street Clark Freeport Zone Philippines</t>
  </si>
  <si>
    <t>royallegend19@gmail.com</t>
  </si>
  <si>
    <t>0997 277 3843</t>
  </si>
  <si>
    <t>2018-146</t>
  </si>
  <si>
    <t>RYAN NAGUIT CUNANAN RYANS SISIG AND GRILLED RESTAURANT</t>
  </si>
  <si>
    <t>Stall No 9 Mangan Tamu Food Strip R Cardinal Santos St Clark Freeport Zone Philippines</t>
  </si>
  <si>
    <t>manalilijhen@yahoo.com</t>
  </si>
  <si>
    <t>0961 231 3903</t>
  </si>
  <si>
    <t>2019-638</t>
  </si>
  <si>
    <t>AIDA JIMENEZ LAZATIN VILLA ROSA CREATIONS  FLOWERS GIFTS  DECORS</t>
  </si>
  <si>
    <t>Jennifer Delos Santos</t>
  </si>
  <si>
    <t>Gorre</t>
  </si>
  <si>
    <t>adjacent to Goji Kitchen Hotel Tower 3 Clark Marriott Hotel Bldg 5398 MA Roxas Highway Clark Freeport Zone Philippines</t>
  </si>
  <si>
    <t>stylevillarosa01@gmail.com</t>
  </si>
  <si>
    <t>0917-1877070</t>
  </si>
  <si>
    <t>2021-287</t>
  </si>
  <si>
    <t>JOEL AZOTEA GOMEZ GMART2 CONVENIENCE STORE</t>
  </si>
  <si>
    <t>FERNANDO</t>
  </si>
  <si>
    <t>FRANCIS XAVIER</t>
  </si>
  <si>
    <t>TURLA</t>
  </si>
  <si>
    <t>Lobby 1 The Sharp Clark Hills Jose Abad Santos Avenue Clark Freeport Zone</t>
  </si>
  <si>
    <t>gmart2conveniencestore@gmail.com</t>
  </si>
  <si>
    <t>0908-884-1438</t>
  </si>
  <si>
    <t>2021-437</t>
  </si>
  <si>
    <t>JOII FOUNDATION INC</t>
  </si>
  <si>
    <t>Gerald</t>
  </si>
  <si>
    <t>Benitez</t>
  </si>
  <si>
    <t>Room 1 and 2 Office Center 08F Berthaphil Clark Center Jose Abad Santos Avenue Clark Freeport Zone Philippines</t>
  </si>
  <si>
    <t>2021-221</t>
  </si>
  <si>
    <t>JFI2021!</t>
  </si>
  <si>
    <t>KOREAN BEAUTY N HEALTH KBNH CORPORATION</t>
  </si>
  <si>
    <t>Unit 201 Gihon Building Jose Abad Santos Avenue corner E Aguinaldo Street  Clark Freeport Zone Philippines</t>
  </si>
  <si>
    <t>kbnhcorp@gmail.com</t>
  </si>
  <si>
    <t>2021-447</t>
  </si>
  <si>
    <t>DAVAO BLUE TAXI INC</t>
  </si>
  <si>
    <t>2021-309</t>
  </si>
  <si>
    <t>GLOBALSTAR BASE PETROLEUM COMPANY</t>
  </si>
  <si>
    <t>Pasana</t>
  </si>
  <si>
    <t>Site Accounting Assistant</t>
  </si>
  <si>
    <t>Lot 1 Block 22  Town Center D Clark Freeport Zone Philippines</t>
  </si>
  <si>
    <t>globalstarbase_clark@yahoo.com</t>
  </si>
  <si>
    <t>2018-337</t>
  </si>
  <si>
    <t>#Globalstar2018</t>
  </si>
  <si>
    <t>/uploads/file-1641498576430.jpg</t>
  </si>
  <si>
    <t>INTERNATIONAL IT SOLUTIONS OPC</t>
  </si>
  <si>
    <t>Mark Joseph</t>
  </si>
  <si>
    <t>Office C3 5th Floor One West Aeropark Building Clark Global City Clark Civil Aviation Complex Clark Freeport Zone Philippines</t>
  </si>
  <si>
    <t>savviacctg@gmail.com</t>
  </si>
  <si>
    <t>0917-174-7277</t>
  </si>
  <si>
    <t>2021-410</t>
  </si>
  <si>
    <t>IVAN TROI RAZON JUMAWAN TROIS BLACK PLATE GRILL HOUSE</t>
  </si>
  <si>
    <t>Jumawan</t>
  </si>
  <si>
    <t>Ivan Troi</t>
  </si>
  <si>
    <t>Alorica Clark Philippines Inc Bldg BC5 Philexcel Business Park Inc MA Roxas Highway Clark Freeport Zone Philippines</t>
  </si>
  <si>
    <t>troi.razon@gmail.com</t>
  </si>
  <si>
    <t>0923-724-6668</t>
  </si>
  <si>
    <t>2021-284</t>
  </si>
  <si>
    <t>JEFFREY GUEVARRA PATAWARAN STEFREY FOOD STORE</t>
  </si>
  <si>
    <t>Patawaran</t>
  </si>
  <si>
    <t>Jeffrey</t>
  </si>
  <si>
    <t>jeffreypatawaran@yahoo.com</t>
  </si>
  <si>
    <t>0905-672-5527</t>
  </si>
  <si>
    <t>2021-443</t>
  </si>
  <si>
    <t>thanksGodstefreyfood</t>
  </si>
  <si>
    <t>ZIRUN  INTL BUSINESS SERVICES CORP</t>
  </si>
  <si>
    <t>Business Development Manager</t>
  </si>
  <si>
    <t>Office Suites Annex 4B2 Clark Center Jose Abad Santos Avenue Clark Freeport Zone Philippines</t>
  </si>
  <si>
    <t>0917-625-4966</t>
  </si>
  <si>
    <t>2021-299</t>
  </si>
  <si>
    <t>Office</t>
  </si>
  <si>
    <t>FAIRMONT DESIGNS HOSPITALITY INC</t>
  </si>
  <si>
    <t>Hiyas</t>
  </si>
  <si>
    <t>Abing</t>
  </si>
  <si>
    <t>Pavilion 11B Clark Center Berthaphil 3 Jose Abad Santos Ave Clark Freeport Zone Pampanga 2023</t>
  </si>
  <si>
    <t>shiyas@fairmontdesigns.com</t>
  </si>
  <si>
    <t>2021-341</t>
  </si>
  <si>
    <t>HRFairmont2021</t>
  </si>
  <si>
    <t>GRIDCORE BUILDERS INC</t>
  </si>
  <si>
    <t>HMRM Manager</t>
  </si>
  <si>
    <t>Office 05A and B Berthaphil Clark Center Jose Abad Santos Avenue Clark Freeport Zone Philippines</t>
  </si>
  <si>
    <t>admin@gridph.com</t>
  </si>
  <si>
    <t>2021-320</t>
  </si>
  <si>
    <t>/uploads/file-1634113845431.jfif</t>
  </si>
  <si>
    <t>MIKEE SHIELA QUIAMBAO HENSON SUM NA RA RESTAURANT</t>
  </si>
  <si>
    <t>Mikee Shiela</t>
  </si>
  <si>
    <t>Lot 2 Blk 1 CMU A The Villages CM Recto Highway  Clark Freeport Zone Philippines</t>
  </si>
  <si>
    <t>sumnararestaurant@gmail.com</t>
  </si>
  <si>
    <t>2021-488</t>
  </si>
  <si>
    <t>MEGACEM CONCRETE INC</t>
  </si>
  <si>
    <t>Gotera</t>
  </si>
  <si>
    <t>B Cabangbang Road Clark Civil Aviation Complex  Clark Freeport Zone Philippines</t>
  </si>
  <si>
    <t>ksgotera@megacem.com</t>
  </si>
  <si>
    <t>2021-464</t>
  </si>
  <si>
    <t>mcciclark2021</t>
  </si>
  <si>
    <t>/uploads/file-1633929171933.jpg</t>
  </si>
  <si>
    <t>SCL FILIPINAS INC</t>
  </si>
  <si>
    <t>Jomar</t>
  </si>
  <si>
    <t>Room 119 Clark Welcome Center Office Suites SCTEX Road Berthaphil VIII Compound Jose Abad Santos Avenue Clark Freeport Zone Philippines</t>
  </si>
  <si>
    <t>garcia@fertiglobal.com</t>
  </si>
  <si>
    <t>0951-127-8768</t>
  </si>
  <si>
    <t>2021-465</t>
  </si>
  <si>
    <t>FEDEX EXPRESS PHILIPPINES LLC  PHILIPPINE BRANCH</t>
  </si>
  <si>
    <t>Express Freight Facillity Area in front of CRK Main Ramp Clark Civil Aviation Complex Clark Freeport Zone Philippines</t>
  </si>
  <si>
    <t>n-a</t>
  </si>
  <si>
    <t>2020-146</t>
  </si>
  <si>
    <t>EVERYDAYSPA INC</t>
  </si>
  <si>
    <t>Malyne</t>
  </si>
  <si>
    <t>Unit 206 B and C Bldg N1473 Rio Grande de Pampanga cor Abacan Sts Clark Freeport Zone Philippines</t>
  </si>
  <si>
    <t>2021-044</t>
  </si>
  <si>
    <t>MARIA MAYUMI LOPEZ BATARA MISHKAN FOOD SERVICES</t>
  </si>
  <si>
    <t>Batara</t>
  </si>
  <si>
    <t>Maria Mayumi</t>
  </si>
  <si>
    <t>2430 Maloma St  Clark Freeport Zone Philippines</t>
  </si>
  <si>
    <t>mayumibatara1104@gmail.com</t>
  </si>
  <si>
    <t>2021-017</t>
  </si>
  <si>
    <t>HP SOLUTION NETWORK CORP</t>
  </si>
  <si>
    <t>Business Consultant</t>
  </si>
  <si>
    <t>Bldg 3678 CM Rector Highway Clark Freeport Zone Philippines</t>
  </si>
  <si>
    <t>creative_leap@yahoo.com</t>
  </si>
  <si>
    <t>0917 869 3888</t>
  </si>
  <si>
    <t>2020-438</t>
  </si>
  <si>
    <t>THE LAND K DEVELOPMENT CORP FORMERLY ADVANCE INTEGRATED GOLDEN GATEWAY CORP</t>
  </si>
  <si>
    <t>Unit 5 Ground Floor Golden Tree Bldg lot 2 Block 1 The Villages Prince Balagtas Avenue Clark Freeport Zone Philippines</t>
  </si>
  <si>
    <t>2021-515</t>
  </si>
  <si>
    <t>HOME K MART CORPORATION</t>
  </si>
  <si>
    <t>Catacutan</t>
  </si>
  <si>
    <t>Unit 1 to 4 Ground Floor Clark Terrace Building Lot 2 Block 1 The Villages Prince Balagtas Avenue  Clark Freeport Zone Philippines</t>
  </si>
  <si>
    <t>homekmart2021@gmail.com</t>
  </si>
  <si>
    <t>2021-506</t>
  </si>
  <si>
    <t>Timeline Manpower Services Corporation</t>
  </si>
  <si>
    <t>Kishes</t>
  </si>
  <si>
    <t>2 nd Floor Sanfel Building Cor Flamingo St Marisol Angeles City Pampanga</t>
  </si>
  <si>
    <t>timeline.kishes@gmail.com</t>
  </si>
  <si>
    <t>tmsc1234</t>
  </si>
  <si>
    <t>Manpower Agency</t>
  </si>
  <si>
    <t>aaa</t>
  </si>
  <si>
    <t>tmsc</t>
  </si>
  <si>
    <t>TIMELINE MANPOWER SERVICES CORPORATION</t>
  </si>
  <si>
    <t>2nd Floor Sanfel Building Cor Flamingo St Marisol Angeles City Pampanga</t>
  </si>
  <si>
    <t>timelinemanpower</t>
  </si>
  <si>
    <t>PAUL REYES BALANAY HONGYUN CHINESE RESTAURANT</t>
  </si>
  <si>
    <t>VIc</t>
  </si>
  <si>
    <t>TIU</t>
  </si>
  <si>
    <t>Staff</t>
  </si>
  <si>
    <t>Tower 2 Ground Floor Commercial Area No 1 Ode Country Building CM Recto Highway Clark Freeport Zone Philippines</t>
  </si>
  <si>
    <t>hongyunclark@gmail.com</t>
  </si>
  <si>
    <t>2021-519</t>
  </si>
  <si>
    <t>VIC12345</t>
  </si>
  <si>
    <t>HENOSYS FOOD CORPORATION</t>
  </si>
  <si>
    <t>Sy</t>
  </si>
  <si>
    <t>Ground Floor Unit 1W 114 and 1W 115 One West Aeropark Clark Global City  Clark Freeport Zone Philippines</t>
  </si>
  <si>
    <t>ericpsy77@gmail.com</t>
  </si>
  <si>
    <t>2021-451</t>
  </si>
  <si>
    <t>henosys1230</t>
  </si>
  <si>
    <t>PREMIER CLARK COMPLEX INC PCCI  DEVELOPER</t>
  </si>
  <si>
    <t>Jalandoni</t>
  </si>
  <si>
    <t>Jerwin</t>
  </si>
  <si>
    <t>Mall Manager  SM City Clark</t>
  </si>
  <si>
    <t>Block 17 Lot 1 Clark Global City Clark Freeport Zone Philippines</t>
  </si>
  <si>
    <t>jerwin.jalandoni@smsupermalls.com</t>
  </si>
  <si>
    <t>2019-529</t>
  </si>
  <si>
    <t>FEEL YESON TRAVEL  CONSULTANCY CORP</t>
  </si>
  <si>
    <t>CHUNG</t>
  </si>
  <si>
    <t>JINA</t>
  </si>
  <si>
    <t>Unit 325 3Flr KACC Philmade Bldg Lot 1 and 2 Corner J Abad Santos St and E Quirino St Clark Freeport Zone Philippines</t>
  </si>
  <si>
    <t>infoclark@yesontravel.com</t>
  </si>
  <si>
    <t>2021-504</t>
  </si>
  <si>
    <t>Yesonjobs2021</t>
  </si>
  <si>
    <t>TRAVEL AND CONSULTANCY</t>
  </si>
  <si>
    <t>FRP JHK CORP</t>
  </si>
  <si>
    <t>HRAccounting Officer</t>
  </si>
  <si>
    <t>Bldg 13 and 14 Berthaphil I Compound Jose Abad Santos Avenue Clark Freeport Zone Philippines</t>
  </si>
  <si>
    <t>6-39179E-11</t>
  </si>
  <si>
    <t>FONTANA DEVELOPMENT CORPORATION FORMERLY RN DEVELOPMENT CORP</t>
  </si>
  <si>
    <t>C M Recto Highway Mabalacat Road Perimeter Fence and Prince Balagtas Avenue Clark Freeport Zone Philippines</t>
  </si>
  <si>
    <t>CRISTY PARANGA BENAL JU FU SI FANG CHINESE RESTAURANT</t>
  </si>
  <si>
    <t>Paragas</t>
  </si>
  <si>
    <t>Unit 203 204 Gihon Building Jose Abad Santos Avenue Clark Freeport Zone Philippines</t>
  </si>
  <si>
    <t>jufusifangcai@yahoo.com</t>
  </si>
  <si>
    <t>2021-505</t>
  </si>
  <si>
    <t>JOHNPAUL PANLILIO FABECON JU FENG YUAN RESTAURANT</t>
  </si>
  <si>
    <t>Fabecon</t>
  </si>
  <si>
    <t>John Paul</t>
  </si>
  <si>
    <t>Unit 108 Bldg N1473 Rio Grande De Pampanga cor Abacan Street Clark Freeport Zone Philippines</t>
  </si>
  <si>
    <t>0926-859-5088</t>
  </si>
  <si>
    <t>2021-509</t>
  </si>
  <si>
    <t>55 DEGREES PHILIPPINES INC</t>
  </si>
  <si>
    <t>Asuncion</t>
  </si>
  <si>
    <t>External Auditor</t>
  </si>
  <si>
    <t>S04 5th floor Clark Center 07 Jose Abad Santos Avenue Clark Freeport Zone Philippines</t>
  </si>
  <si>
    <t>iaccountmallari@yahoo.com</t>
  </si>
  <si>
    <t>2021-484</t>
  </si>
  <si>
    <t>5.5@clark</t>
  </si>
  <si>
    <t>CHINA HARBOUR ENGINEERING COMPANY</t>
  </si>
  <si>
    <t>Bermudez</t>
  </si>
  <si>
    <t>Marivictoria</t>
  </si>
  <si>
    <t>AdminHR Supervisor</t>
  </si>
  <si>
    <t>Unit 1F 2 Philexcel Business Center 10 Philexcel Business Park M Roxas Highway Clark Freeport Zone Philippines</t>
  </si>
  <si>
    <t>marivic.palad@gmail.com</t>
  </si>
  <si>
    <t>2021-413</t>
  </si>
  <si>
    <t>/uploads/file-1642055642439.jpg</t>
  </si>
  <si>
    <t>MANG DALINGS CORNER CAFETERIA</t>
  </si>
  <si>
    <t>Building 50 Canteen Philexcel Business Park MA Roxas Highway Clark Freeport Zone Philippines</t>
  </si>
  <si>
    <t>mangdalings@gmai.com</t>
  </si>
  <si>
    <t>0917-158-3287</t>
  </si>
  <si>
    <t>2021-575</t>
  </si>
  <si>
    <t>NOLI TABANGCURA DAVID DONGDONG RESTAURANT</t>
  </si>
  <si>
    <t>Rosales</t>
  </si>
  <si>
    <t>Romualdo</t>
  </si>
  <si>
    <t>Lot 1 to1 Unit 108 Aston Stay Clark Hills Village Abacan  Chico St Clark Freeport Zone Philippines</t>
  </si>
  <si>
    <t>rainstorm911@yahoo.com</t>
  </si>
  <si>
    <t>2021-550</t>
  </si>
  <si>
    <t>MERCIDITA FERRER BAYAS TRENDYBEAT KTV BAR</t>
  </si>
  <si>
    <t>Obenita</t>
  </si>
  <si>
    <t>Janice Joy</t>
  </si>
  <si>
    <t>Villanoba</t>
  </si>
  <si>
    <t>2nd Floor Fontana Clubhouse CM Recto Highway Clark Freeport Zone CFZ Clark Freeport Zone Philippines</t>
  </si>
  <si>
    <t>janicejoyobenita@gmail.com</t>
  </si>
  <si>
    <t>2021-232</t>
  </si>
  <si>
    <t>Trendy2021</t>
  </si>
  <si>
    <t>RestaurantKTV Bar</t>
  </si>
  <si>
    <t>ARJO CLARK RESTAURANT BUSINESS CORP Under the name of IKEBUKURO JAPANESE RESTO BAR</t>
  </si>
  <si>
    <t>Carpena</t>
  </si>
  <si>
    <t>Pavilion 13A Clark Center Jose Abad santos Avenue Clark Freeport Zone Philippines</t>
  </si>
  <si>
    <t>arjoikebukurojapaneserestobar@gmail.com</t>
  </si>
  <si>
    <t>2021-569</t>
  </si>
  <si>
    <t>ACCIONA  EEI JV</t>
  </si>
  <si>
    <t>Christian Morris</t>
  </si>
  <si>
    <t>Serdena</t>
  </si>
  <si>
    <t>Gil Puyat Avenue Cvil Aviation Complex Clark Freeport Zone Philippines</t>
  </si>
  <si>
    <t>cm.cruz@accionaeeijv.com</t>
  </si>
  <si>
    <t>2021-145</t>
  </si>
  <si>
    <t>CLARK GLOBAL CITY CORPORATION</t>
  </si>
  <si>
    <t>Mangio</t>
  </si>
  <si>
    <t>GGDC Administrative Service Building Global Gateway Logistics City Clark Freeport Zone Philippines</t>
  </si>
  <si>
    <t>beatrice.mangio@udennaland-cgc.ph</t>
  </si>
  <si>
    <t>0917-802-2587</t>
  </si>
  <si>
    <t>2018-037</t>
  </si>
  <si>
    <t>/uploads/file-1646099655652.jpg</t>
  </si>
  <si>
    <t>Maria Shemel</t>
  </si>
  <si>
    <t>Lot 1 along MA Roxas Highway Clark Freeport Zone Philippines</t>
  </si>
  <si>
    <t>mariashemelrivera@gmail.com</t>
  </si>
  <si>
    <t>2021-189</t>
  </si>
  <si>
    <t>/uploads/file-1760071270478.jpg</t>
  </si>
  <si>
    <t>EVLVE FITNESS INC</t>
  </si>
  <si>
    <t>Anna Kareena</t>
  </si>
  <si>
    <t>Unit A Ground Floor Clark Center 8 Clark Center Jose Abad Santos Avenue Clark Freeport Zone Philippines</t>
  </si>
  <si>
    <t>evolvefitnessasia@gmail.com</t>
  </si>
  <si>
    <t>2021-556</t>
  </si>
  <si>
    <t>AVANTA CONSTRUCTION CORPORATION</t>
  </si>
  <si>
    <t>Sena</t>
  </si>
  <si>
    <t>Eden Kate</t>
  </si>
  <si>
    <t>Aceron</t>
  </si>
  <si>
    <t>Unit 2 Ground Floor Clark Center 11 Clark Center Jose Abad Santos Avenue Clark Freeport Zone Philippines</t>
  </si>
  <si>
    <t>avanta.constructioncorp@gmail.com</t>
  </si>
  <si>
    <t>2021-552</t>
  </si>
  <si>
    <t>Kyeryong2021</t>
  </si>
  <si>
    <t>/uploads/file-1675219679074.png</t>
  </si>
  <si>
    <t>URBAN NEST BUSINESS MANAGEMENT INC</t>
  </si>
  <si>
    <t>AdminLiason Officer</t>
  </si>
  <si>
    <t>Unit 14A Clark Square Mall Building 1 along CM Recto Highway corner J Topacio St Clark Civil Aviation Complex Clark Freeport Zone Philippines</t>
  </si>
  <si>
    <t>unbmanagement@gmail.com</t>
  </si>
  <si>
    <t>2021-563</t>
  </si>
  <si>
    <t>BUREAU OF INTERNAL REVENUE Revenue Region No 4</t>
  </si>
  <si>
    <t>OICChief Administrative Section</t>
  </si>
  <si>
    <t>Revenue District Office No 21C Level 3 Stotsenberg Medical Center Inc Building Ninoy Aquino Avenue Clark Freeport Zone Clark Freeport Zone Philippines</t>
  </si>
  <si>
    <t>arlene.tayag@bir.gov.ph</t>
  </si>
  <si>
    <t>599-8466</t>
  </si>
  <si>
    <t>2019-771</t>
  </si>
  <si>
    <t>GOVERMENT AGENCY</t>
  </si>
  <si>
    <t>STEPHEN RYAN OLIM BORJA CAYABYAB STEPHEN CEE BARBER SHOP AND SALON</t>
  </si>
  <si>
    <t>Stephen Ryan Olim</t>
  </si>
  <si>
    <t>5398 MA Roxas Highway Clark Freeport Zone Philippines</t>
  </si>
  <si>
    <t>stephenryancayabyab15@yahoo.com</t>
  </si>
  <si>
    <t>2020-381</t>
  </si>
  <si>
    <t>SY ARPINA DEVELOPMENT CORP</t>
  </si>
  <si>
    <t>Oh</t>
  </si>
  <si>
    <t>Seung Je</t>
  </si>
  <si>
    <t>Office Center 08R1 Clark Center Berthaphil Compound Jose Abad Santos Avenue Clark Freeport Zone Philippines</t>
  </si>
  <si>
    <t>osj7284@gmail.com</t>
  </si>
  <si>
    <t>2021-538</t>
  </si>
  <si>
    <t>/uploads/file-1659494629582.jpg</t>
  </si>
  <si>
    <t>Swissotel Clark Philippines</t>
  </si>
  <si>
    <t>BLDG 5399 MA ROXAS HIGHWAY CLARK 2023 FREEPORT ZONE PAMPANGA PHILIPPINES</t>
  </si>
  <si>
    <t>joan.castro@gmail.com</t>
  </si>
  <si>
    <t>2021-207</t>
  </si>
  <si>
    <t>ALYSSA ANDRA DOLOR BONDOC TING A2A1 BREADS O CAKES BAKESHOP</t>
  </si>
  <si>
    <t>Alyssa</t>
  </si>
  <si>
    <t>Site 2 Bldg 1 Berthaphil III Compound Center Clark Freeport Zone Pampanga Clark Freeport Zone</t>
  </si>
  <si>
    <t>a.breadsocakes@gmail.com</t>
  </si>
  <si>
    <t>0916-516-7873</t>
  </si>
  <si>
    <t>2019-715</t>
  </si>
  <si>
    <t>WAKLU INC</t>
  </si>
  <si>
    <t>Macasieb</t>
  </si>
  <si>
    <t>Jayson</t>
  </si>
  <si>
    <t>Bldg 10 Berthaphil I Industrial Park Jose Abad Santos Avenue Clark Freeport Zone Philippines</t>
  </si>
  <si>
    <t>jayson.macasieb@wakluinc.com</t>
  </si>
  <si>
    <t>0936-379-2744</t>
  </si>
  <si>
    <t>2021-620</t>
  </si>
  <si>
    <t>WakluHR01!</t>
  </si>
  <si>
    <t>QINGLANGPHILS CORPORATION</t>
  </si>
  <si>
    <t>1st Floor Tree House Mixed Use Bldg The Villages Lot 9 Commercial Mixed Use B CM Recto Highway Clark Freeport Zone Philippines</t>
  </si>
  <si>
    <t>2020-449</t>
  </si>
  <si>
    <t>SA  E HOMELAND REALTY CORPORATION</t>
  </si>
  <si>
    <t>Alba</t>
  </si>
  <si>
    <t>Glorence</t>
  </si>
  <si>
    <t>bounded by JP Laurel St JP Rizal and Jose Abad Santos St Clark Freeport Zone Philippines</t>
  </si>
  <si>
    <t>hralba.tracegroup@gmail.com</t>
  </si>
  <si>
    <t>2019-388</t>
  </si>
  <si>
    <t>Toursim</t>
  </si>
  <si>
    <t>INTEGRATED INFRASTRUCTURE SOLUTIONS CORP</t>
  </si>
  <si>
    <t>Catap</t>
  </si>
  <si>
    <t>Elaiza</t>
  </si>
  <si>
    <t>BldgN7591 A Bonifacio Avenue Clark Civil Aviation Complex Clark Freeport Zone Philippines</t>
  </si>
  <si>
    <t>elaiza.catap@n2kcbs.com</t>
  </si>
  <si>
    <t>0926-809-3611--04S- 499-3560</t>
  </si>
  <si>
    <t>2022-016</t>
  </si>
  <si>
    <t>MARK THOMAS SOLIMAN DE GUZMAN TROIS FRERES FOOD HUB</t>
  </si>
  <si>
    <t>Mark Thomas</t>
  </si>
  <si>
    <t>Unit D Philexcel Food Court Philexcel Business Park MA Roxas Highway Clark Freeport Zone Philippines</t>
  </si>
  <si>
    <t>deguzmanthomas@gmail.com</t>
  </si>
  <si>
    <t>2021-632</t>
  </si>
  <si>
    <t>LOLA NORS MERYENDAHAN INC</t>
  </si>
  <si>
    <t>Jade Canteen Philexcel Business Park MA Roxas Highway Clark Freeport Zone Philippines</t>
  </si>
  <si>
    <t>hr.lolanors@gmail.com</t>
  </si>
  <si>
    <t>0955-923-5010</t>
  </si>
  <si>
    <t>2021-402</t>
  </si>
  <si>
    <t>LIONAIR INCORPORATED</t>
  </si>
  <si>
    <t>Bertillo</t>
  </si>
  <si>
    <t>Danica Joan</t>
  </si>
  <si>
    <t>General Aviation Area Civil Aviation Complex Clark Freeport Zone Philippines</t>
  </si>
  <si>
    <t>danica.bertillo@lionairinc.com</t>
  </si>
  <si>
    <t>2019-026</t>
  </si>
  <si>
    <t>THE REMOTE GROUP INC doing business under the name and style of REMOTE CONTROL REMOTE WORKFORCE SPECIALISTS</t>
  </si>
  <si>
    <t>Janine</t>
  </si>
  <si>
    <t>Pavilion 03 Clark Center Jose Abad Santos Avenue Clark Freeport Zone Philippines</t>
  </si>
  <si>
    <t>janinel@theremotegroup.com</t>
  </si>
  <si>
    <t>2021-598</t>
  </si>
  <si>
    <t>COAM PHIL INC</t>
  </si>
  <si>
    <t>Bldg 31 Philexcel Business Park	 MA Roxas Highway Clarkfield Pampanga</t>
  </si>
  <si>
    <t>labs0829@yahoo.com</t>
  </si>
  <si>
    <t>CLK SUPER CONVENIENCE OPC</t>
  </si>
  <si>
    <t>Ayson</t>
  </si>
  <si>
    <t>Mary Anne Grace</t>
  </si>
  <si>
    <t>Borja</t>
  </si>
  <si>
    <t>T 309 Hectare Property Clark Sunvalley Country Club Jose Abad Santos Avenue Sapang Bato Clark Freeport Zone Philippines</t>
  </si>
  <si>
    <t>admin.supervisor@tiantianmart.net</t>
  </si>
  <si>
    <t>2021-317</t>
  </si>
  <si>
    <t>CLK@opc12162021</t>
  </si>
  <si>
    <t>DVO AVIATION TRAINING AND REVIEW CENTER INC</t>
  </si>
  <si>
    <t>Olivarez</t>
  </si>
  <si>
    <t>Accountable Manager</t>
  </si>
  <si>
    <t>Mini Warehouse 06  Berthaphil II North Industrial Park Manunggal Street Clark Freeport Zone Pampanga Philippines</t>
  </si>
  <si>
    <t>Jonathan.Olivarez@dotaaero.com</t>
  </si>
  <si>
    <t>2022-027</t>
  </si>
  <si>
    <t>DVO2022NINNA</t>
  </si>
  <si>
    <t>/uploads/file-1643960440100.jpg</t>
  </si>
  <si>
    <t>TRT SHARED SERVICES OPC</t>
  </si>
  <si>
    <t>Romanelli</t>
  </si>
  <si>
    <t>Domenico</t>
  </si>
  <si>
    <t>10th Floor Unit 1W1004 One West Aeropark Building Clark Global City Clark Civil Aviation Complex Clark Freeport Zone Philippines</t>
  </si>
  <si>
    <t>HRAdmin@trt.com</t>
  </si>
  <si>
    <t>2020-433</t>
  </si>
  <si>
    <t>TRTHR12345!</t>
  </si>
  <si>
    <t>POSEIDON MEGA TRADING INC</t>
  </si>
  <si>
    <t>Dionisio</t>
  </si>
  <si>
    <t>Jhenina</t>
  </si>
  <si>
    <t>Arnaiz</t>
  </si>
  <si>
    <t>Unit 106 ON Commercial Bldg Lot 1 E Aguinaldo Street Clark Freeport Zone Philippines</t>
  </si>
  <si>
    <t>tradingincposeidonmega@gmail.com</t>
  </si>
  <si>
    <t>2022-018</t>
  </si>
  <si>
    <t>/uploads/file-1659681582128.png</t>
  </si>
  <si>
    <t>EMELINA MEJIA CABRERA JAS2 EATERY</t>
  </si>
  <si>
    <t>Emelina</t>
  </si>
  <si>
    <t>Old Duty free 5400 M A Roxas Highway Clark Freeport Zone Philippines</t>
  </si>
  <si>
    <t>emelinacabrera757@gmail.com</t>
  </si>
  <si>
    <t>2021-525</t>
  </si>
  <si>
    <t>Building 9 to 12 Berthaphil VI Industrial Park Panday Pira Avenue Clark Freeport Zone Philippines</t>
  </si>
  <si>
    <t>ARNOLD C WONG WU WEI RESTAURANT</t>
  </si>
  <si>
    <t>Arnold</t>
  </si>
  <si>
    <t>Chiu</t>
  </si>
  <si>
    <t>Unit 7 and 8 Ground Floor Clark Terrace Building Lot 2 Block 1 The Villages Prince Balagtas Ave Clark Freeport Zone Philippines</t>
  </si>
  <si>
    <t>arnoldwong09@gmail.com</t>
  </si>
  <si>
    <t>0917-653-1076</t>
  </si>
  <si>
    <t>2021-631</t>
  </si>
  <si>
    <t>PROACTIVE PROPERTIES DEVELOPMENT CORPORATION</t>
  </si>
  <si>
    <t>Lot 7 Blk 7 Diosdado P Macapagal Corner Fourth Avenue Clark Global City Clark Freeport Zone Philippines 2023</t>
  </si>
  <si>
    <t>2020-003</t>
  </si>
  <si>
    <t>eBAR3133</t>
  </si>
  <si>
    <t>AEMMANUELLE CRUZ MAGNO FRUITAS REFRESHMENT KIOSK</t>
  </si>
  <si>
    <t>Sto Tomas</t>
  </si>
  <si>
    <t>Jheramea</t>
  </si>
  <si>
    <t>HR Ad</t>
  </si>
  <si>
    <t>T 40 JP Laurel Ave Clark Freeport Zone Philippines</t>
  </si>
  <si>
    <t>2022-039</t>
  </si>
  <si>
    <t>ISOTRUSS PHILIPPINES INC Doing business under the names and styles of ISOTRUSS PHILIPPINES</t>
  </si>
  <si>
    <t>Nenita</t>
  </si>
  <si>
    <t>H</t>
  </si>
  <si>
    <t>Building 13 Berthaphil VI Industrial Park Panday Pira Avenue  Clark Freeport Zone Philippines</t>
  </si>
  <si>
    <t>2022-083</t>
  </si>
  <si>
    <t>TURQUOISE DIAMOND TECHNOLOGY CORPORATION</t>
  </si>
  <si>
    <t>Lizel</t>
  </si>
  <si>
    <t>Clark New World Building 1 Corporate Building Lot 8B The Villages Clark Prince Balagtas Avenue Clark Freeport Zone Philippines</t>
  </si>
  <si>
    <t>lizel.bus@gmail.com</t>
  </si>
  <si>
    <t>CP09566281683- Landline 4990471-4990476</t>
  </si>
  <si>
    <t>2021-557</t>
  </si>
  <si>
    <t>NORMANDY LIWANAG ATCHICO TAPA TAPA TAPSILOGAN</t>
  </si>
  <si>
    <t>Janette</t>
  </si>
  <si>
    <t>E Quirino St Clark Freeport Zone Philippines</t>
  </si>
  <si>
    <t>deguzmanjuliet19@gmail.com</t>
  </si>
  <si>
    <t>2022-077</t>
  </si>
  <si>
    <t>CAFE KLARA INC</t>
  </si>
  <si>
    <t>Analyn</t>
  </si>
  <si>
    <t>Employees Representative</t>
  </si>
  <si>
    <t>Stall 1314 Philmade Building Lot 12 corner Jose Abad Santos Avenue and E Quirino Street  Clark Freeport Zone Philippines</t>
  </si>
  <si>
    <t>cbccornerb@gmail.com</t>
  </si>
  <si>
    <t>2018-124</t>
  </si>
  <si>
    <t>KENNETH BRUCE SICAT GROSPE FYKES CANTEEN</t>
  </si>
  <si>
    <t>Grospe</t>
  </si>
  <si>
    <t>Kenneth Bruce</t>
  </si>
  <si>
    <t>kenkensicat09@gmail.com</t>
  </si>
  <si>
    <t>2022-037</t>
  </si>
  <si>
    <t>JHONA MONZAGA DUMAPAC NABI MASSAGE AND SPA</t>
  </si>
  <si>
    <t>Dumapac</t>
  </si>
  <si>
    <t>Jhona</t>
  </si>
  <si>
    <t>Monzaga</t>
  </si>
  <si>
    <t>Unit 203 and 204 ON Commercial Bldg Lot 1 E Aguinaldo Street  Clark Freeport Zone Philippines</t>
  </si>
  <si>
    <t>massagenabi@gmail.com</t>
  </si>
  <si>
    <t>2021-629</t>
  </si>
  <si>
    <t>NOVILLOS CORPORATION</t>
  </si>
  <si>
    <t>Pacheco</t>
  </si>
  <si>
    <t>Jerwin Kyle</t>
  </si>
  <si>
    <t>Project Manager</t>
  </si>
  <si>
    <t>Office Center 06I 1 Berthaphil Clark Center Jose Abad Santos Avenue Clark Freeport Zone Philippines</t>
  </si>
  <si>
    <t>pampanga@novconph.com</t>
  </si>
  <si>
    <t>2022-063</t>
  </si>
  <si>
    <t>Novillos120793@</t>
  </si>
  <si>
    <t>GLADENIA TORRES CAO GOURMAZING EVENTS AND CATERING SERVICES</t>
  </si>
  <si>
    <t>Cao</t>
  </si>
  <si>
    <t>Gladenia</t>
  </si>
  <si>
    <t>2nd floor Two West Aeropark Clark Global City Civil Aviation Complex Clark Freeport Zone Clark Freeport Zone Philippines</t>
  </si>
  <si>
    <t>caozekerya@gmail.com</t>
  </si>
  <si>
    <t>2022-090</t>
  </si>
  <si>
    <t>CODINGCHIEFS PHILIPPINES INC</t>
  </si>
  <si>
    <t>Unit 4 Ground Floor Clark Center 11 Berthaphil Clark Center Jose Abad Santos Avenue Clark Freeport Zone Philippines</t>
  </si>
  <si>
    <t>2022-047</t>
  </si>
  <si>
    <t>PHILTOP REAL ESTATE INC</t>
  </si>
  <si>
    <t>Maria Angelica</t>
  </si>
  <si>
    <t>Unit 201 ON Commercial Bldg Lot 1 E Aguinaldo Street Clark Freeport Zone Philippines</t>
  </si>
  <si>
    <t>dennispanlilio01@yahoo.com.ph</t>
  </si>
  <si>
    <t>2022-020</t>
  </si>
  <si>
    <t>W CITY DEVELOPMENT CLARK INC</t>
  </si>
  <si>
    <t>Maedeliene</t>
  </si>
  <si>
    <t>K</t>
  </si>
  <si>
    <t>Business Process Head</t>
  </si>
  <si>
    <t>Lots 1 to 8 Block 29 1st Street Clark Global City Clark Freeport Zone Philippines</t>
  </si>
  <si>
    <t>mads.uy@wgroup.com.ph</t>
  </si>
  <si>
    <t>2020-195</t>
  </si>
  <si>
    <t>MOON BRIDGE TECHNOLOGY SOLUTIONS PH CORP</t>
  </si>
  <si>
    <t>Nulud</t>
  </si>
  <si>
    <t>Director Facilities and Engineering</t>
  </si>
  <si>
    <t>Unit 1F 4A Philexcel Business Center 15 Philexcel Business Park M Roxas Highway Clark Freeport Zone Philippines</t>
  </si>
  <si>
    <t>ryan@moonbridgebpo.com</t>
  </si>
  <si>
    <t>2021-474</t>
  </si>
  <si>
    <t>MBTech@3502</t>
  </si>
  <si>
    <t>/uploads/file-1708997425145.jpg</t>
  </si>
  <si>
    <t>ERICA DE JESUS DIZON CHEUNG GIWA RESTAURANT</t>
  </si>
  <si>
    <t>Erica</t>
  </si>
  <si>
    <t>Unit 107108 ON Commercial Bldg Lot 1 E Aguinaldo St Clark Freeport Zone Philippines</t>
  </si>
  <si>
    <t>aciredizon@gmail.com</t>
  </si>
  <si>
    <t>2022-061</t>
  </si>
  <si>
    <t>ALBERTO RAMOS DALUSUNG KINGREY CATERING SERVICES</t>
  </si>
  <si>
    <t>Alberto</t>
  </si>
  <si>
    <t>T309 hectare property Clark Sun Valley Country Club Jose Abad Santos Avenue Sapang Bato Clark Freeport Zone Philippines Clark Freeport Zone Philippines</t>
  </si>
  <si>
    <t>albertramosdalusung@yahoo.com</t>
  </si>
  <si>
    <t>2022-067</t>
  </si>
  <si>
    <t>GLOBAL TRAVEL NETWORKCOM INC</t>
  </si>
  <si>
    <t>Romano</t>
  </si>
  <si>
    <t>Office Center 06J1 Clark Center Jose Abad Santos Avenue Clark Freeport Zone Philippines</t>
  </si>
  <si>
    <t>service.globaltravel@gmail.com</t>
  </si>
  <si>
    <t>2022-121</t>
  </si>
  <si>
    <t>VENDING EXPERTS NIGHT AND DAY PHILIPPINES INC</t>
  </si>
  <si>
    <t>Zayas</t>
  </si>
  <si>
    <t>Rueza</t>
  </si>
  <si>
    <t>Balacuit</t>
  </si>
  <si>
    <t>2E Sky ace Building Perpetual Village II St Peter St Pulang Lupa Uno Las Pias City Philippines</t>
  </si>
  <si>
    <t>jyngd@yahoo.com</t>
  </si>
  <si>
    <t>2021-510</t>
  </si>
  <si>
    <t>ADRIAN ARILLO VALDEVIESO 2022 FIESTA DISHES FOOD HUB</t>
  </si>
  <si>
    <t>Valdevieso</t>
  </si>
  <si>
    <t>Adrian</t>
  </si>
  <si>
    <t>Arillo</t>
  </si>
  <si>
    <t>Unit F Philexcel Food Court Philexcel Business Park MA Roxas Highway Clark Freeport Zone Clark Freeport Zone Philippines</t>
  </si>
  <si>
    <t>maricrisvaldevieso@yahoo.com</t>
  </si>
  <si>
    <t>0917-244-0775</t>
  </si>
  <si>
    <t>2022-116</t>
  </si>
  <si>
    <t>JACKIE LOU PASION FLORES Z3 RESTAURANT</t>
  </si>
  <si>
    <t>Gabarda</t>
  </si>
  <si>
    <t>Ramil</t>
  </si>
  <si>
    <t>Liaison Officer</t>
  </si>
  <si>
    <t>Unit 105 ON Commercial Bldg Lot 1 E Aguinaldo Street Clark Freeport Zone Philippines</t>
  </si>
  <si>
    <t>ramgab521976@gmail.com</t>
  </si>
  <si>
    <t>0927-124-6002</t>
  </si>
  <si>
    <t>2022-138</t>
  </si>
  <si>
    <t>STEVEN GO UY EVERY2 MIX MINIMART</t>
  </si>
  <si>
    <t>Unit 103 A B and C Bldg N1473 Rio Grande de Pampanga cor Abacan Sts Clark Freeport Zone Philippines</t>
  </si>
  <si>
    <t>2022-096</t>
  </si>
  <si>
    <t>APRIO PHILIPPINES INCORPORATED</t>
  </si>
  <si>
    <t>8th Fllor 1W801  802 One West Aeropark Clark Global City Clark Freeport Zone Philippines</t>
  </si>
  <si>
    <t>marvin@doublerule.com</t>
  </si>
  <si>
    <t>045-499-8088</t>
  </si>
  <si>
    <t>2022-151</t>
  </si>
  <si>
    <t>MARK CRISOSTOMO MELGAR VACCINES AND VACCINATION SERVICES PH MEDICAL HEALTH SERVICES</t>
  </si>
  <si>
    <t>Melgar</t>
  </si>
  <si>
    <t>Crisostomo</t>
  </si>
  <si>
    <t>CEO  President</t>
  </si>
  <si>
    <t>Room 117 Clark welcome Ceter Office Suites Berthaphil VIII compound SCTEX Road Clark Freeport Zone Philippines</t>
  </si>
  <si>
    <t>hr@vaccinesofficial.com</t>
  </si>
  <si>
    <t>2022-143</t>
  </si>
  <si>
    <t>FIRST BALFOUR INC Doing Business Under the Name and Style of T1 RENTALS</t>
  </si>
  <si>
    <t>Galias</t>
  </si>
  <si>
    <t>Edgardo</t>
  </si>
  <si>
    <t>Equipment Incharge</t>
  </si>
  <si>
    <t>Block 33 Lot 5 Clark Global City Clark Freeport Zone Clark Freeport Zone Philippines</t>
  </si>
  <si>
    <t>eggalias@firstbalfour.com</t>
  </si>
  <si>
    <t>2022-055</t>
  </si>
  <si>
    <t>T1rentals12345</t>
  </si>
  <si>
    <t>NEWMOTECH INC</t>
  </si>
  <si>
    <t>Corporate Secretary  Sr Manager</t>
  </si>
  <si>
    <t>L1AHS05 GF Arrival Hall Clark International Airport Terminal 2 Clark Freeport Zone Philippines</t>
  </si>
  <si>
    <t>newmotech@yahoo.com</t>
  </si>
  <si>
    <t>2022-178</t>
  </si>
  <si>
    <t>/uploads/file-1651033219377.png</t>
  </si>
  <si>
    <t>DITO TELECOMMUNITY CORPORATION formerly  MINDANAO ISLAMIC TELEPHONE COMPANY INC</t>
  </si>
  <si>
    <t>Technical Analyst</t>
  </si>
  <si>
    <t>Block 8  Lot No 1 Clark Global City Clark Civil Aviation Complex Clark Freeport Zone Philippines</t>
  </si>
  <si>
    <t>michelle.torres@dito.ph</t>
  </si>
  <si>
    <t>2020-220</t>
  </si>
  <si>
    <t>/uploads/file-1735803597293.jpeg</t>
  </si>
  <si>
    <t>TESTING</t>
  </si>
  <si>
    <t>2022-0000</t>
  </si>
  <si>
    <t>LUCKY WINDFALL INC Doing business under the names and styles of SIRI EXPRESS</t>
  </si>
  <si>
    <t>ConsultantLiaison</t>
  </si>
  <si>
    <t>Unit 8 Ground Floor Tree House Mixed Use Bldg The Villages Lot 9 Commercial Mixed Use B CM Recto Highway  Clark Freeport Zone Philippines</t>
  </si>
  <si>
    <t>luckywindfallinc@gmail.com</t>
  </si>
  <si>
    <t>2022-124</t>
  </si>
  <si>
    <t>XTRONICA SYSTEMS OPC DOING BUSINESS UNDER THE NAME AND STYLE OF  XTRONICA SYSTEMS</t>
  </si>
  <si>
    <t>Mini Warehouse 5 Berthaphil II Manunggal Street Jose Abad Santos Ave Clark Freeport Zone Pampanga</t>
  </si>
  <si>
    <t>mdg@xtronica.systems</t>
  </si>
  <si>
    <t>2022-147</t>
  </si>
  <si>
    <t>123Xt456</t>
  </si>
  <si>
    <t>/uploads/file-1651738717564.jpg</t>
  </si>
  <si>
    <t>MEGA LAND888 INFRASTRUCTURE AND TRADING OPC</t>
  </si>
  <si>
    <t>Rechelle</t>
  </si>
  <si>
    <t>Center Office 2 Clark Square Mall Compound along CM Recto Highway corner J Topacio St  Clark Civil Aviation Complex Clark Freeport Zone Philippines</t>
  </si>
  <si>
    <t>megalandinfra888@gmail.com</t>
  </si>
  <si>
    <t>2021-580</t>
  </si>
  <si>
    <t>ML2023</t>
  </si>
  <si>
    <t>REX LACSON TOMEN MY HOME REAL ESTATE</t>
  </si>
  <si>
    <t>Tomen</t>
  </si>
  <si>
    <t>Rex</t>
  </si>
  <si>
    <t>Office 512 5th Floor Clark Center 07 Clark Center Berthaphil 3 Jose Abad Santos Avenue Clark Freeport Zone Philippines</t>
  </si>
  <si>
    <t>rextomen@gmail.com</t>
  </si>
  <si>
    <t>0917-830-7880</t>
  </si>
  <si>
    <t>2021-483</t>
  </si>
  <si>
    <t>CSRmhre815$</t>
  </si>
  <si>
    <t>Real Estate Service</t>
  </si>
  <si>
    <t>/uploads/file-1652439734694.jpg</t>
  </si>
  <si>
    <t>BARNIE FOOD INC</t>
  </si>
  <si>
    <t>Gen</t>
  </si>
  <si>
    <t>L3154 3rd Level Airside Terminal 2 Clark International Airport Clark Freeport Zone Philippines</t>
  </si>
  <si>
    <t>2022-106</t>
  </si>
  <si>
    <t>/uploads/file-1652432683316.jpg</t>
  </si>
  <si>
    <t>TRANSPORTER TOURIST TRANSPORT SERVICE COOPERATIVE</t>
  </si>
  <si>
    <t>Luzung</t>
  </si>
  <si>
    <t>Gladys</t>
  </si>
  <si>
    <t>Labong</t>
  </si>
  <si>
    <t>Along Andres Soriano Sr St back of Oriental Duty Free Store Clark Civil Aviation Complex Clark Freeport Zone Philippines</t>
  </si>
  <si>
    <t>desluzung726@gmail.com</t>
  </si>
  <si>
    <t>2021-616</t>
  </si>
  <si>
    <t>Transportation and Cafeteria</t>
  </si>
  <si>
    <t>Euronet Technology Services Inc</t>
  </si>
  <si>
    <t>Rachel</t>
  </si>
  <si>
    <t>Contract Management Officer</t>
  </si>
  <si>
    <t>Fontana Clubhouse Fontana Leisure Park C M Recto Highway Clark Freeport Zone Philippines</t>
  </si>
  <si>
    <t>rabad@euronetworldwide.com</t>
  </si>
  <si>
    <t>2020-450</t>
  </si>
  <si>
    <t>ERC GLOBAL RESOURCES PHILIPPINES INC</t>
  </si>
  <si>
    <t>Vitangcul</t>
  </si>
  <si>
    <t>Donna Marie</t>
  </si>
  <si>
    <t>Benefits Officer</t>
  </si>
  <si>
    <t>Second Floor Philexcel Business Center 15 Philexcel Business Park M Roxas Highway Clark Freeport Zone Philippines</t>
  </si>
  <si>
    <t>HR-PH@ercglobalcx.com</t>
  </si>
  <si>
    <t>2021-475</t>
  </si>
  <si>
    <t>EXCELSIUM INCORPORATED</t>
  </si>
  <si>
    <t>Lean Kaye</t>
  </si>
  <si>
    <t>Gamo</t>
  </si>
  <si>
    <t>HR Talent Acquisition Officer</t>
  </si>
  <si>
    <t>10th Floor One west Aeropark Building Clark Global City Clark Civil Aviation Complex Clark Freeport Zone Philippines</t>
  </si>
  <si>
    <t>llayug@ph1world.com</t>
  </si>
  <si>
    <t>2020-451</t>
  </si>
  <si>
    <t>PROGEAR INTERNATIONAL GROUP INC</t>
  </si>
  <si>
    <t>Gerilla</t>
  </si>
  <si>
    <t>Pirante</t>
  </si>
  <si>
    <t>Assistant Manager for Operations</t>
  </si>
  <si>
    <t>L1AHS13 GF Arrival Hall Clark International Airport Terminal 2 Clark Freeport Zone Philippines</t>
  </si>
  <si>
    <t>marygrace.gerilla@progearphil.com</t>
  </si>
  <si>
    <t>2022-152</t>
  </si>
  <si>
    <t>Progear2022</t>
  </si>
  <si>
    <t>JIA REALTY CORP</t>
  </si>
  <si>
    <t>Allen</t>
  </si>
  <si>
    <t>Graceil</t>
  </si>
  <si>
    <t>Office Secretary</t>
  </si>
  <si>
    <t>Unit 107  A Bldg N1473 Rio Grande de Pampanga cor Abacan Sts Clark Freeport Zone Philippines</t>
  </si>
  <si>
    <t>jiarealty22@gmail.com</t>
  </si>
  <si>
    <t>2022-233</t>
  </si>
  <si>
    <t>/uploads/file-1662775955952.jpeg</t>
  </si>
  <si>
    <t>ENRIQUEZ  KIM CORP doing business under the name and style of SOL TRAVEL AND TOURS</t>
  </si>
  <si>
    <t>Maniquis</t>
  </si>
  <si>
    <t>Leila Jasmin</t>
  </si>
  <si>
    <t>Ebitner</t>
  </si>
  <si>
    <t>Office Suites B Clark Center Jose Abad Santos Avenue Clark Freeport Zone Philippines</t>
  </si>
  <si>
    <t>enriquez.kim.corp@gmail.com</t>
  </si>
  <si>
    <t>2022-206</t>
  </si>
  <si>
    <t>LETS BEE DELIVERY SERVICES CORPORATION</t>
  </si>
  <si>
    <t>Carlo</t>
  </si>
  <si>
    <t>Unit 3B Retail Building 2 Philexcel Business Park M Roxas Highway Clark Freeport Zone Philippines</t>
  </si>
  <si>
    <t>letsbeeadm1n@gmail.com</t>
  </si>
  <si>
    <t>0917-628-5680</t>
  </si>
  <si>
    <t>2022-258</t>
  </si>
  <si>
    <t>Operational</t>
  </si>
  <si>
    <t>TRENT ONE REAL ESTATE INC</t>
  </si>
  <si>
    <t>Gaile Frances</t>
  </si>
  <si>
    <t>Sanglay</t>
  </si>
  <si>
    <t>HR and ADMIN</t>
  </si>
  <si>
    <t>2ND FLOOR GOLDEN TREE BLDG THE VILLAGES LOT 2 BLK 1 PRINCE BALAGTAS AVE</t>
  </si>
  <si>
    <t>hmassage.hr@gmail.com</t>
  </si>
  <si>
    <t>2022-199</t>
  </si>
  <si>
    <t>Hrose!</t>
  </si>
  <si>
    <t>THE HOT PLACE COFFEE AND DESSERTS CORP</t>
  </si>
  <si>
    <t>PAULA JOY</t>
  </si>
  <si>
    <t>Along Ninoy Aquino Avenue Clark Freeport Zone Mabalacat City Pampanga Philippines 2009</t>
  </si>
  <si>
    <t>herecafeclark@gmail.com</t>
  </si>
  <si>
    <t>0995-413-0405</t>
  </si>
  <si>
    <t>2022-239</t>
  </si>
  <si>
    <t>WOW BRAND HOLDINGS INC</t>
  </si>
  <si>
    <t>Richmond</t>
  </si>
  <si>
    <t>L4001C Clark International Airport Terminal 2 Clark Freeport Zone Philippines</t>
  </si>
  <si>
    <t>rctanglao@periperichicken.ph</t>
  </si>
  <si>
    <t>2022-220</t>
  </si>
  <si>
    <t>EASY HARNESS WIRING SYSTEMS INC</t>
  </si>
  <si>
    <t>Isabel</t>
  </si>
  <si>
    <t>Danganan</t>
  </si>
  <si>
    <t>Unit 12B Philexcel Business Park M A Roxas Highway Clark Freeport Zone Philippines</t>
  </si>
  <si>
    <t>isa@easyharness.net</t>
  </si>
  <si>
    <t>499-1683</t>
  </si>
  <si>
    <t>2022-219</t>
  </si>
  <si>
    <t>SAFARI RENT A CAR INC</t>
  </si>
  <si>
    <t>Bacunawa</t>
  </si>
  <si>
    <t>Sales Admin</t>
  </si>
  <si>
    <t>angeles@safarirentacarinc.com</t>
  </si>
  <si>
    <t>2022-175</t>
  </si>
  <si>
    <t>Safari2022</t>
  </si>
  <si>
    <t>HALL CHADWICK PHILIPPINES INC</t>
  </si>
  <si>
    <t>Bejec</t>
  </si>
  <si>
    <t>Company TreasurerDirector</t>
  </si>
  <si>
    <t>Office Center 08R2 and Office Center 08M2A Berthaphil Clark Center Jose Abad Santos Avenue Clark Freeport Zone Philippines</t>
  </si>
  <si>
    <t>Abejec@hallchadwick.com.ph</t>
  </si>
  <si>
    <t>2022-170</t>
  </si>
  <si>
    <t>JOE RODEL LIMPIN POLINTAN CAFE JKLM</t>
  </si>
  <si>
    <t>Polintan</t>
  </si>
  <si>
    <t>Joe Rodel</t>
  </si>
  <si>
    <t>Limpin</t>
  </si>
  <si>
    <t>Unit 201 2nd Floor Gas Retail Plaza Udenna Ave Clark Global City Civil Aviation Complex Clark Freeport Zone Philippines</t>
  </si>
  <si>
    <t>jrlpolintan72@yahoo.com</t>
  </si>
  <si>
    <t>0917-884-3449</t>
  </si>
  <si>
    <t>2022-240</t>
  </si>
  <si>
    <t>YI LEISURE CLARK INC</t>
  </si>
  <si>
    <t>Delantar</t>
  </si>
  <si>
    <t>Leonel</t>
  </si>
  <si>
    <t>Main Highway Creekside Road and bounded by Tandang Sora H Del Rosario R Magsaysay Streets Clark Freeport Zone Philippines</t>
  </si>
  <si>
    <t>2014-173</t>
  </si>
  <si>
    <t>JKP JAPANESE KOREAN PILIPINO DREAM BIG HOTEL INC</t>
  </si>
  <si>
    <t>3rd floor of SMK  PH Factory Lot 4 CPIP MA Roxas Highway Clark Freeport Zone Philippines</t>
  </si>
  <si>
    <t>jkpdream@yahoo.com</t>
  </si>
  <si>
    <t>2022-306</t>
  </si>
  <si>
    <t>INNOVE COMMUNICATIONS INC</t>
  </si>
  <si>
    <t>TBC</t>
  </si>
  <si>
    <t>Unit 21  22 The Pavilion Mall Philexcel Business Park MA Roxas Highway Clark Freeport Zone Philippines</t>
  </si>
  <si>
    <t>2017-477</t>
  </si>
  <si>
    <t>L1008B4 Arrival Hall Ground Level Landside Clark International Airport Terminal 2 Clark Freeport Zone Philippines</t>
  </si>
  <si>
    <t>jessa.r1@twayair.com</t>
  </si>
  <si>
    <t>2022-335</t>
  </si>
  <si>
    <t>tway1234</t>
  </si>
  <si>
    <t>Airline Services</t>
  </si>
  <si>
    <t>K SOON RESTAURANT CORP</t>
  </si>
  <si>
    <t>Gerlie</t>
  </si>
  <si>
    <t>Bldg N1746 GFUnit 1 Claro M Recto Highway corner MA Roxas Highway Clark Freeport Zone Philippines</t>
  </si>
  <si>
    <t>ksoonrestaurant@gmail.com</t>
  </si>
  <si>
    <t>2022-328</t>
  </si>
  <si>
    <t>Ksoon@CSR</t>
  </si>
  <si>
    <t>VENETIAN COCKTAIL LOUNGE</t>
  </si>
  <si>
    <t>Arvin Louie</t>
  </si>
  <si>
    <t>Stall Nos 205 206 207 and 208 KACC Philmade Annex Bldg Lot 1 and 2 corner J Abad Santos Avenue and E Quirino Street Clark Freeport Zone Philippines</t>
  </si>
  <si>
    <t>venetiancocktail.lounge@gmail.com</t>
  </si>
  <si>
    <t>2022-133</t>
  </si>
  <si>
    <t>/uploads/file-1706261323230.jpg</t>
  </si>
  <si>
    <t>DRS OFFICE TRADING OPC</t>
  </si>
  <si>
    <t>Bagang</t>
  </si>
  <si>
    <t>Miechell</t>
  </si>
  <si>
    <t>Unit 17K1 Philexcel Business Park MA Roxas Highway Clark Freeport Zone Philippines</t>
  </si>
  <si>
    <t>drsmgmt2019@gmail.com</t>
  </si>
  <si>
    <t>2022-345</t>
  </si>
  <si>
    <t>M AND DR TRANSPORT SERVICES</t>
  </si>
  <si>
    <t>Maria Theresa</t>
  </si>
  <si>
    <t>3111 Bagong Lipunan Duquit Malacat City Pampanga</t>
  </si>
  <si>
    <t>drtransportservices@yahoo.com</t>
  </si>
  <si>
    <t>2022-229</t>
  </si>
  <si>
    <t>CASUPANAN</t>
  </si>
  <si>
    <t>RUTH</t>
  </si>
  <si>
    <t>2020-019</t>
  </si>
  <si>
    <t>$Clarkmac2023</t>
  </si>
  <si>
    <t>VANESSA CASTRO GALANG HARIKO MUSIC LOUNGE</t>
  </si>
  <si>
    <t>1F  2F N1905 Lohas Hotel Marimla Street Clark Freeport Zone Philippines</t>
  </si>
  <si>
    <t>nessagalang69@gmail.com</t>
  </si>
  <si>
    <t>2022-312</t>
  </si>
  <si>
    <t>Harikomusic123</t>
  </si>
  <si>
    <t>MYRA PINEDA URDANETA NA JIA SNACK HOUSE</t>
  </si>
  <si>
    <t>Villa 3141 Edinburgh Street Fontana Leisure Parks Clark Freeport Zone Philippines</t>
  </si>
  <si>
    <t>2022-379</t>
  </si>
  <si>
    <t>SNACK HOUSE</t>
  </si>
  <si>
    <t>DAESAN DC GLOBAL INC</t>
  </si>
  <si>
    <t>Carino</t>
  </si>
  <si>
    <t>TreasurerCFO and Manager</t>
  </si>
  <si>
    <t>Unit 339 3rd Floor KACC Philmade Building Lot 1 and 2 corner J Abad Santos Avenue and E Quirino St Clark Freeport Zone Philippines</t>
  </si>
  <si>
    <t>daesandnc@gmail.com</t>
  </si>
  <si>
    <t>2022-294</t>
  </si>
  <si>
    <t>Daesandnc</t>
  </si>
  <si>
    <t>/uploads/file-1657592707322.tif</t>
  </si>
  <si>
    <t>FD ARMORING OPC</t>
  </si>
  <si>
    <t>Bldg 48 Philexcel Business Park MA Roxas Highway Clark Freeport Zone Philippines</t>
  </si>
  <si>
    <t>mark.fdarmoring2022@gmail.com</t>
  </si>
  <si>
    <t>2021-561</t>
  </si>
  <si>
    <t>PHP EXPRESS LOGISTICS CORPORATION</t>
  </si>
  <si>
    <t>Franny</t>
  </si>
  <si>
    <t>Office Area Building 7550 Clark Civil Aviation Complex Clark Freeport Zone Philippines Clark Freeport Zone Philippines</t>
  </si>
  <si>
    <t>karenfrany.phpexpress@gmail.com</t>
  </si>
  <si>
    <t>2022-202</t>
  </si>
  <si>
    <t>SUBIC BAY CONSULTANCY AND ALLIED SERVICES CORPORATION</t>
  </si>
  <si>
    <t>Lafuente</t>
  </si>
  <si>
    <t>Head of Business Development for Central Luzon</t>
  </si>
  <si>
    <t>Mini Warehouse 07 Berthaphil II North Industrial Park Manunggal Street Clark Freeport Zone Philippines</t>
  </si>
  <si>
    <t>mark@cylix.ph</t>
  </si>
  <si>
    <t>2022-244</t>
  </si>
  <si>
    <t>KATYA ALLISON STAPP BINGCANG KAS BRICKFOOD RESTAURANT</t>
  </si>
  <si>
    <t>Ground Floor 1W  113 Clark Global City Civil Aviation Complex Clark Freeport Zone Clark Freeport Zone Philippines</t>
  </si>
  <si>
    <t>katsspecial2022@gmail.com</t>
  </si>
  <si>
    <t>2022-204</t>
  </si>
  <si>
    <t>BOLDER PHILIPPINES LTD INC</t>
  </si>
  <si>
    <t>May Ann</t>
  </si>
  <si>
    <t>8th floor Tower 1 Clark City Front MA Roxas Clark Freeport Zone Pampanga</t>
  </si>
  <si>
    <t>mayann.reyes@boldergroup.com</t>
  </si>
  <si>
    <t>2022-261</t>
  </si>
  <si>
    <t>Bolder@welcome1234!</t>
  </si>
  <si>
    <t>JUHLER PROFESSIONALS CORPORATION</t>
  </si>
  <si>
    <t>Manarang</t>
  </si>
  <si>
    <t>Lea</t>
  </si>
  <si>
    <t>Singson</t>
  </si>
  <si>
    <t>Room 16 Philexcel Business Park Center 2 Philexcel Business Park MRoxas Highway Clark Freeport Zone Clark Freeport Zone Philippines</t>
  </si>
  <si>
    <t>lma@juhlerprofessionals.com.sg</t>
  </si>
  <si>
    <t>-63 975 673 0467</t>
  </si>
  <si>
    <t>2022-382</t>
  </si>
  <si>
    <t>APICE INC</t>
  </si>
  <si>
    <t>4030 Ground Floor of Tower A Donggwang Ode Country CM Recto Highway Clark Freeport Zone Philippines</t>
  </si>
  <si>
    <t>2022-256</t>
  </si>
  <si>
    <t>Edge TG Philippines Corp</t>
  </si>
  <si>
    <t>Wenceslao</t>
  </si>
  <si>
    <t>Maria Carina</t>
  </si>
  <si>
    <t>Units 3W304 305 306 and 307 Three West Aeropark Building Clark Global City Clark Freeport Zone Pampanga 2023</t>
  </si>
  <si>
    <t>mwenceslao@thrivenetworks.com</t>
  </si>
  <si>
    <t>0906-2345900</t>
  </si>
  <si>
    <t>2022-245</t>
  </si>
  <si>
    <t>CRK PHILIPPINE AIRPORT DIAGNOSTIC LABORATORY INC</t>
  </si>
  <si>
    <t>Bldg 7491 CM Recto Highway Clark Civil Aviation Complex Clark Freeport Zone Philippines</t>
  </si>
  <si>
    <t>2022-013</t>
  </si>
  <si>
    <t>NAGUE MALIC MAGNAWA AND ASSOCIATES CUSTOMS BROKERS</t>
  </si>
  <si>
    <t>Molleda</t>
  </si>
  <si>
    <t>Mary Joy</t>
  </si>
  <si>
    <t>N7530 ABONIFACIO AVENUE CLARK INTERNATIONAL AIRPORT COMPLEX CLARK FREEPORT ZONE</t>
  </si>
  <si>
    <t>mjmolleda@nmm.ph</t>
  </si>
  <si>
    <t>2019-288</t>
  </si>
  <si>
    <t>CROWN LIFT TRUCKS PHILIPPINES CORP</t>
  </si>
  <si>
    <t>Mayuga</t>
  </si>
  <si>
    <t>513 5F Regus Bldg Clark Center 07 Clark Center Jose Abad Santos Avenue Clark Freeport Zone Philippines</t>
  </si>
  <si>
    <t>Mark.Mayuga@crown.com</t>
  </si>
  <si>
    <t>0918 807 3583</t>
  </si>
  <si>
    <t>2022-177</t>
  </si>
  <si>
    <t>NCCKOR INC</t>
  </si>
  <si>
    <t>Efren</t>
  </si>
  <si>
    <t>Unit 202A Bldg N1473 Rio Grande de Pampanga cor Abacan Sts Clark Freeport Zone Philippines</t>
  </si>
  <si>
    <t>efren.ncckor@gmail.com</t>
  </si>
  <si>
    <t>2022-369</t>
  </si>
  <si>
    <t>Capastarlac0883</t>
  </si>
  <si>
    <t>DSCN DSME CONSTRUCTION NEW CLARK CORPORATION</t>
  </si>
  <si>
    <t>Jamaica Mae</t>
  </si>
  <si>
    <t>Office Center 05L2 Clark Center Jose Abad Santos Avenue Clark Freeport Zone Philippines</t>
  </si>
  <si>
    <t>dscndsme2019@gmail.com</t>
  </si>
  <si>
    <t>2022-411</t>
  </si>
  <si>
    <t>EIGHT CONNECTICUT TRAVEL AND TOURS INC</t>
  </si>
  <si>
    <t>Cuevas</t>
  </si>
  <si>
    <t>Joseph</t>
  </si>
  <si>
    <t>Bldg 2125 A Samat Street Clark Freeport Zone Philippines</t>
  </si>
  <si>
    <t>eightconnecticut@gmail.com</t>
  </si>
  <si>
    <t>2022-210</t>
  </si>
  <si>
    <t>GLOBALJO STRATEGIC SERVICES CORP</t>
  </si>
  <si>
    <t>Bearzi</t>
  </si>
  <si>
    <t>Joachim</t>
  </si>
  <si>
    <t>PresidentCEO</t>
  </si>
  <si>
    <t>Unit 17K2 Philexcel Business Park M Roxas Highway Clark Freeport Zone Philippines</t>
  </si>
  <si>
    <t>global.jo2020@gmail.com</t>
  </si>
  <si>
    <t>2022-393</t>
  </si>
  <si>
    <t>SEIDOTECH SOLUTIONS CORP</t>
  </si>
  <si>
    <t>Dolatre</t>
  </si>
  <si>
    <t>Nina Cristina</t>
  </si>
  <si>
    <t>Agasid</t>
  </si>
  <si>
    <t>2 WorkPlus GF Units 17 18 Acacia Drive Filinvest Mimosa Leisure City Clark Freeport Zone Philippines</t>
  </si>
  <si>
    <t>ncadolatre@seidotech.io</t>
  </si>
  <si>
    <t>2022-346</t>
  </si>
  <si>
    <t>ORIENTAL BEAUTY  HEALTH CORPORATION</t>
  </si>
  <si>
    <t>Peralta</t>
  </si>
  <si>
    <t>Ezekiel</t>
  </si>
  <si>
    <t>Unit 201 Gihon Building Jose Abad Santos Avenue Clark Freeport Zone Philippines Clark Freeport Zone Philippines</t>
  </si>
  <si>
    <t>orientalbeauty22@gmail.com</t>
  </si>
  <si>
    <t>2022-431</t>
  </si>
  <si>
    <t>Orientalspa2022</t>
  </si>
  <si>
    <t>Spa</t>
  </si>
  <si>
    <t>Health and Wellness</t>
  </si>
  <si>
    <t>STANLEY WILFRED LEE QUISORA SO SJS RESTAURANT</t>
  </si>
  <si>
    <t>Leanna Mae</t>
  </si>
  <si>
    <t>SRD Bldg 2 N 2062 2nd Floor E Jacinto St</t>
  </si>
  <si>
    <t>alinglucingsisigclark@gmail.com</t>
  </si>
  <si>
    <t>2022-326</t>
  </si>
  <si>
    <t>LACANLALE AND DE GUZMAN LAW FIRM</t>
  </si>
  <si>
    <t>Joson</t>
  </si>
  <si>
    <t>Angeica</t>
  </si>
  <si>
    <t>Unit No 321  323 3rd Floor Philmade Building Lot 12 corner Jose Abad Santos Avenue and E Quirino Street</t>
  </si>
  <si>
    <t>agj.ldlaw@gmail.com</t>
  </si>
  <si>
    <t>045 499 8654</t>
  </si>
  <si>
    <t>2022-481</t>
  </si>
  <si>
    <t>ITO NOBU PHILIPPINES INC</t>
  </si>
  <si>
    <t>Igares</t>
  </si>
  <si>
    <t>Acctg Sr Manager</t>
  </si>
  <si>
    <t>Room 7A Philexcel Business Center 1 Philexcel Business Park MA Roxas Highway</t>
  </si>
  <si>
    <t>inp.accounts@ito-nobu.co.jp</t>
  </si>
  <si>
    <t>2022-418</t>
  </si>
  <si>
    <t>itonobu072022</t>
  </si>
  <si>
    <t>AZ HANG OVER CLARK CORPORATION</t>
  </si>
  <si>
    <t>Sherly</t>
  </si>
  <si>
    <t>Bldg 6410  6413 MA Roxas Highway Clark Freeport Zone</t>
  </si>
  <si>
    <t>sherlydizon09@gmail.com</t>
  </si>
  <si>
    <t>2022-468</t>
  </si>
  <si>
    <t>franzDJ19</t>
  </si>
  <si>
    <t>INGENIOUS SOLUTIONS INC</t>
  </si>
  <si>
    <t>Office Center 06H Berthaphil Clark Center Jose Abad Santos Avenue</t>
  </si>
  <si>
    <t>carlo.cruz@ingeniousphilippines.com</t>
  </si>
  <si>
    <t>2022-519</t>
  </si>
  <si>
    <t>Clark123!</t>
  </si>
  <si>
    <t>/uploads/file-1663689519125.jpeg</t>
  </si>
  <si>
    <t>MEETING YOU MILK TEA  COFFEE SHOP INC</t>
  </si>
  <si>
    <t>Rolando</t>
  </si>
  <si>
    <t>Unit 7 Ground Floor Tree House Bldg The Villages Lot 9 Commercial Mixed Use B CM Recto Highway</t>
  </si>
  <si>
    <t>otlandoffice@gmail.com</t>
  </si>
  <si>
    <t>2022-510</t>
  </si>
  <si>
    <t>LANCE1524</t>
  </si>
  <si>
    <t>MYUNG DANG PLUS DEVELOPMENT INC</t>
  </si>
  <si>
    <t>PUNO</t>
  </si>
  <si>
    <t>PRINCESS WIN</t>
  </si>
  <si>
    <t>Block 22 Lot 3 Clark Global City Clark Freeport Zone Pampanga 2023</t>
  </si>
  <si>
    <t>myungdang@yahoo.com</t>
  </si>
  <si>
    <t>2022-485</t>
  </si>
  <si>
    <t>myungdang2022</t>
  </si>
  <si>
    <t>TSSHINWHA CORPORATION</t>
  </si>
  <si>
    <t>Naguit</t>
  </si>
  <si>
    <t>Jocelyn Mutya</t>
  </si>
  <si>
    <t>Supia K Supia Resort Lot 2 corner Abacan and Quitangil Streets Clark Freeport Zone</t>
  </si>
  <si>
    <t>ts.shinwha.corp@gmail.com</t>
  </si>
  <si>
    <t>2021-187</t>
  </si>
  <si>
    <t>shinwha2022</t>
  </si>
  <si>
    <t>ELITE GLOBAL SOLUTIONS PHILIPPINES INC</t>
  </si>
  <si>
    <t>Burchard</t>
  </si>
  <si>
    <t>VP  Operations</t>
  </si>
  <si>
    <t>Second Floor Office Center 08T Berthaphil Clark Center Jose Abad Santos Avenue Clark Freeport Zone</t>
  </si>
  <si>
    <t>admin@eliteglobalsolutions.ltd</t>
  </si>
  <si>
    <t>-0927- 779 3465</t>
  </si>
  <si>
    <t>2022-441</t>
  </si>
  <si>
    <t>Clark&amp;Test01</t>
  </si>
  <si>
    <t>ASIANOWENTERPRISES INC</t>
  </si>
  <si>
    <t>Gudes</t>
  </si>
  <si>
    <t>Marlylyn</t>
  </si>
  <si>
    <t>Compliance Assistant</t>
  </si>
  <si>
    <t>Office C2 5th Floor One West Aeropark Clark Global City</t>
  </si>
  <si>
    <t>marlylyn.gudes@ipvg.com</t>
  </si>
  <si>
    <t>2022-119</t>
  </si>
  <si>
    <t>TAP WORLD EXPRESS INC</t>
  </si>
  <si>
    <t>Lanuza</t>
  </si>
  <si>
    <t>Edsa</t>
  </si>
  <si>
    <t>Accounting Supervisor</t>
  </si>
  <si>
    <t>Unit 2D Philexcel Business Park Annex E Quirino Street Clark Freeport Zone</t>
  </si>
  <si>
    <t>accounting@tapworld.com.ph</t>
  </si>
  <si>
    <t>2022-491</t>
  </si>
  <si>
    <t>TOP TASTE AND TRADING INC</t>
  </si>
  <si>
    <t>Delmo</t>
  </si>
  <si>
    <t>Eusebio</t>
  </si>
  <si>
    <t>Lozada</t>
  </si>
  <si>
    <t>HRAD HEAD</t>
  </si>
  <si>
    <t>Ground Floor Kiosk Area Units C K3 and A K3 T40 JP Laurel Ave</t>
  </si>
  <si>
    <t>toptaste_hrd@yahoo.com</t>
  </si>
  <si>
    <t>2022-190</t>
  </si>
  <si>
    <t>SJ CLARK MONEY CHANGER INC</t>
  </si>
  <si>
    <t>Baustista</t>
  </si>
  <si>
    <t>Josephine Paula</t>
  </si>
  <si>
    <t>15B DHeights Casino T309 Jose Abad Santos Avenue</t>
  </si>
  <si>
    <t>bautistajosephinepaula@gmail.com</t>
  </si>
  <si>
    <t>045-407-1596</t>
  </si>
  <si>
    <t>2019-491</t>
  </si>
  <si>
    <t>FLITELINE AIRWAYS PHIL INC</t>
  </si>
  <si>
    <t>Salcedo</t>
  </si>
  <si>
    <t>Maria Divina</t>
  </si>
  <si>
    <t>Bldg 2 Office 3 Berthaphil IV Compound Civil Aviation Complex</t>
  </si>
  <si>
    <t>flitelineairwaysphilsinc@gmail.com</t>
  </si>
  <si>
    <t>2021-241</t>
  </si>
  <si>
    <t>#JACairways2022</t>
  </si>
  <si>
    <t>IA PHILS ASSESSMENT AND CERTIFICATION SERVICES LTD CO</t>
  </si>
  <si>
    <t>Salud</t>
  </si>
  <si>
    <t>Elvira</t>
  </si>
  <si>
    <t>Business Development Coordinator</t>
  </si>
  <si>
    <t>Office Number S05 5th Floor Clark Center 07 Berthaphil Clark Center Jose Abad Santos Avenue</t>
  </si>
  <si>
    <t>elvira@ia-uk.com</t>
  </si>
  <si>
    <t>2022-404</t>
  </si>
  <si>
    <t>AIRA MARIE M AQUINO CLARK BANJUM NOODLE HOUSE</t>
  </si>
  <si>
    <t>Aira Marie</t>
  </si>
  <si>
    <t>Stall 108 Ground Floor KACC Philmade Bldg Lot 1  and 2 Corner J Abad Santos Ave and E Quirino St Clark Freeport Zone</t>
  </si>
  <si>
    <t>hongjjampong@gmail.com</t>
  </si>
  <si>
    <t>2022-536</t>
  </si>
  <si>
    <t>Hong081322</t>
  </si>
  <si>
    <t>EDWIN QUILATON GARGAR SHIJIA RESTOBAR</t>
  </si>
  <si>
    <t>Villa 3149 Edinburgh Street Fontana Leisure Parks</t>
  </si>
  <si>
    <t>2022-318</t>
  </si>
  <si>
    <t>ASK ME ANYTIME A TRAVEL AGENCY INC</t>
  </si>
  <si>
    <t>Unit 342 Lot 1  2 Corner J Abad Santos Avenue and E Quirino St Clark Freeport Zone Philippines</t>
  </si>
  <si>
    <t>askmeanytimetravel@gmail.com</t>
  </si>
  <si>
    <t>2022-461</t>
  </si>
  <si>
    <t>Askme@CSR</t>
  </si>
  <si>
    <t>M STAY HOTEL CORP</t>
  </si>
  <si>
    <t>Guese</t>
  </si>
  <si>
    <t>Marice</t>
  </si>
  <si>
    <t>Unit 5 Ground Floor of Clark Terrace Building Lot 2 Block 1 The Villages Prince Balagtas Ave</t>
  </si>
  <si>
    <t>mstayhotelclark@gmail.com</t>
  </si>
  <si>
    <t>2022-496</t>
  </si>
  <si>
    <t>NESTLE PHILIPPINES INC</t>
  </si>
  <si>
    <t>Lalic</t>
  </si>
  <si>
    <t>Regional Sales Admin</t>
  </si>
  <si>
    <t>Units 4 6 7 and 8 Ground Floor Clark Center 14 Clark Center Jose Abad Santos Avenue Clark Freeport Zone</t>
  </si>
  <si>
    <t>joan.lalic@ph.nestle.com</t>
  </si>
  <si>
    <t>0917-677-5497</t>
  </si>
  <si>
    <t>2019-322</t>
  </si>
  <si>
    <t>ALFRA OMANITO PENZON VPM INTERNET CAFE</t>
  </si>
  <si>
    <t>Llido</t>
  </si>
  <si>
    <t>Ranz Van</t>
  </si>
  <si>
    <t>Unit C205 ON Commercial Bldg Lot 1 E Aguinaldo Street</t>
  </si>
  <si>
    <t>vpm.pccafe@gmail.com</t>
  </si>
  <si>
    <t>2022-597</t>
  </si>
  <si>
    <t>499-0256-499-1253</t>
  </si>
  <si>
    <t>KATE LYNNE LACANGAN ESCOBAR CLARKHILLS REAL ESTATE MANAGEMENT SERVICES</t>
  </si>
  <si>
    <t>Sta Teresa</t>
  </si>
  <si>
    <t>Annette</t>
  </si>
  <si>
    <t>Unit A1 Club Building Clark Hills Village Abacan  Chico Sts</t>
  </si>
  <si>
    <t>annetty0724@gmail.com</t>
  </si>
  <si>
    <t>2022-600</t>
  </si>
  <si>
    <t>SBSN Baggage Wrapping Services Inc</t>
  </si>
  <si>
    <t>Salvatierra</t>
  </si>
  <si>
    <t>Hansel Ian</t>
  </si>
  <si>
    <t>Clark International Airport Terminal 2 Civil Aviation Complex Clark Freeport Zone Pampanga</t>
  </si>
  <si>
    <t>sbsnwrapping.inc@gmail.com</t>
  </si>
  <si>
    <t>2022-445</t>
  </si>
  <si>
    <t>MERIT HOMES REAL ESTATE INC</t>
  </si>
  <si>
    <t>Rona</t>
  </si>
  <si>
    <t>Liang</t>
  </si>
  <si>
    <t>S1 Building No1 Monterrace Suites Commercial Area Jose Abad Santos Avenue Dheights Resort</t>
  </si>
  <si>
    <t>merithomesrealestatesinc@gmail.com</t>
  </si>
  <si>
    <t>2022-566</t>
  </si>
  <si>
    <t>Realestaterocks!</t>
  </si>
  <si>
    <t>HAZEL HUCALINAS JAENA HOT WOK CHINESE RESTAURANT</t>
  </si>
  <si>
    <t>Ana Clarisa</t>
  </si>
  <si>
    <t>Stall 206 and 207 2nd Floor Philmade Building corner Jose Abad Santos Avenue and E Quirino St</t>
  </si>
  <si>
    <t>hotwokrestaurant22@gmail.com</t>
  </si>
  <si>
    <t>0930-001-0618</t>
  </si>
  <si>
    <t>2022-537</t>
  </si>
  <si>
    <t>NANU NANU  FOOD CORPORATION</t>
  </si>
  <si>
    <t>Peter John</t>
  </si>
  <si>
    <t>Director for Marketing</t>
  </si>
  <si>
    <t>Unit 2 The Pavilion Philexcel Business Park MA Roxas Highway Clark Freeport Zone Philippines</t>
  </si>
  <si>
    <t>nanunanufoodcorp@gmail.com</t>
  </si>
  <si>
    <t>2022-334</t>
  </si>
  <si>
    <t>CAFE RODOLFO INC DOING BUSINESS UNDER THE NAME AND STYLE OF AMARE RISTORANTE</t>
  </si>
  <si>
    <t>Velarde</t>
  </si>
  <si>
    <t>Prince</t>
  </si>
  <si>
    <t>Deputy Manager</t>
  </si>
  <si>
    <t>M A Roxas Avenue Clark Freeport Zone</t>
  </si>
  <si>
    <t>pvelarde011980@gmail.com</t>
  </si>
  <si>
    <t>2022-365</t>
  </si>
  <si>
    <t>NEW CLARK GOVERNMENT CENTER CORPORATION NCGC</t>
  </si>
  <si>
    <t>Pangan</t>
  </si>
  <si>
    <t>Liaison  Admin</t>
  </si>
  <si>
    <t>GF Government Building NGAC Brgy Aranguren New Clark City</t>
  </si>
  <si>
    <t>mr_joeyponce@yahoo.com</t>
  </si>
  <si>
    <t>2022-641</t>
  </si>
  <si>
    <t>SHIN CLARK POWER CORPORATION</t>
  </si>
  <si>
    <t>Agulto</t>
  </si>
  <si>
    <t>NCC Substation Botolan Airport Road Brgy Aranguren New Clark City Capas Tarlac Philippines</t>
  </si>
  <si>
    <t>meagulto@shinclarkpower.com</t>
  </si>
  <si>
    <t>2022-427</t>
  </si>
  <si>
    <t>ShinClarkPowerCORP22</t>
  </si>
  <si>
    <t>SOCRATES MANARANG LEANDICHO SOC CANTEEN</t>
  </si>
  <si>
    <t>Gosim</t>
  </si>
  <si>
    <t>SIA Engineering Philippines Corporation N76917592 A Bonifacio Ave</t>
  </si>
  <si>
    <t>jhonrey1391@gmail.com</t>
  </si>
  <si>
    <t>2022-287</t>
  </si>
  <si>
    <t>Canteenconcessionaire</t>
  </si>
  <si>
    <t>WAPITOW BUSINESS CONSULTANCY CORPORATION</t>
  </si>
  <si>
    <t>Office Center 05L1B Clark Center Jose Abad Santos Avenue Clark Freeport Zone</t>
  </si>
  <si>
    <t>wapitow.bc@gmail.com</t>
  </si>
  <si>
    <t>2022-644</t>
  </si>
  <si>
    <t>Wapitowbcc</t>
  </si>
  <si>
    <t>ROGER YLARDE LUCERO CHUNGCHUN HOTDOG CAFE</t>
  </si>
  <si>
    <t>Romualdon</t>
  </si>
  <si>
    <t>Tero</t>
  </si>
  <si>
    <t>External Accountant  Liaison Officer</t>
  </si>
  <si>
    <t>Unit B48 Second Floor Clark Cityfront Mall MA Roxas Highway Clark Freeport Zone</t>
  </si>
  <si>
    <t>lrcprofessional94@gmail.com</t>
  </si>
  <si>
    <t>2022-634</t>
  </si>
  <si>
    <t>ANUEM CAFE</t>
  </si>
  <si>
    <t>Unit 8 Clark Terrace Building The Villages Lot 2 Block 1 Prince Balagtas Ave Clark Freeport Zone Pampanga Philippines 2023</t>
  </si>
  <si>
    <t>abconcepcion16@gmail.com</t>
  </si>
  <si>
    <t>2022-637</t>
  </si>
  <si>
    <t>Anuem@CSR</t>
  </si>
  <si>
    <t>/uploads/file-1671508576036.jpg</t>
  </si>
  <si>
    <t>AEROPARK DEVELOPMENT PHILIPPINES INC</t>
  </si>
  <si>
    <t>Maghinay</t>
  </si>
  <si>
    <t>Janis</t>
  </si>
  <si>
    <t>One West Aeropark located within Block 3 Lot 6 Clark Global City</t>
  </si>
  <si>
    <t>pam.henson@aeroparkdev.com</t>
  </si>
  <si>
    <t>2022-452</t>
  </si>
  <si>
    <t>WestAer0Park!</t>
  </si>
  <si>
    <t>ASIATRADERS CORPORATION</t>
  </si>
  <si>
    <t>Ma Corazon</t>
  </si>
  <si>
    <t>Unit B18 and B19 Second Floor Clark Cityfront Mall</t>
  </si>
  <si>
    <t>santos.asiatraderscorp@gmail.com</t>
  </si>
  <si>
    <t>2022-626</t>
  </si>
  <si>
    <t>/uploads/file-1671758798242.jpg</t>
  </si>
  <si>
    <t>MYRA PINEDA URDANETA SHACHA NOODLE HOUSE</t>
  </si>
  <si>
    <t>Villa 3140 Ediburgh Street Fontana  Leisure Park</t>
  </si>
  <si>
    <t>2022-701</t>
  </si>
  <si>
    <t>PAOLO REYES SUMAGAYSAY MANGAN  MANILA GRILL AND RESTAURANT</t>
  </si>
  <si>
    <t>Sumagaysay</t>
  </si>
  <si>
    <t>Paolo</t>
  </si>
  <si>
    <t>N2835 Jose Abad Santos Avenue corner Bayanihan Street</t>
  </si>
  <si>
    <t>sumagaysay.paolo@yahoo.com</t>
  </si>
  <si>
    <t>2022-674</t>
  </si>
  <si>
    <t>TALIMUNDUC CORPORATION DOING BUSINESS UNDER THE NAME AND STYLE OF HONDA CARS ANGELESCLARK</t>
  </si>
  <si>
    <t>Located along MA Roxas Highway Clark Freeport Zone</t>
  </si>
  <si>
    <t>mgrgomez@hondapampanga.com</t>
  </si>
  <si>
    <t>499-8135</t>
  </si>
  <si>
    <t>2015-034</t>
  </si>
  <si>
    <t>CRTE2023-027</t>
  </si>
  <si>
    <t>BEYOND MEGA TERA CORP</t>
  </si>
  <si>
    <t>Jhoanne</t>
  </si>
  <si>
    <t>SRD Bldg N2062B Second Floor Unit 201 and 202 Clark Freeport Zone</t>
  </si>
  <si>
    <t>canlas.jhoanne@gmail.com</t>
  </si>
  <si>
    <t>0917-180-1215</t>
  </si>
  <si>
    <t>2022-717</t>
  </si>
  <si>
    <t>Massage011623</t>
  </si>
  <si>
    <t>VANESSA JUDE M LI TONNER PACK PLASTIC SACKS MANUFACTURING</t>
  </si>
  <si>
    <t>Vanessa Jude</t>
  </si>
  <si>
    <t>Unit 16D Philexcel Business Park M Roxas Highway</t>
  </si>
  <si>
    <t>vanessa@tonnerpack.ph</t>
  </si>
  <si>
    <t>2022-578</t>
  </si>
  <si>
    <t>VENTRA HEALTH GLOBAL SERVICES INC</t>
  </si>
  <si>
    <t>Babadilla</t>
  </si>
  <si>
    <t>Unit1F2 3A and 4B Philexcel Business Center 15 Philexcel Business Park M Roxas Highway</t>
  </si>
  <si>
    <t>Arlene.Babadilla@ventrahealth.com</t>
  </si>
  <si>
    <t>2023-031</t>
  </si>
  <si>
    <t>Ventra022023</t>
  </si>
  <si>
    <t>BPO  Medical Billing</t>
  </si>
  <si>
    <t>/uploads/file-1674710592663.png</t>
  </si>
  <si>
    <t>CHENEE BAGSIC DAVID DC CONVENIENCE STORE</t>
  </si>
  <si>
    <t>Chenee</t>
  </si>
  <si>
    <t>Lobby 1 The Sharp Clark Hills Jose Abad Santos Avenue</t>
  </si>
  <si>
    <t>dcconveniencestore2022@gmail.com</t>
  </si>
  <si>
    <t>0920 315 8511</t>
  </si>
  <si>
    <t>2023-024</t>
  </si>
  <si>
    <t>BEAUTEDERM CORPORATION</t>
  </si>
  <si>
    <t>Pring</t>
  </si>
  <si>
    <t>Chonna Lee</t>
  </si>
  <si>
    <t>Unit B35B36 Second Floor Clark Cityfront Mall MA Roxas Highway</t>
  </si>
  <si>
    <t>beautedermphils.compliance@gmail.com</t>
  </si>
  <si>
    <t>2022-642</t>
  </si>
  <si>
    <t>BD1234</t>
  </si>
  <si>
    <t>TECHLOG CENTER LLC UNDER THE NAME OF TECHLOG CENTER PHILIPPINES</t>
  </si>
  <si>
    <t>Ajero</t>
  </si>
  <si>
    <t>Cabuhat</t>
  </si>
  <si>
    <t>Financial Analyst</t>
  </si>
  <si>
    <t>2nd 10th 11th and 12th of Three West Aeropark Clark Global City Clark Freeport Zone</t>
  </si>
  <si>
    <t>CHRISTINA.AJERO@asurion.com</t>
  </si>
  <si>
    <t>2023-023</t>
  </si>
  <si>
    <t>MET EXPRESS AIR CORP</t>
  </si>
  <si>
    <t>Combatir</t>
  </si>
  <si>
    <t>Keirsken Hope</t>
  </si>
  <si>
    <t>Panolino</t>
  </si>
  <si>
    <t>Bldg 7541 Clark Civil Aviation Complex Clark Freeport Zone Pampanga</t>
  </si>
  <si>
    <t>camille.metexpressaircorp@gmail.com</t>
  </si>
  <si>
    <t>2023-022</t>
  </si>
  <si>
    <t>Air Freight Transport</t>
  </si>
  <si>
    <t>LC STAR UNICA HIJA SALON INC</t>
  </si>
  <si>
    <t>Ibo</t>
  </si>
  <si>
    <t>Unit C30 to C31A Third Floor Clark Cityfront Mall</t>
  </si>
  <si>
    <t>lcstarunicahijasalon.inc@yahoo.com</t>
  </si>
  <si>
    <t>2022-628</t>
  </si>
  <si>
    <t>GROUP ONE JL INTERNATIONAL INC</t>
  </si>
  <si>
    <t>Unit C202 Lot 1 E Aguinaldo St</t>
  </si>
  <si>
    <t>grouponejl@gmail.com</t>
  </si>
  <si>
    <t>2023-042</t>
  </si>
  <si>
    <t>MURPHY  MARU CORP</t>
  </si>
  <si>
    <t>Amado</t>
  </si>
  <si>
    <t>Area Coordinator</t>
  </si>
  <si>
    <t>Unit 2K3 Food Hall Second Floor Clark Cityfront Mall Clark Freeport Zone</t>
  </si>
  <si>
    <t>ghepoi.velasquez@gmail.com</t>
  </si>
  <si>
    <t>2022-643</t>
  </si>
  <si>
    <t>ZENIAL GROUP INC</t>
  </si>
  <si>
    <t>Unit 2K6 Second Floor Clark Cityfront Mall Clark Freeport Zone</t>
  </si>
  <si>
    <t>2022-633</t>
  </si>
  <si>
    <t>KX HITECH PHILS CORP FORMERLY KMH HITECH PHILS CORP</t>
  </si>
  <si>
    <t>Pasol</t>
  </si>
  <si>
    <t>Laarni</t>
  </si>
  <si>
    <t>Retamal</t>
  </si>
  <si>
    <t>Bldg 3852 Prince Balagtas Ave Clark Freeport Zone</t>
  </si>
  <si>
    <t>kxph007@gmail.com</t>
  </si>
  <si>
    <t>045 499 1538</t>
  </si>
  <si>
    <t>2017-035</t>
  </si>
  <si>
    <t>Semi Conductor</t>
  </si>
  <si>
    <t>ASMPT Holding Philippines Ltd Under the name ASMPT Holding Philippines Ltd Branch Ofc</t>
  </si>
  <si>
    <t>Maria Blessilda</t>
  </si>
  <si>
    <t>Administration Supervisor</t>
  </si>
  <si>
    <t>Unit 3 Ground Floor Clark Center 09 Clark Center Jose Abad Santos Avenue Clark Freeport Zone</t>
  </si>
  <si>
    <t>maria.b@asmpt.com</t>
  </si>
  <si>
    <t>02 850 4543 or 0917 557 5247</t>
  </si>
  <si>
    <t>2019-119</t>
  </si>
  <si>
    <t>CLARK TALK NET INC FORMERLY JF DEE ACADEMY INC</t>
  </si>
  <si>
    <t>Villaluz</t>
  </si>
  <si>
    <t>Unit 7 Clark Terrace Building The Villages Lot 2 Block 1 Prince Balagtas Avenue</t>
  </si>
  <si>
    <t>abegailvillaluz222@gmail.com</t>
  </si>
  <si>
    <t>2023-069</t>
  </si>
  <si>
    <t>/uploads/file-1737962907709.png</t>
  </si>
  <si>
    <t>CORE PACIFIC MONEY EXCHANGE CORPORATION</t>
  </si>
  <si>
    <t>Pepito</t>
  </si>
  <si>
    <t>Sara Jane</t>
  </si>
  <si>
    <t>Comonsad</t>
  </si>
  <si>
    <t>Unit C37B Third Floor Clark Cityfront Mall Clark Freeport Zone</t>
  </si>
  <si>
    <t>pepitosarajane25@gmail.com</t>
  </si>
  <si>
    <t>2022-635</t>
  </si>
  <si>
    <t>ARIOLAS PHILIPPINES INC</t>
  </si>
  <si>
    <t>San Juan</t>
  </si>
  <si>
    <t>Aleluia</t>
  </si>
  <si>
    <t>Room 104 Clark Welcome Center Office Suites Berthaphil Vlll Compound SCTEX Road Clark Freeport Zone</t>
  </si>
  <si>
    <t>ariolaspw@gmail.com</t>
  </si>
  <si>
    <t>2023-032</t>
  </si>
  <si>
    <t>TORO CLOUD PHILIPPINES PTY LTD OPERATING UNDER THE NAME OF TORO CLOUD PHILIPPINES PTY LTD REPRESENTATIVE OFFICE</t>
  </si>
  <si>
    <t>Second Floor Clark Center 10 Berthaphil Clark Center Jose Abad Santos Avenue</t>
  </si>
  <si>
    <t>hr@torocloud.com</t>
  </si>
  <si>
    <t>045-499-2248</t>
  </si>
  <si>
    <t>2023-086</t>
  </si>
  <si>
    <t>Torocloud_2023</t>
  </si>
  <si>
    <t>WANGET INC</t>
  </si>
  <si>
    <t>Kaycee</t>
  </si>
  <si>
    <t>Pabalan</t>
  </si>
  <si>
    <t>Administrative Supervisor</t>
  </si>
  <si>
    <t>Office Center 05J Clark Center Jose Abad Santos Avenue</t>
  </si>
  <si>
    <t>wnagetinc@gmail.com</t>
  </si>
  <si>
    <t>045- 499-0175</t>
  </si>
  <si>
    <t>2023-096</t>
  </si>
  <si>
    <t>wangetinc2023</t>
  </si>
  <si>
    <t>Video Editing</t>
  </si>
  <si>
    <t>/uploads/file-1680678574820.webp</t>
  </si>
  <si>
    <t>GREATSPAN INCORPORATED doing business under the name  style of MUMUSO Formerly GREATSPAN INCORPORATED</t>
  </si>
  <si>
    <t>Vilar</t>
  </si>
  <si>
    <t>Unit B13B14 Second Floor Clark Cityfront Mall MA Roxas Highway</t>
  </si>
  <si>
    <t>mumuso.winnie@yahoo.com</t>
  </si>
  <si>
    <t>2022-625</t>
  </si>
  <si>
    <t>ACCENTURE INC</t>
  </si>
  <si>
    <t>Roco</t>
  </si>
  <si>
    <t>Coralyn</t>
  </si>
  <si>
    <t>Workplace Service Delivery AssocManager</t>
  </si>
  <si>
    <t>5th Floor One West Aeropark Clark Global City Clark Freeport Zone Pampanga</t>
  </si>
  <si>
    <t>coralyn.roco@accenture.com</t>
  </si>
  <si>
    <t>2022-652</t>
  </si>
  <si>
    <t>/uploads/file-1722296553532.png</t>
  </si>
  <si>
    <t>RURAL BANK OF SILAY CITY INC</t>
  </si>
  <si>
    <t>Reafor</t>
  </si>
  <si>
    <t>Marnelli</t>
  </si>
  <si>
    <t>Morada</t>
  </si>
  <si>
    <t>Office C1 5th Floor One West Aeropark Clark Global City</t>
  </si>
  <si>
    <t>marnie.rbsilay@gmail.com</t>
  </si>
  <si>
    <t>0976-0844840</t>
  </si>
  <si>
    <t>2023-082</t>
  </si>
  <si>
    <t>LIQUIDITY PROPERTY MANAGEMENT HOLDINGS CORPORATION</t>
  </si>
  <si>
    <t>Grovum</t>
  </si>
  <si>
    <t>Murray</t>
  </si>
  <si>
    <t>Orin</t>
  </si>
  <si>
    <t>Office Center 08R2A Clark Center Jose Abad Santos Avenue CFZ Philippines</t>
  </si>
  <si>
    <t>info@lpm.holdings</t>
  </si>
  <si>
    <t>2022-601</t>
  </si>
  <si>
    <t>LPMHoldings</t>
  </si>
  <si>
    <t>ABCDE DAVID SAMBILE ABCDE SAMBILE RESTO BAR</t>
  </si>
  <si>
    <t>Sambile</t>
  </si>
  <si>
    <t>Abcde</t>
  </si>
  <si>
    <t>UPS International Inc UPS Ibtra Asia Hub Civil Aviation Complex</t>
  </si>
  <si>
    <t>dindee23sambile@gmail.com</t>
  </si>
  <si>
    <t>2023-122</t>
  </si>
  <si>
    <t>Commercial mu</t>
  </si>
  <si>
    <t>KOKU FOOD THERAPY CONCEPT INC doing business under the names and styles of KOKU SUSHI TEPPAN  SAKE and CHEF SAMURAI S</t>
  </si>
  <si>
    <t>Leonelyn</t>
  </si>
  <si>
    <t>SRD Bldg N2062 Ground Floor Unit A02 E Jacinto Street</t>
  </si>
  <si>
    <t>allflipflops_smclark@yahoo.com</t>
  </si>
  <si>
    <t>0975-512-4064</t>
  </si>
  <si>
    <t>2022-645</t>
  </si>
  <si>
    <t>MARY AND ANNA WELLNESS SPA</t>
  </si>
  <si>
    <t>Mina</t>
  </si>
  <si>
    <t>Ernesto Jr</t>
  </si>
  <si>
    <t>Office Center 06A Clark Center Jose Abad Santos Avenue</t>
  </si>
  <si>
    <t>ernestojrmina@gmail.com</t>
  </si>
  <si>
    <t>2023-116</t>
  </si>
  <si>
    <t>FIPETA JEAN PARAISO GONGYOO MONEY CHANGING SERVICES</t>
  </si>
  <si>
    <t>Atty in fact</t>
  </si>
  <si>
    <t>Unit 6 B1 Clark Terrace Building The Villages Lot 2 Block 1 Prince Balagtas Ave</t>
  </si>
  <si>
    <t>jhen1977@yahoo.com</t>
  </si>
  <si>
    <t>2023-091</t>
  </si>
  <si>
    <t>CITYFRONT COMMERCIAL CENTER ADMIN INC</t>
  </si>
  <si>
    <t>Reynes</t>
  </si>
  <si>
    <t>Jeremy</t>
  </si>
  <si>
    <t>Lot 287 Basement Auditorium Lower Ground Floor Clark Cityfront Mall MA Roxas Highway</t>
  </si>
  <si>
    <t>jfreynes@megaworld-lifestyle.com</t>
  </si>
  <si>
    <t>2022-668</t>
  </si>
  <si>
    <t>GUIDED OUTSOURCING INC</t>
  </si>
  <si>
    <t>Raymond Jun</t>
  </si>
  <si>
    <t>Director of Business Operations</t>
  </si>
  <si>
    <t>Office 508 5th Floor Clark Center 07 Berthaphil Clark Center Jose Abad Santos Avenue</t>
  </si>
  <si>
    <t>manalo@guidedoutsourcing.com</t>
  </si>
  <si>
    <t>2023-115</t>
  </si>
  <si>
    <t>ANGELO RIVERA USI CRABS AND CRACK SEAFOOD HOUSE</t>
  </si>
  <si>
    <t>Jashper</t>
  </si>
  <si>
    <t>Laxa</t>
  </si>
  <si>
    <t>Stall B Lot 23 1 H2O Bldg E Jacinto StClark Freeport Zone</t>
  </si>
  <si>
    <t>primusbranch@gmail.com</t>
  </si>
  <si>
    <t>2023-010</t>
  </si>
  <si>
    <t>JERICHO AMIEL ALFONSO TAN JAAT SHOES SHOP</t>
  </si>
  <si>
    <t>Jericho Amiel</t>
  </si>
  <si>
    <t>Alfonzo</t>
  </si>
  <si>
    <t>Stall C Lot 231 H2O Bldg E Jacinto Street</t>
  </si>
  <si>
    <t>jerichotan.vse@gmail.com</t>
  </si>
  <si>
    <t>2023-098</t>
  </si>
  <si>
    <t>BEAUTY RANGE OUTSOURCE INTL INC</t>
  </si>
  <si>
    <t>CHAN</t>
  </si>
  <si>
    <t>IRAHJOSE</t>
  </si>
  <si>
    <t>AQUINO</t>
  </si>
  <si>
    <t>Unit 21C Philexcel Business Park M A Roxas Highway</t>
  </si>
  <si>
    <t>beautyrangeoutsource@gmail.com</t>
  </si>
  <si>
    <t>2022-550</t>
  </si>
  <si>
    <t>MARY JEAN MANALANG AQUINO BINI CAFE</t>
  </si>
  <si>
    <t>Tibe</t>
  </si>
  <si>
    <t>Jude</t>
  </si>
  <si>
    <t>Store Crew</t>
  </si>
  <si>
    <t>Unit 2K5 Second Floor Clark Cityfront Mall Clark Freeport Zone</t>
  </si>
  <si>
    <t>biniph24@gmail.com</t>
  </si>
  <si>
    <t>2022-646</t>
  </si>
  <si>
    <t>PARADE CONCEPTS CORP</t>
  </si>
  <si>
    <t>MACASIO</t>
  </si>
  <si>
    <t>CLARK DANIEL</t>
  </si>
  <si>
    <t>Barnhouse 2088 R Cardinal Santos Ave Clark Freeport Pampanga</t>
  </si>
  <si>
    <t>clarkmacasio@porchclark.com</t>
  </si>
  <si>
    <t>2023-066</t>
  </si>
  <si>
    <t>/uploads/file-1764816359314.png</t>
  </si>
  <si>
    <t>MARCELINO RAPOL ARBOLIDA SHABUNARA RESTAURANT</t>
  </si>
  <si>
    <t>Arbolida</t>
  </si>
  <si>
    <t>Marcelino</t>
  </si>
  <si>
    <t>Rapol</t>
  </si>
  <si>
    <t>Propietor</t>
  </si>
  <si>
    <t>Bldg II N2062 C E Jacinto St</t>
  </si>
  <si>
    <t>Shabunaraph@gmail.com</t>
  </si>
  <si>
    <t>2022-611</t>
  </si>
  <si>
    <t>KIM HARLENE BERSAMIRA SOBOK SOBOK PHOTOGRAPHY STUDIO</t>
  </si>
  <si>
    <t>Reynald</t>
  </si>
  <si>
    <t>Attyinfact  Studio Staff</t>
  </si>
  <si>
    <t>Lot 2 Block 1 Prince Balagtas Avenue Clark Freeport Zone Philippines</t>
  </si>
  <si>
    <t>guecoreynald@gmail.com</t>
  </si>
  <si>
    <t>2023-126</t>
  </si>
  <si>
    <t>YMB TREASURE INTERNATIONAL SYSTEMS INC</t>
  </si>
  <si>
    <t>Cayumo</t>
  </si>
  <si>
    <t>Emmanuel</t>
  </si>
  <si>
    <t>Centeno</t>
  </si>
  <si>
    <t>Office Number 510ResCowork04 5th Floor Clark Center 07 Jose Abad Santos Avenue</t>
  </si>
  <si>
    <t>emancayumo110391@gmail.com</t>
  </si>
  <si>
    <t>2022-678</t>
  </si>
  <si>
    <t>09052022YMBTreasure</t>
  </si>
  <si>
    <t>INTEGRIGUARD OUTSOURCING SERVICES CORPORATION</t>
  </si>
  <si>
    <t>Pavillion 11A2 Clark Center Jose Abad Santos Avenue</t>
  </si>
  <si>
    <t>integriguardoutsourcingcorp@gmail.com</t>
  </si>
  <si>
    <t>2023-159</t>
  </si>
  <si>
    <t>/uploads/file-1683804589455.jpg</t>
  </si>
  <si>
    <t>DRG FOOD AND SERVICES CORPORATION operating under the name of Al Forno by The Veranda</t>
  </si>
  <si>
    <t>Lovely Mie Mei</t>
  </si>
  <si>
    <t>Unit B1 Second Floor Clark Cityfront Mall MA Roxas Highway</t>
  </si>
  <si>
    <t>alfornopampanga@gmail.com</t>
  </si>
  <si>
    <t>2022-614</t>
  </si>
  <si>
    <t>247 INTOUCH PH 3 INC</t>
  </si>
  <si>
    <t>Paul</t>
  </si>
  <si>
    <t>EVP APAC Campus Operations</t>
  </si>
  <si>
    <t>7th Floor Clark City Front Tower 1 M A Roxas Highway</t>
  </si>
  <si>
    <t>eparagas@intouchcx.com</t>
  </si>
  <si>
    <t>2021-234</t>
  </si>
  <si>
    <t>AIR BUSAN CO LTD</t>
  </si>
  <si>
    <t>Rachel Lance</t>
  </si>
  <si>
    <t>Air Busan Staff</t>
  </si>
  <si>
    <t>L1008D Arrival Hall Ground Level Landside Clark International Airport</t>
  </si>
  <si>
    <t>soms.1997@airbusan.com</t>
  </si>
  <si>
    <t>2023-119</t>
  </si>
  <si>
    <t>AIRBUSAN3060</t>
  </si>
  <si>
    <t>/uploads/file-1685339992826.jpg</t>
  </si>
  <si>
    <t>TRI MEDIA ADVERTISING</t>
  </si>
  <si>
    <t>Room 18 Philexcel Business Center 2 M A Roxas Highway</t>
  </si>
  <si>
    <t>purple_mhy21@yahoo.com</t>
  </si>
  <si>
    <t>2023-145</t>
  </si>
  <si>
    <t>Trimedia2023</t>
  </si>
  <si>
    <t>VILMA REYES CABRERA RIMAS FOOD CONCESSION SERVICES</t>
  </si>
  <si>
    <t>Along Gil Puyat Avenue</t>
  </si>
  <si>
    <t>vilmatour@gmail.com</t>
  </si>
  <si>
    <t>2021-565</t>
  </si>
  <si>
    <t>CATHERINE MANGSAL MOLINA ZHONGBAI RESTAURANT</t>
  </si>
  <si>
    <t>Unit 108 A Bldg N1473 Rio Grande De Pampanga corner Abacan St Clark Freeport Zone</t>
  </si>
  <si>
    <t>zhongb.restaurant23@gmail.com</t>
  </si>
  <si>
    <t>2023-178</t>
  </si>
  <si>
    <t>Zhongbai@CSR</t>
  </si>
  <si>
    <t>ACQUA METAL ACCESSORY INC</t>
  </si>
  <si>
    <t>Reymundo</t>
  </si>
  <si>
    <t>Ian</t>
  </si>
  <si>
    <t>HR  Admin Asst Manager</t>
  </si>
  <si>
    <t>Building 12 and 13 Berthaphil II South Industrial Park Bayanihan Street</t>
  </si>
  <si>
    <t>acquametal2023@gmail.com</t>
  </si>
  <si>
    <t>2023-197</t>
  </si>
  <si>
    <t>DEVBUN CORP doing business under the name and style of MALINAMYUM</t>
  </si>
  <si>
    <t>Bunag</t>
  </si>
  <si>
    <t>Ma Rosario</t>
  </si>
  <si>
    <t>Clark 4 Clark Center 06 Clark Center Jose Abad Santos Avenue Clark Freeport Zone Philippines</t>
  </si>
  <si>
    <t>malinamyum.devbuncorp@gmail.com</t>
  </si>
  <si>
    <t>0962-056-0097</t>
  </si>
  <si>
    <t>2023-133</t>
  </si>
  <si>
    <t>DEUS INTERNATIONAL GLOBAL LOGISTICS INC</t>
  </si>
  <si>
    <t>Sales Supervisor  Clark</t>
  </si>
  <si>
    <t>Room 5 Philexcel Business Arcade 3 Philexcel Business Park M Roxas Highway</t>
  </si>
  <si>
    <t>accounting.subic@deuslogistics.ph</t>
  </si>
  <si>
    <t>2023-125</t>
  </si>
  <si>
    <t>Deusclark@2023!</t>
  </si>
  <si>
    <t>LANJOLYN ARENGA PANGAN ELN FOOD AND BEVERAGE STALL</t>
  </si>
  <si>
    <t>Lanjolyn</t>
  </si>
  <si>
    <t>Arenga</t>
  </si>
  <si>
    <t>Second Floor UnitB2 Clark Cityfront Mall MA Roxas Highway</t>
  </si>
  <si>
    <t>lpangan41@gmail.com</t>
  </si>
  <si>
    <t>2023-201</t>
  </si>
  <si>
    <t>IT Squarehub Global Services Corporation</t>
  </si>
  <si>
    <t>SHERLYN</t>
  </si>
  <si>
    <t>Unit 5 Clark Center 09 Berthaphil III Jose Abad Santos Ave Clark Freeport Zone</t>
  </si>
  <si>
    <t>hr@itsquarehub.com</t>
  </si>
  <si>
    <t>2023-130</t>
  </si>
  <si>
    <t>ITBPO</t>
  </si>
  <si>
    <t>/uploads/file-1738563491726.png</t>
  </si>
  <si>
    <t>RODOLFO MAGDANGAL RANADA V RR5MLR FASTFOOD CHAIN</t>
  </si>
  <si>
    <t>Ranada V</t>
  </si>
  <si>
    <t>Rodolfo</t>
  </si>
  <si>
    <t>Magdangal</t>
  </si>
  <si>
    <t>Unit B22 Second Floor Clark Cityfront Mall MA Roxas Highway Clark Freeport Zone</t>
  </si>
  <si>
    <t>2022-629</t>
  </si>
  <si>
    <t>JIEWEI CONSTRUCTION CORPORATION</t>
  </si>
  <si>
    <t>Annie Rose</t>
  </si>
  <si>
    <t>N1484 Rio Grande de Pampanga corner Abacan Streets Clark Freeport Zone</t>
  </si>
  <si>
    <t>wafexp@gmail.com</t>
  </si>
  <si>
    <t>2023-083</t>
  </si>
  <si>
    <t>STELLAVIA DEVELOPMENT CORPORATION</t>
  </si>
  <si>
    <t>Antigo</t>
  </si>
  <si>
    <t>Roan</t>
  </si>
  <si>
    <t>Lot 1 corner Gil Puyat and CM Recto Ave Clark Civil Aviation Complex</t>
  </si>
  <si>
    <t>stellaviadevtcorp@gmail.com</t>
  </si>
  <si>
    <t>499-7823</t>
  </si>
  <si>
    <t>2022-349</t>
  </si>
  <si>
    <t>PHILIPPINES TRANSGLOBAL SOLUTIONS AND CONSULTING OPC</t>
  </si>
  <si>
    <t>Badoria</t>
  </si>
  <si>
    <t>Trisha Marie</t>
  </si>
  <si>
    <t>Business Coordinator</t>
  </si>
  <si>
    <t>Room 119 Clark Welcome Center Office Suites Berthaphil VIII Compound SCTEX Road</t>
  </si>
  <si>
    <t>phtransglobalsolutions@gmail.com</t>
  </si>
  <si>
    <t>2023-214</t>
  </si>
  <si>
    <t>HEXAWARE TECHNOLOGIES LTD  PHIL BRANCH OFFICE</t>
  </si>
  <si>
    <t>Tadeo</t>
  </si>
  <si>
    <t>Assistant Finance Manager</t>
  </si>
  <si>
    <t>Office A and Q 5th Floor One West Aeropark Building Clark Global City</t>
  </si>
  <si>
    <t>jaysont@hexaware.com</t>
  </si>
  <si>
    <t>2022-716</t>
  </si>
  <si>
    <t>3NR FOOD HUB</t>
  </si>
  <si>
    <t>Divina</t>
  </si>
  <si>
    <t>Third Floor  3K2 Clark Cityfront Mall MA Roxas Highway Clark Freeport Zone Philippines</t>
  </si>
  <si>
    <t>baltazar.roma@yahoo.com</t>
  </si>
  <si>
    <t>2023-232</t>
  </si>
  <si>
    <t>092493Roma</t>
  </si>
  <si>
    <t>COMPOMAX TECHNOLOGY HOLDING LIMITED OPERATING UNDER THE NAME OF COMPOMAX TECHNOLOGY PHILIPPINES</t>
  </si>
  <si>
    <t>Jeni</t>
  </si>
  <si>
    <t>Building 6 Berthaphil South Industrial Park Bayanihan Street</t>
  </si>
  <si>
    <t>jeninepomuceno.compomax@gmail.com</t>
  </si>
  <si>
    <t>2023-135</t>
  </si>
  <si>
    <t>EUNSAN CONSTRUCTION PHILIPPINES INC</t>
  </si>
  <si>
    <t>Admin ManagerPresident</t>
  </si>
  <si>
    <t>Office Center 06J2 Clark Center Jose Abad Santos Avenue</t>
  </si>
  <si>
    <t>2023-140</t>
  </si>
  <si>
    <t>ROLLY BUSTOS YUMUL TRANSPORT SERVICES</t>
  </si>
  <si>
    <t>Rolly</t>
  </si>
  <si>
    <t>Bustos</t>
  </si>
  <si>
    <t>Unit 27A Philexcel Business Park M Roxas Highway</t>
  </si>
  <si>
    <t>rollyyumul071179@gmail.com</t>
  </si>
  <si>
    <t>2023-147</t>
  </si>
  <si>
    <t>/uploads/file-1709693290610.png</t>
  </si>
  <si>
    <t>CALIFORNIA CLOTHING INC</t>
  </si>
  <si>
    <t>Mel</t>
  </si>
  <si>
    <t>150 DII Building San Vicente Road barangay San Vicente San Pedro Laguna</t>
  </si>
  <si>
    <t>14.3465Â°</t>
  </si>
  <si>
    <t>gasmclark@guessstore.com.ph</t>
  </si>
  <si>
    <t>2023-137</t>
  </si>
  <si>
    <t>JOEMARIE CABANSAG CUMENTADO SOLSOL RESTAURANT</t>
  </si>
  <si>
    <t>Marjane</t>
  </si>
  <si>
    <t>De Oro</t>
  </si>
  <si>
    <t>Unit 44B and 44C Regency Park Townhouses Jose Abad Santos Avenue cor E Aguinaldo St</t>
  </si>
  <si>
    <t>2023-252</t>
  </si>
  <si>
    <t>XYZA USON WU HILL AND HIGH CHINESE RESTAURANT</t>
  </si>
  <si>
    <t>Unit A2A 2B Club Building Clark Hills Village Abacan  Chico Streets</t>
  </si>
  <si>
    <t>2021-045</t>
  </si>
  <si>
    <t>MACROLOGIC DIVERSIFIED TECHNOLOGIES INC</t>
  </si>
  <si>
    <t>Sugabo</t>
  </si>
  <si>
    <t>Annabelle</t>
  </si>
  <si>
    <t>Tabaldo</t>
  </si>
  <si>
    <t>Office Center 06E1 Clark Center Jose Abad Santos Avenue Clark Freeport Zone</t>
  </si>
  <si>
    <t>hrd@macrologic.com.ph</t>
  </si>
  <si>
    <t>046 434-1873</t>
  </si>
  <si>
    <t>2023-258</t>
  </si>
  <si>
    <t>Macrologic02</t>
  </si>
  <si>
    <t>CITYFRONT CINEMAS INC doing business under the name and style of Cityfront Cinemas Snack Studio Formerly Cityfront C</t>
  </si>
  <si>
    <t>Valdenarro</t>
  </si>
  <si>
    <t>Jan Brix</t>
  </si>
  <si>
    <t>Head  Lifestyle and Entertainment Group</t>
  </si>
  <si>
    <t>5th Floor Cinema 1 2 3 and 4 Clark Cityfront Mall MA Roxas Highway Clark Freeport Zone</t>
  </si>
  <si>
    <t>hrtengco@megaworld-lifestyle.com</t>
  </si>
  <si>
    <t>2023-251</t>
  </si>
  <si>
    <t>SAFETYWELL MARKETING INCORPORATED</t>
  </si>
  <si>
    <t>Dejan</t>
  </si>
  <si>
    <t>Marca</t>
  </si>
  <si>
    <t>2nd Floor Retail Building Berthaphil VI Industrial Park Panday Pira Ave</t>
  </si>
  <si>
    <t>acctg1@safetywell.biz</t>
  </si>
  <si>
    <t>2022-665</t>
  </si>
  <si>
    <t>STARLUX AIRLINES CO LTD</t>
  </si>
  <si>
    <t>De Ocampo</t>
  </si>
  <si>
    <t>Lorica</t>
  </si>
  <si>
    <t>Limin</t>
  </si>
  <si>
    <t>Customer Service Representative</t>
  </si>
  <si>
    <t>L2 192 Mezzanine Level Landside Clark International Airport CRK Road</t>
  </si>
  <si>
    <t>loricaldeocampo@starlux-airlines.com</t>
  </si>
  <si>
    <t>2023-267</t>
  </si>
  <si>
    <t>HOMETOWN FLAVOR SERVICES INC</t>
  </si>
  <si>
    <t>SERVICES INC</t>
  </si>
  <si>
    <t>HOMETOWN</t>
  </si>
  <si>
    <t>FLAVOR</t>
  </si>
  <si>
    <t>Unit B B1 C1 C2 D  E Club Building Clark Hills Village Abacan and Chico Street Clark Freeport Zone Pampanga</t>
  </si>
  <si>
    <t>hr.hometownflavor@gmail.com</t>
  </si>
  <si>
    <t>0969-530-5888</t>
  </si>
  <si>
    <t>2019-070</t>
  </si>
  <si>
    <t>Hometown2024</t>
  </si>
  <si>
    <t>/uploads/file-1731986160970.jpg</t>
  </si>
  <si>
    <t>JOSHUA EMMANUEL GUSTILO GALLARDO RESOLVE COFFEE HOUSE</t>
  </si>
  <si>
    <t>Gallardo</t>
  </si>
  <si>
    <t>Joshua Emannuel</t>
  </si>
  <si>
    <t>Gustillo</t>
  </si>
  <si>
    <t>Unit C24a Third Floor Clark Cityfront Mall Manuel Roxas Highway</t>
  </si>
  <si>
    <t>resolve.espressobar@gmail.com</t>
  </si>
  <si>
    <t>2023-149</t>
  </si>
  <si>
    <t>KONGKONG FOOD OPC</t>
  </si>
  <si>
    <t>June Diane</t>
  </si>
  <si>
    <t>Dela cruz</t>
  </si>
  <si>
    <t>Bldg 7256 Unit B CM Recto Avenue</t>
  </si>
  <si>
    <t>kongkongfood.opc@gmail.com</t>
  </si>
  <si>
    <t>2023-248</t>
  </si>
  <si>
    <t>ARIA K  BEAUTY TOTAL SALON INC</t>
  </si>
  <si>
    <t>Celestial</t>
  </si>
  <si>
    <t>No 2 Ground Floor Monterrace Suites S1 Building Jose Abad Santos Avenue</t>
  </si>
  <si>
    <t>jjh57081@gmail.com</t>
  </si>
  <si>
    <t>2023-228</t>
  </si>
  <si>
    <t>Ariakrocks!</t>
  </si>
  <si>
    <t>MDX NETHERLANDS DIAGNOSTICS INC</t>
  </si>
  <si>
    <t>Publico</t>
  </si>
  <si>
    <t>Jacob Elrick</t>
  </si>
  <si>
    <t>Legal  HR Business Partner</t>
  </si>
  <si>
    <t>Building 5 Philexcel Business Park MA Roxas Highway Clark Freeport Zone</t>
  </si>
  <si>
    <t>jacob.publico@jarcgroup.ph</t>
  </si>
  <si>
    <t>2022-595</t>
  </si>
  <si>
    <t>PIZZA PEDRICOS FOOD CORPORATION</t>
  </si>
  <si>
    <t>Cubo</t>
  </si>
  <si>
    <t>James Oliver</t>
  </si>
  <si>
    <t>Store Manager Meeting Point Clark</t>
  </si>
  <si>
    <t>Pavilion 22 Clark Center</t>
  </si>
  <si>
    <t>cubo_james@jiminifoodsgroup.com</t>
  </si>
  <si>
    <t>2023-132</t>
  </si>
  <si>
    <t>IVCM SERVICES INC</t>
  </si>
  <si>
    <t>Aly</t>
  </si>
  <si>
    <t>Mohamed Yousry</t>
  </si>
  <si>
    <t>Mahmoud</t>
  </si>
  <si>
    <t>Second Floor Building 38 Berthaphil II Office Park Manunggal Street</t>
  </si>
  <si>
    <t>accounts@ivcm.com</t>
  </si>
  <si>
    <t>2023-264</t>
  </si>
  <si>
    <t>1912 URBAN COMMERCIAL INC</t>
  </si>
  <si>
    <t>Avenido</t>
  </si>
  <si>
    <t>Jocele</t>
  </si>
  <si>
    <t>Buen</t>
  </si>
  <si>
    <t>Head of Quality Assurance  Support</t>
  </si>
  <si>
    <t>Fourth Floor Unit 4K1 Clark Cityfront Mall MA Roxas Highway</t>
  </si>
  <si>
    <t>1912urbancommercialinc@gmail.com</t>
  </si>
  <si>
    <t>2023-259</t>
  </si>
  <si>
    <t>SHEARWATER HEALTH ADVISORS INC</t>
  </si>
  <si>
    <t>Bataller</t>
  </si>
  <si>
    <t>De Gracia</t>
  </si>
  <si>
    <t>Sr Manager Total Pay and Rewards</t>
  </si>
  <si>
    <t>5th Floor One West Aeropark Clark Global City Civil Aviation Complex</t>
  </si>
  <si>
    <t>DDBataller@swhealth.com</t>
  </si>
  <si>
    <t>2023-250</t>
  </si>
  <si>
    <t>CHRISTIAN PAUL AUSTRIA PANTIG JACKS KITCHEN RESTAURANT</t>
  </si>
  <si>
    <t>Pantig</t>
  </si>
  <si>
    <t>Gil Puyat Avenue Civil Aviation Complex</t>
  </si>
  <si>
    <t>anjjimenezwork@gmail.com</t>
  </si>
  <si>
    <t>2023-296</t>
  </si>
  <si>
    <t>SUNGLASS HAVEN PHILS INC</t>
  </si>
  <si>
    <t>Llamado</t>
  </si>
  <si>
    <t>Upper Ground Floor  Unit A36 Clark Cityfront Mall MA Roxas Highway</t>
  </si>
  <si>
    <t>jhoya.morales@meera-enterprises.com</t>
  </si>
  <si>
    <t>2023-211</t>
  </si>
  <si>
    <t>ROMEL OCAMPO SANTOS ST PHILIP RESTAURANT AND CATERING SERVICES</t>
  </si>
  <si>
    <t>Rato</t>
  </si>
  <si>
    <t>Ellaine</t>
  </si>
  <si>
    <t>3rd Floor of SFA Semicon Main Building Panday Pira Avenue corner Creekside Road</t>
  </si>
  <si>
    <t>stphiliprestaurantcateringsrvc@gmail.com</t>
  </si>
  <si>
    <t>2023-186</t>
  </si>
  <si>
    <t>LUZVIMINDA MERCADO STEWART VB2BSTAFFING BUSINESS PROCESS OUTSOURCING</t>
  </si>
  <si>
    <t>Corazon</t>
  </si>
  <si>
    <t>Office Center 08 M1 Clark Center Jose Abad Santos Avenue</t>
  </si>
  <si>
    <t>cory@ub2staffing.com</t>
  </si>
  <si>
    <t>2023-287</t>
  </si>
  <si>
    <t>MA ELLYNETH GUTIERRES RONQUILLO WAKOYAKI TEPPANYAKI JAPANESE RESTAURANT</t>
  </si>
  <si>
    <t>Stall 106 107 and 108 KACC Philmade Annex Bldg Lot 1 and 2 corner J Abad Santos and E Quirino Street</t>
  </si>
  <si>
    <t>wakoyakiteppanyaki@gmail.com</t>
  </si>
  <si>
    <t>2023-319</t>
  </si>
  <si>
    <t>DADI COACH CORPORATION</t>
  </si>
  <si>
    <t>4th Floor Clark City Front Tower I Manuel Roxas Highway</t>
  </si>
  <si>
    <t>dadiph.hr@gmail.com</t>
  </si>
  <si>
    <t>2023-300</t>
  </si>
  <si>
    <t>BOXTALKS INC</t>
  </si>
  <si>
    <t>Diga</t>
  </si>
  <si>
    <t>Jessie</t>
  </si>
  <si>
    <t>Store Head</t>
  </si>
  <si>
    <t>Unit A26 Upper Ground Clark Cityfront Mall MA Roxas Highway</t>
  </si>
  <si>
    <t>permitscontract@digits.ph</t>
  </si>
  <si>
    <t>2023-013</t>
  </si>
  <si>
    <t>boxtalks2023</t>
  </si>
  <si>
    <t>DEPARTMENT OF TOURISM  REGION III</t>
  </si>
  <si>
    <t>Ground Floor Clark Center Two2 Clark Center Jose Abad Santos Avenue</t>
  </si>
  <si>
    <t>2023-188</t>
  </si>
  <si>
    <t>FIT BUSINESS SERVICES INC</t>
  </si>
  <si>
    <t>Sablaya</t>
  </si>
  <si>
    <t>Angelo Mikael</t>
  </si>
  <si>
    <t>Office Suites 4B Clark Center Jose Abad Santos Avenue Clark Freeport Zone</t>
  </si>
  <si>
    <t>marketing@fitservices.com.au</t>
  </si>
  <si>
    <t>045-499-5993 - 0917-512-1283</t>
  </si>
  <si>
    <t>2023-309</t>
  </si>
  <si>
    <t>ELIZA QUIAZON CRUZ SEACRAB SEAFOOD RESTAURANT</t>
  </si>
  <si>
    <t>Eliza</t>
  </si>
  <si>
    <t>Unit 206 and  207 Lot 1 and 2 corner Jose Abad Santos Avenue E Quirino St</t>
  </si>
  <si>
    <t>equiazonncruz@gmail.com</t>
  </si>
  <si>
    <t>0919-870-8964</t>
  </si>
  <si>
    <t>2023-328</t>
  </si>
  <si>
    <t>PELOZDEN INC DOING BUSINESS UNDER THE NAME AND STYLE OF PELOZDEN RSS</t>
  </si>
  <si>
    <t>Sarthou</t>
  </si>
  <si>
    <t>Fourth Floor Clark Center 10 Clark Center Jose Abad Santos Avenue</t>
  </si>
  <si>
    <t>ian.sarthou@resourcestaff.com.ph</t>
  </si>
  <si>
    <t>0921-395-2679</t>
  </si>
  <si>
    <t>2023-174</t>
  </si>
  <si>
    <t>VANESSA IGLESIAS CASTRO JE FOOD AND BEVERAGE KIOSK</t>
  </si>
  <si>
    <t>Iglesias</t>
  </si>
  <si>
    <t>Unit 3K 5 3rd Floor Clark Cityfront Mall MA Roxas Highway</t>
  </si>
  <si>
    <t>vanscastro1128@gmail.com</t>
  </si>
  <si>
    <t>2023-215</t>
  </si>
  <si>
    <t>PHALPS FOOD INDUSTRY CORPORATION</t>
  </si>
  <si>
    <t>3rd Floor Lot C4 CPIP Manuel A Roxas Highway Clark Freeport Zone</t>
  </si>
  <si>
    <t>phalpsfic@gmail.com</t>
  </si>
  <si>
    <t>2023-355</t>
  </si>
  <si>
    <t>phfic05172023</t>
  </si>
  <si>
    <t>MA EDEN MAGISTRADO MARCELO DAJAZER FOOD SERVICES</t>
  </si>
  <si>
    <t>Ma Eden</t>
  </si>
  <si>
    <t>Magistrado</t>
  </si>
  <si>
    <t>2F Two West Aeropark Building Gatwick Gateway Clark Global City</t>
  </si>
  <si>
    <t>edenmarcelo19@gmail.com</t>
  </si>
  <si>
    <t>2023-379</t>
  </si>
  <si>
    <t>ARCHIE ABANES KIM CHOONGMAN CLARK RESTAURANT</t>
  </si>
  <si>
    <t>Septimo</t>
  </si>
  <si>
    <t>Czarina</t>
  </si>
  <si>
    <t>Paguirigan</t>
  </si>
  <si>
    <t>Unit 105 ON Commercial Lot 1 E Aguinaldo St</t>
  </si>
  <si>
    <t>shep.tprccorp@gmail.com</t>
  </si>
  <si>
    <t>2023-317</t>
  </si>
  <si>
    <t>ELLORA TELECOM PHILIPPINES INC</t>
  </si>
  <si>
    <t>Office Center 06D2 Clark Center Jose Abad Santos Avenue</t>
  </si>
  <si>
    <t>rlopez@ellora.ca</t>
  </si>
  <si>
    <t>2023-353</t>
  </si>
  <si>
    <t>Valencia_5566</t>
  </si>
  <si>
    <t>RENATO REYES DE VERA DRREF AGRI PRODUCTS MARKETING</t>
  </si>
  <si>
    <t>Unit16A1 Philexcel Business Center</t>
  </si>
  <si>
    <t>drref_agri@yahoo.com</t>
  </si>
  <si>
    <t>2023-290</t>
  </si>
  <si>
    <t>ANGELES BEST FOOD INC SUSIES CUISINE</t>
  </si>
  <si>
    <t>Rapsing</t>
  </si>
  <si>
    <t>Ma Regina</t>
  </si>
  <si>
    <t>Eyo</t>
  </si>
  <si>
    <t>HR OfficerNurse</t>
  </si>
  <si>
    <t>STALL A LOT 231 H2O BUILDING E JACINTO STREET CLARK FREEPORT ZONE 2023 CLARK PAMPANGA</t>
  </si>
  <si>
    <t>15.1640 N</t>
  </si>
  <si>
    <t>120.6056 E</t>
  </si>
  <si>
    <t>susiescusine.hr@gmail.com</t>
  </si>
  <si>
    <t>0917-301-9601</t>
  </si>
  <si>
    <t>2022-621</t>
  </si>
  <si>
    <t>Food</t>
  </si>
  <si>
    <t>WORKREADY EMPLOYMENT SERVICES</t>
  </si>
  <si>
    <t>Gayla</t>
  </si>
  <si>
    <t>Dianne</t>
  </si>
  <si>
    <t>Balon</t>
  </si>
  <si>
    <t>Lead HR Coordinator</t>
  </si>
  <si>
    <t>Room 5B Philexcel Business Center I Philexcel Business Park M Roxas Highway</t>
  </si>
  <si>
    <t>wrdiannegayla@gmail.com</t>
  </si>
  <si>
    <t>2023-372</t>
  </si>
  <si>
    <t>SMILE CITY DENTAL ESSENTIALS COMPANY</t>
  </si>
  <si>
    <t>Maya</t>
  </si>
  <si>
    <t>Carl Adam</t>
  </si>
  <si>
    <t>Badar</t>
  </si>
  <si>
    <t>Third Floor Unit C15A Clark Cityfront Mall Manuel Roxas Highway</t>
  </si>
  <si>
    <t>smilecity.adammaya@gmail.com</t>
  </si>
  <si>
    <t>2023-269</t>
  </si>
  <si>
    <t>2nd Floor Two West Aeropark Clark Global City Clark Civil Aviation Complex</t>
  </si>
  <si>
    <t>drona494@gmail.com</t>
  </si>
  <si>
    <t>2023-062</t>
  </si>
  <si>
    <t>ZENMOV PHILIPPINES INC</t>
  </si>
  <si>
    <t>Ground Floor Unit 1 1 Workplus Building Acacia Drive Filinvest Mimosa Leisure City Clark Freeport Zone Philippines</t>
  </si>
  <si>
    <t>hazel.noriel@zenmov.com</t>
  </si>
  <si>
    <t>2023-371</t>
  </si>
  <si>
    <t>Zenm()v_2024</t>
  </si>
  <si>
    <t>ASVW PH INCORPORATED</t>
  </si>
  <si>
    <t>Rozel</t>
  </si>
  <si>
    <t>Corporate SecretaryHR Manager</t>
  </si>
  <si>
    <t>Unit B Ground Floor Clark Center 08 Berthaphil Clark Center Jose Abad Santos Avenue</t>
  </si>
  <si>
    <t>hr@asvwadeson.com.au</t>
  </si>
  <si>
    <t>2023-292</t>
  </si>
  <si>
    <t>D FIRST SHOP MEMENTO CORP</t>
  </si>
  <si>
    <t>Duguil Jr</t>
  </si>
  <si>
    <t>Filomeno Yul</t>
  </si>
  <si>
    <t>Units 2 to 4 Ground Floor 1Workplus Building Acacia Drive Mimosa Leisure Estate</t>
  </si>
  <si>
    <t>yul8000@yahoo.com</t>
  </si>
  <si>
    <t>2023-439</t>
  </si>
  <si>
    <t>OMADA ONE INC</t>
  </si>
  <si>
    <t>Lacanilao</t>
  </si>
  <si>
    <t>Units 6 to 8 1 Workplus Building Acacia Drive Mimosa Leisure Estate</t>
  </si>
  <si>
    <t>icel@omadaone.com</t>
  </si>
  <si>
    <t>2023-391</t>
  </si>
  <si>
    <t>/uploads/file-1711084273141.png</t>
  </si>
  <si>
    <t>ALEXANDER MARK MANABAT CAPITO CAPITO BARBER SHOP</t>
  </si>
  <si>
    <t>Capito</t>
  </si>
  <si>
    <t>Alexander Mark</t>
  </si>
  <si>
    <t>2nd Floor Lot 2 Clark Hauz Bldg Bayanihan Park Balibago Angeles City</t>
  </si>
  <si>
    <t>capitobarbershop</t>
  </si>
  <si>
    <t>Capito17!</t>
  </si>
  <si>
    <t>MRO SOUTH EAST ASIA CORP</t>
  </si>
  <si>
    <t>Martos</t>
  </si>
  <si>
    <t>Giancarlo</t>
  </si>
  <si>
    <t>Abrogar</t>
  </si>
  <si>
    <t>Portion of Bldg 7212 Clark Civil Aviation Complex</t>
  </si>
  <si>
    <t>gino.martos@psigroup.ph</t>
  </si>
  <si>
    <t>2023-397</t>
  </si>
  <si>
    <t>CLARK SE ELECTRONIC CORPORATION</t>
  </si>
  <si>
    <t>Unit 34EF Philexcel Business Park M Roxas Highway</t>
  </si>
  <si>
    <t>clarkseelectronic@gmail.com</t>
  </si>
  <si>
    <t>2023-313</t>
  </si>
  <si>
    <t>CVN PHILS CONSTRUCTION INC</t>
  </si>
  <si>
    <t>Marasigan</t>
  </si>
  <si>
    <t>Evette Angela</t>
  </si>
  <si>
    <t>Room 1 Phlexcel Business Arcade 1 Philexcel Business Park M Roxas Highway</t>
  </si>
  <si>
    <t>evette@mcspencer.group</t>
  </si>
  <si>
    <t>2023-373</t>
  </si>
  <si>
    <t>EILEEN BUAN PEREZ INFINITY888 RESTAURANT</t>
  </si>
  <si>
    <t>Eileen</t>
  </si>
  <si>
    <t>Stall No 23 and 24 Lilly Hill Commercial Plaza CM Recto Highway Clark Freeport Zone</t>
  </si>
  <si>
    <t>abovesealevelclark@gmail.com</t>
  </si>
  <si>
    <t>2023-363</t>
  </si>
  <si>
    <t>BANK OF COMMERCE</t>
  </si>
  <si>
    <t>Pilares</t>
  </si>
  <si>
    <t>Unit 05A Ground Floor Clark Center 14 Clark Center Jose Abad Santos Avenue</t>
  </si>
  <si>
    <t>agpilares@bankcom.com.ph</t>
  </si>
  <si>
    <t>2023-352</t>
  </si>
  <si>
    <t>Clark1234</t>
  </si>
  <si>
    <t>MEN AT WOK 888 CORPORATION doing business under the name and style of SHANG HAO JIA RESTAURANT</t>
  </si>
  <si>
    <t>MARCENA</t>
  </si>
  <si>
    <t>Lot 9 1st Floor Tree House Mixed Use Bldg CM Recto Highway The Villages</t>
  </si>
  <si>
    <t>menatwok888corp@gmail.com</t>
  </si>
  <si>
    <t>2023-312</t>
  </si>
  <si>
    <t>FRANCIS HIZON BALUYUT NICKEYS FOOD SERVICES</t>
  </si>
  <si>
    <t>Hizon</t>
  </si>
  <si>
    <t>Unit E Philexcel Food Court Philexcel Business Park M Roxas Highway</t>
  </si>
  <si>
    <t>foodtripceo76@gmail.com</t>
  </si>
  <si>
    <t>2023-466</t>
  </si>
  <si>
    <t>RIA ANGELICA HERMOSO LAZARO LAL NAIL SERVICES</t>
  </si>
  <si>
    <t>Ria Angelica</t>
  </si>
  <si>
    <t>Hermoso</t>
  </si>
  <si>
    <t>Third Floor Unit C45bC46 Clark Cityfront Mall Manuel Roxas Highway Clark Freeport Zone</t>
  </si>
  <si>
    <t>momandmeclark@gmail.com</t>
  </si>
  <si>
    <t>2023-354</t>
  </si>
  <si>
    <t>FLORENCIA TAMAYO DELA CRUZ DHAYDHAYS CANTEEN</t>
  </si>
  <si>
    <t>Florencia</t>
  </si>
  <si>
    <t>Bldg N5206 Lily Hill Road corner Gil Puyat Avenue</t>
  </si>
  <si>
    <t>dayday981@yahoo.com</t>
  </si>
  <si>
    <t>2023-302</t>
  </si>
  <si>
    <t>dhay</t>
  </si>
  <si>
    <t>SKY LINE ALLIANCE DEVELOPMENT CORPORATION</t>
  </si>
  <si>
    <t>Along MA Roxas Highway</t>
  </si>
  <si>
    <t>2022-070</t>
  </si>
  <si>
    <t>JOREYLYN SOLIMAN VILLEGAS  QQ ROTATING RESTAURANT</t>
  </si>
  <si>
    <t>Villegas</t>
  </si>
  <si>
    <t>Joreylyn</t>
  </si>
  <si>
    <t>Villa 3142 Edinburgh Street Fontana Leisure Parks CM Recto Highway</t>
  </si>
  <si>
    <t>jorelynvillegas89@gmail.com</t>
  </si>
  <si>
    <t>2023-442</t>
  </si>
  <si>
    <t>AMALGAM8 PHILIPPINES INC</t>
  </si>
  <si>
    <t>Riguiel</t>
  </si>
  <si>
    <t>Facilities Manager</t>
  </si>
  <si>
    <t>Building 39 Berthaphil II North Manunggal Street</t>
  </si>
  <si>
    <t>rigs.rodriguez@socialdiscoverycorp.com</t>
  </si>
  <si>
    <t>2023-358</t>
  </si>
  <si>
    <t>REON INTERNATIONAL INDUSTRIES CO LIMITED REPRESENTATIVE OFFICE</t>
  </si>
  <si>
    <t>327 KACCE PHILMADE BUILDING LOT 1  2 JOSE ABAD SANTOS E QUIRINO STREET CLARK FREEPORT ZONE PAMPANGA 2009</t>
  </si>
  <si>
    <t>2023-481</t>
  </si>
  <si>
    <t>CITYFRONT BUILDING ADMINISTRATION INC</t>
  </si>
  <si>
    <t>Ayento</t>
  </si>
  <si>
    <t>Francis Jayson</t>
  </si>
  <si>
    <t>Property Manager</t>
  </si>
  <si>
    <t>4th Floor Tower 3 Lot 1 MA Roxas Highway</t>
  </si>
  <si>
    <t>jayento@asia-affinity.com</t>
  </si>
  <si>
    <t>2023-345</t>
  </si>
  <si>
    <t>MYCA NORVEN VILLAS POTATO DAYONE BAR AND RESTAURANT</t>
  </si>
  <si>
    <t>Dacanay</t>
  </si>
  <si>
    <t>Isagani</t>
  </si>
  <si>
    <t>Units 1W107 and 1W108 Ground Floor One West Aeropark Building Clark Global City Clark Civil Aviation Complex Clark Freeport Zone</t>
  </si>
  <si>
    <t>dayoneph.hiring@gmail.com</t>
  </si>
  <si>
    <t>2023-330</t>
  </si>
  <si>
    <t>/uploads/file-1698895072752.png</t>
  </si>
  <si>
    <t>AEROPARK HOLDINGS PHILIPPINES INC</t>
  </si>
  <si>
    <t>Gilladoga</t>
  </si>
  <si>
    <t>Ma Christina Romana</t>
  </si>
  <si>
    <t>Ground Floor Unit 2W102 Two West Aeropark Clark Glpbal City Clark Civil Aviation Complex Clark Freeport Zone</t>
  </si>
  <si>
    <t>nikki.gilladoga@aeroparkdev.com</t>
  </si>
  <si>
    <t>2022-657</t>
  </si>
  <si>
    <t>HANN DEVELOPMENT CORPORATION  NEW CLARK CITY</t>
  </si>
  <si>
    <t>Anna Nicole</t>
  </si>
  <si>
    <t>Southern Portion of the New Clark City Municipality of Capas Tarlac</t>
  </si>
  <si>
    <t>Nicole.Salas@hannresorts.com</t>
  </si>
  <si>
    <t>306-8000 loc 1262</t>
  </si>
  <si>
    <t>2023-383</t>
  </si>
  <si>
    <t>SH SUK MEDICAL CORPORATION</t>
  </si>
  <si>
    <t>Jena Louise</t>
  </si>
  <si>
    <t>Ground Floor Unit D Lot 8 Block 3 Commercial Mixed Use A CM Recto Highway The Villages Clark Freeport Zone Philippines</t>
  </si>
  <si>
    <t>eirenemedicalcorporation@gmail.com</t>
  </si>
  <si>
    <t>2023-431</t>
  </si>
  <si>
    <t>AGNES GALANTA TAMAYO JAM FOOD AND BEVERAGE TRADING</t>
  </si>
  <si>
    <t>Galanta</t>
  </si>
  <si>
    <t>4th Floor Unit D3 Clark City Front MA Roxas Highway</t>
  </si>
  <si>
    <t>gtamayo.agnes@gmail.com</t>
  </si>
  <si>
    <t>2023-334</t>
  </si>
  <si>
    <t>BEST SOLUTION TOTAL LOGISTICS OPC</t>
  </si>
  <si>
    <t>JEONG</t>
  </si>
  <si>
    <t>HO</t>
  </si>
  <si>
    <t>Unit 338 Lot 1 and 2 cor Jose abad Santos Avenue and E Quirino Street Clark Freeport Zone Philippines</t>
  </si>
  <si>
    <t>bestsolutionopc@gmail.com</t>
  </si>
  <si>
    <t>2023-348</t>
  </si>
  <si>
    <t>MP CAMASO AND ASSOCIATES</t>
  </si>
  <si>
    <t>CAMASO</t>
  </si>
  <si>
    <t>MARY LANN</t>
  </si>
  <si>
    <t>510 5th Floor Clark Center 07 Berthaphil Clark Center Jose Abad Santos Avenue Clark Freeport Zone</t>
  </si>
  <si>
    <t>operations@mpca.com.ph</t>
  </si>
  <si>
    <t>2022-658</t>
  </si>
  <si>
    <t>Mpc@2023!</t>
  </si>
  <si>
    <t>MONTE ENRICHMENT HUB INC</t>
  </si>
  <si>
    <t>MONTE</t>
  </si>
  <si>
    <t>VICKY LYN</t>
  </si>
  <si>
    <t>2nd Floor Unit 8C Northwalk Clark Complex MA Roxas Highway</t>
  </si>
  <si>
    <t>monteenrichmenthubinc@gmail.com</t>
  </si>
  <si>
    <t>2023-513</t>
  </si>
  <si>
    <t>MAXIM DE HUMANA INTERNATIONAL INC Formerly Peoples Quest International Inc</t>
  </si>
  <si>
    <t>Dacayo</t>
  </si>
  <si>
    <t>Baysa</t>
  </si>
  <si>
    <t>SupervisorNurse</t>
  </si>
  <si>
    <t>Unit 01 Ground Floor Clark Center 09 Clark Center Jose Abad Santos Avenue Clark Freeport Zone</t>
  </si>
  <si>
    <t>d.karenjoy@mdhumana.com</t>
  </si>
  <si>
    <t>0917-700-6732</t>
  </si>
  <si>
    <t>2022-448</t>
  </si>
  <si>
    <t>THEKBSHOP CORP</t>
  </si>
  <si>
    <t>Gempisao</t>
  </si>
  <si>
    <t>Christian Nickho</t>
  </si>
  <si>
    <t>5th Floor Clark Center 07 Clark Center Jose Abad Santos Avenue Clark Freeport Zone</t>
  </si>
  <si>
    <t>xternalcoservice@gmail.com</t>
  </si>
  <si>
    <t>2022-631</t>
  </si>
  <si>
    <t>TheKBshop@123</t>
  </si>
  <si>
    <t>PHILIPPINE ECONOMIC ZONE AUTHORITY</t>
  </si>
  <si>
    <t>Jason Vergil</t>
  </si>
  <si>
    <t>Acting Zone Manager</t>
  </si>
  <si>
    <t>Transient House Unit VIP 21 located within CIAC Compound along Andres Bonifacio Avenue Clark Civil Aviation Complex</t>
  </si>
  <si>
    <t>jason.suarez@peza.gov.ph</t>
  </si>
  <si>
    <t>045-499-0827</t>
  </si>
  <si>
    <t>2023-168</t>
  </si>
  <si>
    <t>PCDUpcdu2023</t>
  </si>
  <si>
    <t>/uploads/file-1700207558163.png</t>
  </si>
  <si>
    <t>SAPPHIRE CLINICS NORTH INC under the name of Sandbox Clinic Plus</t>
  </si>
  <si>
    <t>Tadeja</t>
  </si>
  <si>
    <t>Michal Consuela</t>
  </si>
  <si>
    <t>Unit 01 Ground Floor Clark Center 03 Clark Center Jose Abad Santos Ave</t>
  </si>
  <si>
    <t>mgtadeja.sandboxclinic@gmail.com</t>
  </si>
  <si>
    <t>2023-518</t>
  </si>
  <si>
    <t>MAPLEBEAR ACADEMY CLARK INC</t>
  </si>
  <si>
    <t>Gipala</t>
  </si>
  <si>
    <t>Joseliza</t>
  </si>
  <si>
    <t>Units 9 to 12 2 Workplus Acacia Drive Filinvest Mimosa Leisure City Clark Freeport Zone Philippines</t>
  </si>
  <si>
    <t>hrd@maplebearclark.com</t>
  </si>
  <si>
    <t>2023-378</t>
  </si>
  <si>
    <t>REMOTE SOURCING RECRUITMENT SPECIALISTS INC UNDER THE NAME AND STYLE OF REMOTE RECRUITMENT</t>
  </si>
  <si>
    <t>Regala</t>
  </si>
  <si>
    <t>Reane Juia</t>
  </si>
  <si>
    <t>Room 01 Pavilion 03 Berthaphil Clark Center Jose Abad Santos Avenue</t>
  </si>
  <si>
    <t>rsfinance@theremotegroup.com</t>
  </si>
  <si>
    <t>2023-523</t>
  </si>
  <si>
    <t>Rs_2024</t>
  </si>
  <si>
    <t>Manpower Placement and Recruitment</t>
  </si>
  <si>
    <t>/uploads/file-1701153235305.jpg</t>
  </si>
  <si>
    <t>MACY VILLAPANA NAGUITJEZZEYXMAREKOY FASHION BOUTIQUE</t>
  </si>
  <si>
    <t>Dresser Building Dia Town Along Gil Puyat Avenue Civil Aviation Coimplex Clark Freeport ZOne</t>
  </si>
  <si>
    <t>pakpakboom23@gmail.com</t>
  </si>
  <si>
    <t>0917-101-3334</t>
  </si>
  <si>
    <t>2023-482</t>
  </si>
  <si>
    <t>SEOSANSOO CLARK RESORT INC</t>
  </si>
  <si>
    <t>Aldrin</t>
  </si>
  <si>
    <t>Legal Counsel</t>
  </si>
  <si>
    <t>GFUnit B Lot 8 Block 3 CMUA The Villages CM Recto Highway</t>
  </si>
  <si>
    <t>aguasdavidaguaslaw@gmail.com</t>
  </si>
  <si>
    <t>2023-470</t>
  </si>
  <si>
    <t>HOTEL ECOPALACE INC</t>
  </si>
  <si>
    <t>Karen Lou</t>
  </si>
  <si>
    <t>Ground Floor Lobby Zone Eco Palace Building Clark Hills Village Abacan and Chico</t>
  </si>
  <si>
    <t>karenlousuba1@gmail.com</t>
  </si>
  <si>
    <t>2023-487</t>
  </si>
  <si>
    <t>Serivce</t>
  </si>
  <si>
    <t>KA CHAN TANHUECO MOK KERUBIN IZAKAYA JAPANESE RESTAURANT</t>
  </si>
  <si>
    <t>Kelvin Mark</t>
  </si>
  <si>
    <t>Stall No 25 Lilly Hill Plaza CM Recto Highway</t>
  </si>
  <si>
    <t>kerubinizakaya.clark@gmail.com</t>
  </si>
  <si>
    <t>0977-813-1924</t>
  </si>
  <si>
    <t>2023-432</t>
  </si>
  <si>
    <t>/uploads/file-1701944086011.jpg</t>
  </si>
  <si>
    <t>SPECSTACY CONCEPTS INC</t>
  </si>
  <si>
    <t>Belen</t>
  </si>
  <si>
    <t>Banta</t>
  </si>
  <si>
    <t>HR and Admin Jr Supervisor</t>
  </si>
  <si>
    <t>Upper Ground Floor  Unit A5B Clark Cityfront Mall MA Roxas Highway</t>
  </si>
  <si>
    <t>marlon.belen@meera-enterprises.com</t>
  </si>
  <si>
    <t>2023-341</t>
  </si>
  <si>
    <t>HIGH PEAK SPECIALTY FOOD CORP</t>
  </si>
  <si>
    <t>Mary Therese</t>
  </si>
  <si>
    <t>Unit 1W 103 and 1W 104 Ground Floor One West Aeropark Clark Global City Clark Aviaion Complex</t>
  </si>
  <si>
    <t>creedofatriumhrdepartment@gmail.com</t>
  </si>
  <si>
    <t>2023-322</t>
  </si>
  <si>
    <t>MANILA CIGARS INC</t>
  </si>
  <si>
    <t>Joselito</t>
  </si>
  <si>
    <t>OICOperations</t>
  </si>
  <si>
    <t>L3 INTKIOSK 05 International Pre Departure Third Level Airside Clark International Airport</t>
  </si>
  <si>
    <t>manila_cigars@yahoo.com.ph</t>
  </si>
  <si>
    <t>2023-575</t>
  </si>
  <si>
    <t>AVELAINE MARIE CUYUGAN NEPOMUCENO PAIZANOS PIZZERIA</t>
  </si>
  <si>
    <t>Avelaine Marie</t>
  </si>
  <si>
    <t>Unit 2 The Pavillion Philexcel Business Park M Roxas Highway</t>
  </si>
  <si>
    <t>avsnep@gmail.com</t>
  </si>
  <si>
    <t>0917 803 2796</t>
  </si>
  <si>
    <t>2023-507</t>
  </si>
  <si>
    <t>BLUE SHAKA CAFE AND BAR CORPORATION</t>
  </si>
  <si>
    <t>Soria</t>
  </si>
  <si>
    <t>GF Unit A Lot 8 Block 3 CMUA The Villages CM Recto Highway</t>
  </si>
  <si>
    <t>blueshaka2023@gmail.com</t>
  </si>
  <si>
    <t>2023-409</t>
  </si>
  <si>
    <t>KLYDEL LOIS ANUNCIACION OLIVA OK CAFETERIA</t>
  </si>
  <si>
    <t>Oliva</t>
  </si>
  <si>
    <t>Klydel Lois</t>
  </si>
  <si>
    <t>Sole Proprietor</t>
  </si>
  <si>
    <t>Unit 3A Retail Building 2 Philexcel Business Park M Roxas Highway</t>
  </si>
  <si>
    <t>oliveairinc@gmail.com</t>
  </si>
  <si>
    <t>2023-374</t>
  </si>
  <si>
    <t>Premier Central Inc</t>
  </si>
  <si>
    <t>Operations Assistant</t>
  </si>
  <si>
    <t>IE5 area MA Roxas Highway Clark Freeport Zone</t>
  </si>
  <si>
    <t>0936-559-0376</t>
  </si>
  <si>
    <t>2024-0000</t>
  </si>
  <si>
    <t>CONNECTIFIED BRINGING IOT TO LIFE INC</t>
  </si>
  <si>
    <t>Raneses</t>
  </si>
  <si>
    <t>Nikki</t>
  </si>
  <si>
    <t>Administration Assistant</t>
  </si>
  <si>
    <t>Pavilion 10C Clark Center Jose Abad Santos Avenue</t>
  </si>
  <si>
    <t>nikay.raneses@connectified.com.ph</t>
  </si>
  <si>
    <t>2023-399</t>
  </si>
  <si>
    <t>Connectified2023?!</t>
  </si>
  <si>
    <t>AEROPLANE FLIGHT SUPPORT INC</t>
  </si>
  <si>
    <t>Vallejo</t>
  </si>
  <si>
    <t>Bacolcol</t>
  </si>
  <si>
    <t>AdminAcctg Staff</t>
  </si>
  <si>
    <t>Room 102 Clark Welcome Center Office Suites Berthaphil VIII SCTEX Road Clark Freeport Zone</t>
  </si>
  <si>
    <t>aeroplane.fsi@gmail.com</t>
  </si>
  <si>
    <t>2023-541</t>
  </si>
  <si>
    <t>HPCI CORPORATION</t>
  </si>
  <si>
    <t>Building 01 Berthaphil II Office Park corner Quirino Avenue Jose Abad Santos Avenue</t>
  </si>
  <si>
    <t>hpcicorp2023@gmail.com</t>
  </si>
  <si>
    <t>2023-469</t>
  </si>
  <si>
    <t>GIAN KARLO VELASQUEZ BONDOC BALE PIPANGANAN FOOD CONCESSION SERVICES</t>
  </si>
  <si>
    <t>Gian Karlo</t>
  </si>
  <si>
    <t>Yokoisada Phils Corporation Phase I Lot C2 and D B Clark Premiere Industrial Park</t>
  </si>
  <si>
    <t>balepipangananpampanga@gmail.com</t>
  </si>
  <si>
    <t>2023-588</t>
  </si>
  <si>
    <t>BLING PHILIPPINE INC</t>
  </si>
  <si>
    <t>Genevieve</t>
  </si>
  <si>
    <t>L3156 International PreDeparture Third Level Airside Clark International Airport CRK Road</t>
  </si>
  <si>
    <t>gtiu.cmp@gmail.com</t>
  </si>
  <si>
    <t>2023-263</t>
  </si>
  <si>
    <t>CLARK SAMSEONGGOL CORPORATION</t>
  </si>
  <si>
    <t>Stall 108 Ground Floor KACC Philmade Bldg Lot 1  2 Corner Jose Abad Santos Avenue and E Quirino Street</t>
  </si>
  <si>
    <t>2023-549</t>
  </si>
  <si>
    <t>TERMS LOGISTICS CORPORATION</t>
  </si>
  <si>
    <t>Morana</t>
  </si>
  <si>
    <t>Room 120 Clark Welcome Center Office Suites Berthaphil VIII Compound SCTEX Road</t>
  </si>
  <si>
    <t>termslogisticco@gmail.com</t>
  </si>
  <si>
    <t>2023-552</t>
  </si>
  <si>
    <t>ZION SOOTHING HAVEN INC</t>
  </si>
  <si>
    <t>Zamora</t>
  </si>
  <si>
    <t>Genesis Joy</t>
  </si>
  <si>
    <t>Third Floor Unit C20 Clark Cityfront Mall MA Roxas Highway</t>
  </si>
  <si>
    <t>gdzamora@zionsoothinghaven.com</t>
  </si>
  <si>
    <t>2023-594</t>
  </si>
  <si>
    <t>WILBERN D RAMOS BAPBAP FOOD AND BEVERAGE HOUSE</t>
  </si>
  <si>
    <t>Wilbern</t>
  </si>
  <si>
    <t>Unit 2W108 Ground Floor Two West Aeropark Clark Global City</t>
  </si>
  <si>
    <t>bapbapfbhouse@gmail.com</t>
  </si>
  <si>
    <t>2024-026</t>
  </si>
  <si>
    <t>KEUKDONG PMC CLARK CORPORATION</t>
  </si>
  <si>
    <t>Camille Joyce</t>
  </si>
  <si>
    <t>Unit 320 3rd Floor KACC Philmade Bldg Lot 1  2 corner Jose Abad Santos Avenue and E Quirino Street</t>
  </si>
  <si>
    <t>keukdongpmc@gmail.com</t>
  </si>
  <si>
    <t>2023-593</t>
  </si>
  <si>
    <t>Keukdong 2023-</t>
  </si>
  <si>
    <t>FAMAULEG CORPORATION</t>
  </si>
  <si>
    <t>Nelson</t>
  </si>
  <si>
    <t>Katriz</t>
  </si>
  <si>
    <t>Laserna</t>
  </si>
  <si>
    <t>Room 1 Philexcel Apartment Administration Building M Roxas Highway Clark Freeport Zone Philppines</t>
  </si>
  <si>
    <t>famauleg@gmail.com</t>
  </si>
  <si>
    <t>2023-570</t>
  </si>
  <si>
    <t>CRYSTALYN GERONIMO MALLARI JACQUEYS CATERING SERVICES</t>
  </si>
  <si>
    <t>Crystalyn</t>
  </si>
  <si>
    <t>Portion of The Medical City Canteen Ground Floor Clark Global City Clark Civil Aviation Complex</t>
  </si>
  <si>
    <t>mallaricrystalyn@gmail.com</t>
  </si>
  <si>
    <t>2023-388</t>
  </si>
  <si>
    <t>/uploads/file-1706793364121.png</t>
  </si>
  <si>
    <t>DONT BLAME THE KIDS APPAREL CO</t>
  </si>
  <si>
    <t>Alcalin</t>
  </si>
  <si>
    <t>Gemma</t>
  </si>
  <si>
    <t>Falcutila</t>
  </si>
  <si>
    <t>Second Floor Unit 39 Clark Cityfront Mall MA Roxas Highway</t>
  </si>
  <si>
    <t>gfalcalin.jfri@gmail.com</t>
  </si>
  <si>
    <t>2023-489</t>
  </si>
  <si>
    <t>ANALYN NIU CUNDANGAN CAFE BEAM</t>
  </si>
  <si>
    <t>De Pano</t>
  </si>
  <si>
    <t>Mirla</t>
  </si>
  <si>
    <t>Second Floor Unit B33 Clark Cityfront Mall MA Roxas Highway</t>
  </si>
  <si>
    <t>cafebeamclark@gmail.com</t>
  </si>
  <si>
    <t>2023-545</t>
  </si>
  <si>
    <t>BARJ RESTAURANT INC</t>
  </si>
  <si>
    <t>Cullivan</t>
  </si>
  <si>
    <t>Khate</t>
  </si>
  <si>
    <t>L3 155 Third Level International Airside Civil Aviation Complex</t>
  </si>
  <si>
    <t>barjrestaurant@gmail.com</t>
  </si>
  <si>
    <t>2023-029</t>
  </si>
  <si>
    <t>MA GANINA GISELLE LIMSINGIAN VITUG TDBT RESTAURANT</t>
  </si>
  <si>
    <t>Unit 104 Hann Casino Resort along MA Roxas Highway corner CM Recto</t>
  </si>
  <si>
    <t>shirleypamintuan.mn@gmail.com</t>
  </si>
  <si>
    <t>2024-007</t>
  </si>
  <si>
    <t>JOSEPHINE ESTACIO ROQUE ENTREPCHAIN FOOD AND BEVERAGE TRADING</t>
  </si>
  <si>
    <t>Estacio</t>
  </si>
  <si>
    <t>THKIOSK12 Transport Hub Landside Clark International Airport CRK Airport Road</t>
  </si>
  <si>
    <t>entrepchain@gmail.com</t>
  </si>
  <si>
    <t>2024-023</t>
  </si>
  <si>
    <t>FLASH EXPRESS PH CO LTD INC Doing business under the names and styles of FLASH EXPRESS</t>
  </si>
  <si>
    <t>EHS Management Officer</t>
  </si>
  <si>
    <t>Unit No 101102 Gihon Building Jose Abad Santos Avenue corner Aguinaldo St Clark Freeport Zone</t>
  </si>
  <si>
    <t>joseph.bautista@flashexpress.ph</t>
  </si>
  <si>
    <t>2023-586</t>
  </si>
  <si>
    <t>YORKY SISON SALIDO YKAR PLATES AND FILES TRAINING CENTER</t>
  </si>
  <si>
    <t>Iccy</t>
  </si>
  <si>
    <t>8th FloorData Center Clark City Front Tower1 Manuel Roxas Highway</t>
  </si>
  <si>
    <t>iccy.arinails@gmail.com</t>
  </si>
  <si>
    <t>2023-596</t>
  </si>
  <si>
    <t>ENVIROTECH VEHICLES INC</t>
  </si>
  <si>
    <t>Del Mundo</t>
  </si>
  <si>
    <t>Norberto</t>
  </si>
  <si>
    <t>Quindao</t>
  </si>
  <si>
    <t>Head of Finance  Accountning</t>
  </si>
  <si>
    <t>Warehouse 2A B and C Berthapil IV Compound Civil Aviation Complex A Bonifacio Avenue Clark Freeport Zone</t>
  </si>
  <si>
    <t>norbertodelmundo@gmail.com</t>
  </si>
  <si>
    <t>2023-209</t>
  </si>
  <si>
    <t>ENVIROSUITE PHILIPPINES INC</t>
  </si>
  <si>
    <t>Cuerquez</t>
  </si>
  <si>
    <t>Terry</t>
  </si>
  <si>
    <t>Guance</t>
  </si>
  <si>
    <t>Human Resources and Administration Manager</t>
  </si>
  <si>
    <t>Office L and Office S 5th Floor One West Aeropark Gatwick Gateway Clark Global City</t>
  </si>
  <si>
    <t>terry.cuerquez@envirosuite.com</t>
  </si>
  <si>
    <t>2023-602</t>
  </si>
  <si>
    <t>EnvironautPH07032023!</t>
  </si>
  <si>
    <t>WIN NINE INC</t>
  </si>
  <si>
    <t>Chenny Jane</t>
  </si>
  <si>
    <t>L1 HL 01 Arrival Hall Ground level Landside LIPAD</t>
  </si>
  <si>
    <t>win9hr@gmail.com</t>
  </si>
  <si>
    <t>2023-514</t>
  </si>
  <si>
    <t>ALPHA REALCONSULTING PHILIPPINES INC</t>
  </si>
  <si>
    <t>Rombaoa</t>
  </si>
  <si>
    <t>Ruel</t>
  </si>
  <si>
    <t>Geraban</t>
  </si>
  <si>
    <t>Room 108  109 Clark Welcome Center Office Suites Berthaphil VIII Compound SCTEX Road</t>
  </si>
  <si>
    <t>ruel.rombaoa@aag.aero</t>
  </si>
  <si>
    <t>2024-018</t>
  </si>
  <si>
    <t>VERNAND PAUL RIVERA ORTEGA TATAYS CATERING SERVICES</t>
  </si>
  <si>
    <t>Ortega</t>
  </si>
  <si>
    <t>Vernand Paul</t>
  </si>
  <si>
    <t>Unit C Philexcel Food Court Philexcel Business Park M A Roxas Highway</t>
  </si>
  <si>
    <t>chef.paulortega@gmail.com</t>
  </si>
  <si>
    <t>2023-160</t>
  </si>
  <si>
    <t>GANGNAM THAI MASSAGE CORPORATION</t>
  </si>
  <si>
    <t>Stall No 7 Lilly Hill Plaza CM Recto Highway Clark Freeport Zone Philippines</t>
  </si>
  <si>
    <t>2024-061</t>
  </si>
  <si>
    <t>PLUSINUS INC</t>
  </si>
  <si>
    <t>Enrique Giselle</t>
  </si>
  <si>
    <t>Head of Operations</t>
  </si>
  <si>
    <t>Unit 3 Ground Floor Clark Center 14 Clark Center Jose Abad Santos Avenue</t>
  </si>
  <si>
    <t>eegee.feliciano@plusinus.com</t>
  </si>
  <si>
    <t>2022-381</t>
  </si>
  <si>
    <t>SBP BPO INC FORMERLY SB OFFSHORE PHILIPPINES INC</t>
  </si>
  <si>
    <t>Unit C Third Floor Clark Center 08 Berthaphil Clark Center Jose Abad Santos Avenue</t>
  </si>
  <si>
    <t>liza.arcilla@profitmaster.com.ph</t>
  </si>
  <si>
    <t>2023-376</t>
  </si>
  <si>
    <t>CRACKERJACK RECRUITMENT AGENCY CORPORATION</t>
  </si>
  <si>
    <t>Brenda Lee</t>
  </si>
  <si>
    <t>1st Floor Bldg E1 J Abad Santos Avenue corner  Manunggal Street</t>
  </si>
  <si>
    <t>crackerjackrecruitmentagency@gmail.com</t>
  </si>
  <si>
    <t>2023-579</t>
  </si>
  <si>
    <t>D FRADA ALLIED SERVICES INC</t>
  </si>
  <si>
    <t>Lerios</t>
  </si>
  <si>
    <t>Ralph Neil</t>
  </si>
  <si>
    <t>c</t>
  </si>
  <si>
    <t>L3DC001 Departure Curbside beside Gate 3 Entrance of the Clark International Airport Terminal</t>
  </si>
  <si>
    <t>admin@dfrada.com</t>
  </si>
  <si>
    <t>2024-128</t>
  </si>
  <si>
    <t>Dfradacdk2024!</t>
  </si>
  <si>
    <t>ROANNE GAIL TAMAYO JUACHON WATERBOY CLARK WATER REFILLING STATION</t>
  </si>
  <si>
    <t>Jerome</t>
  </si>
  <si>
    <t>1st floor Bldg 5395 Kalayaan Road CM Recto Avenue</t>
  </si>
  <si>
    <t>waterboyclark.acctg@gmail.com</t>
  </si>
  <si>
    <t>2024-064</t>
  </si>
  <si>
    <t>Water#1234</t>
  </si>
  <si>
    <t>ASIANA PHILIPPINES GSA INC</t>
  </si>
  <si>
    <t>Borcillo</t>
  </si>
  <si>
    <t>Princess Jean</t>
  </si>
  <si>
    <t>HR Admin Assistant</t>
  </si>
  <si>
    <t>L1008B1B Arrival Ground Level Landslide Clark International Airport Clark Freeport Zone Philippines</t>
  </si>
  <si>
    <t>princessborcillo.flyasiana@gmail.com</t>
  </si>
  <si>
    <t>2024-031</t>
  </si>
  <si>
    <t>APGSAClark!</t>
  </si>
  <si>
    <t>/uploads/file-1712035929766.png</t>
  </si>
  <si>
    <t>LAND BANK OF THE PHILIPPINES</t>
  </si>
  <si>
    <t>VASQUEZ</t>
  </si>
  <si>
    <t>MONINA</t>
  </si>
  <si>
    <t>Pavilion 17 Clark Center</t>
  </si>
  <si>
    <t>lbp_clarkbr@yahoo.com.ph</t>
  </si>
  <si>
    <t>599-2253</t>
  </si>
  <si>
    <t>2024-339</t>
  </si>
  <si>
    <t>AIRSPEED INTERNATIONAL CORPORATION</t>
  </si>
  <si>
    <t>Vernon</t>
  </si>
  <si>
    <t>Vice President for North and Central Luzon</t>
  </si>
  <si>
    <t>2nd Floor of Bldg 7585 Diosdado Macapagal International Airport</t>
  </si>
  <si>
    <t>vocampo@airspeed.com.ph</t>
  </si>
  <si>
    <t>2024-155</t>
  </si>
  <si>
    <t>EFNA GLOBAL OUTSOURCING INC</t>
  </si>
  <si>
    <t>Macabanti</t>
  </si>
  <si>
    <t>Nika Joy</t>
  </si>
  <si>
    <t>3rd floor Bldg 5395 Kalayaan Road CM Recto Avenue</t>
  </si>
  <si>
    <t>EFNA.acctg@gmail.com</t>
  </si>
  <si>
    <t>2024-063</t>
  </si>
  <si>
    <t>EFNA#1234</t>
  </si>
  <si>
    <t>ABEOUTSOURCING INC</t>
  </si>
  <si>
    <t>Dul</t>
  </si>
  <si>
    <t>Office Center 06G Clark Center Jose Abad Santos Avenue Clark Freeport Zone</t>
  </si>
  <si>
    <t>dk@abeao.com</t>
  </si>
  <si>
    <t>2024-157</t>
  </si>
  <si>
    <t>ASIA INTERNATIONAL TRAVEL CORP</t>
  </si>
  <si>
    <t>Kimberleigh Patt</t>
  </si>
  <si>
    <t>Assistant Row Manager</t>
  </si>
  <si>
    <t>2F Unit 14 N1746 Bldg Claro M Recto Highway corner MA Roxas Highway</t>
  </si>
  <si>
    <t>kpmiguel@superiorbth.com</t>
  </si>
  <si>
    <t>2024-122</t>
  </si>
  <si>
    <t>GOLDEN FROST INC</t>
  </si>
  <si>
    <t>JonJon</t>
  </si>
  <si>
    <t>Area Head</t>
  </si>
  <si>
    <t>Cornerstore Cafe Berthaphil II Office Park corner E Quirino Avenue Jose Abad Santos Avenue</t>
  </si>
  <si>
    <t>golden.frost@yahoo.com</t>
  </si>
  <si>
    <t>2023-218</t>
  </si>
  <si>
    <t>RICH KID DISTRIBUTION CORP</t>
  </si>
  <si>
    <t>Lot 4 Kalayaan Road CM Recto Avenue</t>
  </si>
  <si>
    <t>richkiddistribution.acctg@gmail.com</t>
  </si>
  <si>
    <t>2024-163</t>
  </si>
  <si>
    <t>RICHKID#123</t>
  </si>
  <si>
    <t>KOPHI SNACK HOUSE</t>
  </si>
  <si>
    <t>Koo</t>
  </si>
  <si>
    <t>Ruth Moesha</t>
  </si>
  <si>
    <t>Banlaoi</t>
  </si>
  <si>
    <t>Puregold Clark Duty Free P Kalaw St corner CM Recto Highway</t>
  </si>
  <si>
    <t>ruthmoeshakoo@gmail.com</t>
  </si>
  <si>
    <t>2024-171</t>
  </si>
  <si>
    <t>/uploads/file-1715657962661.png</t>
  </si>
  <si>
    <t>MARIE ANGELIE MORABE DIANGCO ANGELIE SUGBAHAN</t>
  </si>
  <si>
    <t>Diangco</t>
  </si>
  <si>
    <t>Marie Angelie</t>
  </si>
  <si>
    <t>Unit 23 The Pavilion Philexcel Business Park MA Roxas Highway</t>
  </si>
  <si>
    <t>angelie.diangco@gmail.com</t>
  </si>
  <si>
    <t>2024-169</t>
  </si>
  <si>
    <t>CITICORE RENEWABLE ENERGY CORPORATION</t>
  </si>
  <si>
    <t>Along Prince Balagtas Avenue Clark Freeport Zone</t>
  </si>
  <si>
    <t>2023-449</t>
  </si>
  <si>
    <t>LA RIBERA PHIL CORP</t>
  </si>
  <si>
    <t>Cuartelon</t>
  </si>
  <si>
    <t>Unit C106 Lot 1 E Aguinaldo Street</t>
  </si>
  <si>
    <t>lariberaphilcorp@gmail.com</t>
  </si>
  <si>
    <t>2024-175</t>
  </si>
  <si>
    <t>Laribera@01</t>
  </si>
  <si>
    <t>DS BROS FB CORP</t>
  </si>
  <si>
    <t>Human Resources</t>
  </si>
  <si>
    <t>Unit 201 2nd Floor Hann Casino MA Roxas Highway corner CM Recto</t>
  </si>
  <si>
    <t>taboobarclark@gmail.com</t>
  </si>
  <si>
    <t>2024-225</t>
  </si>
  <si>
    <t>DSrose!</t>
  </si>
  <si>
    <t>METROPOLITAN BANK AND TRUST COMPANY</t>
  </si>
  <si>
    <t>Ralph Albert</t>
  </si>
  <si>
    <t>PAVILION 18 CLARK CENTER JOSE ABAD SANTOS AVE CLARK FREEPORT ZONE PHILIPPINES</t>
  </si>
  <si>
    <t>ralph.tan@metrobank.com.ph</t>
  </si>
  <si>
    <t>2023-210</t>
  </si>
  <si>
    <t>THE CLARK ASTROPORT AVIATION SERVICES CORP</t>
  </si>
  <si>
    <t>JESY JOY</t>
  </si>
  <si>
    <t>Bldg 7576 Clark Civil Aviation Complex</t>
  </si>
  <si>
    <t>theclarkastroport@gmail.com</t>
  </si>
  <si>
    <t>2023-361</t>
  </si>
  <si>
    <t>TAP MARQUEE HOLDINGS PAMPANGA INC</t>
  </si>
  <si>
    <t>Carmona</t>
  </si>
  <si>
    <t>Jude Valentin</t>
  </si>
  <si>
    <t>Ground Floor Unit A16 Central Park Square Building MA Roxas Highway</t>
  </si>
  <si>
    <t>jude.carmona@melandrex.com</t>
  </si>
  <si>
    <t>409-1000 ext 1501</t>
  </si>
  <si>
    <t>2023-599</t>
  </si>
  <si>
    <t>AIZA CZARINA TANGLAO CUYUGAN JELIDELI PASALUBONG SHOP</t>
  </si>
  <si>
    <t>Cuyugan</t>
  </si>
  <si>
    <t>Aiza Czarina</t>
  </si>
  <si>
    <t>L3323B Third Level International Airside Clark International Airport Civil Aviation Complex</t>
  </si>
  <si>
    <t>jedcuyugan1@gmail.com</t>
  </si>
  <si>
    <t>2023-219</t>
  </si>
  <si>
    <t>CHICKEN VILLAGE RESTAURANT OPC</t>
  </si>
  <si>
    <t>Unit 3 Ground Floor Golden Tree Building The Villages Lot 2 Block 1 Prince Balagtas Avenue</t>
  </si>
  <si>
    <t>chickenvillagerestaurant2024@gmail.com</t>
  </si>
  <si>
    <t>0977-744-1973</t>
  </si>
  <si>
    <t>2024-204</t>
  </si>
  <si>
    <t>DAMSTRA TECHNOLOGY INCORPORATED</t>
  </si>
  <si>
    <t>Richelle</t>
  </si>
  <si>
    <t>People And Culture Admin</t>
  </si>
  <si>
    <t>5th Floor One West Aeropark Buidling Clark Global City Clark Freeport Zone</t>
  </si>
  <si>
    <t>r.quinto@damstratechnology.com</t>
  </si>
  <si>
    <t>0917 107 1838</t>
  </si>
  <si>
    <t>2022-579</t>
  </si>
  <si>
    <t>Ideagen2024</t>
  </si>
  <si>
    <t>BAEKAKGWAN ACADEMY CORPORATION formerly BAEKAKGWAN CORPORATION</t>
  </si>
  <si>
    <t>Lot13 Phase II Clark Hills Village Abacan Street cor Chico Street</t>
  </si>
  <si>
    <t>baekakgwan.corp@gmail.com</t>
  </si>
  <si>
    <t>2023-463</t>
  </si>
  <si>
    <t>ERACARE PHILIPPINES INC</t>
  </si>
  <si>
    <t>Area Supervisor of Promo Girls</t>
  </si>
  <si>
    <t>L3INTKIOSK08 International PreDeparture Airside</t>
  </si>
  <si>
    <t>edenfabian203@gmail.com</t>
  </si>
  <si>
    <t>2024-286</t>
  </si>
  <si>
    <t>Encarnacion</t>
  </si>
  <si>
    <t>Jhayvie</t>
  </si>
  <si>
    <t>Business Development Dela Cruz</t>
  </si>
  <si>
    <t>jdencarnacion@7eleven.com.ph</t>
  </si>
  <si>
    <t>2023-310</t>
  </si>
  <si>
    <t>CONCEPCIONCARRIER AIR CONDITIONING COMPANY</t>
  </si>
  <si>
    <t>Jumaoas</t>
  </si>
  <si>
    <t>Eufaline</t>
  </si>
  <si>
    <t>Regional Sales Lead</t>
  </si>
  <si>
    <t>Unit 7 Ground Floor Clark Center 9 Berthaphil Clark Center Jose Abad Santos Avenue</t>
  </si>
  <si>
    <t>eufaline.jumao-as@ccac.com.ph</t>
  </si>
  <si>
    <t>2022-575</t>
  </si>
  <si>
    <t>HOME K MART CLARKHILLS CORP</t>
  </si>
  <si>
    <t>Unit 105 and 106 Bldg N1473 Rio Grande De Pampanga corner Abacan Street</t>
  </si>
  <si>
    <t>homekmartclarkhills2024@gmail.com</t>
  </si>
  <si>
    <t>2024-316</t>
  </si>
  <si>
    <t>VIBROMASTER INC</t>
  </si>
  <si>
    <t>Sharlyn</t>
  </si>
  <si>
    <t>Along Prince J Balagtas Extension Sacobia River Bank Clark Special Economic Zone</t>
  </si>
  <si>
    <t>hrsharlyn.spcci1021@gmail.com</t>
  </si>
  <si>
    <t>2022-664</t>
  </si>
  <si>
    <t>CQUIP INC</t>
  </si>
  <si>
    <t>Amancio</t>
  </si>
  <si>
    <t>Bldg 13 Berthaphil VI Industrial Park Panday Pira Avenue Clark Freeport Zone Pampanga Philippines 2023</t>
  </si>
  <si>
    <t>arlene@c-quip.com</t>
  </si>
  <si>
    <t>2024-045</t>
  </si>
  <si>
    <t>AL LAWRENCE DIZON FERNANDO ESTOS KITCHEN AND CAFE</t>
  </si>
  <si>
    <t>Al Lawrence</t>
  </si>
  <si>
    <t>Unit A8 Central Park Square Building Manuel Roxas Highway</t>
  </si>
  <si>
    <t>estospampanga@gmailc.om</t>
  </si>
  <si>
    <t>2024-139</t>
  </si>
  <si>
    <t>Bayani</t>
  </si>
  <si>
    <t>Velante</t>
  </si>
  <si>
    <t>jennifer.bayani@flashexpress.ph</t>
  </si>
  <si>
    <t>Nationstar Development Corporation</t>
  </si>
  <si>
    <t>Negranza</t>
  </si>
  <si>
    <t>Maricris</t>
  </si>
  <si>
    <t>Head Marketing and Business Dev</t>
  </si>
  <si>
    <t>MA Roxas Highway Clark Freeport Zone</t>
  </si>
  <si>
    <t>marketing@nationstar.ph</t>
  </si>
  <si>
    <t>2024-177</t>
  </si>
  <si>
    <t>Nationstar2024</t>
  </si>
  <si>
    <t>General Contractor</t>
  </si>
  <si>
    <t>Design  Construction</t>
  </si>
  <si>
    <t>/uploads/file-1725416426375.jpg</t>
  </si>
  <si>
    <t>GREENSTONE PHARMACEUTICAL INC</t>
  </si>
  <si>
    <t>Gadacho</t>
  </si>
  <si>
    <t>Liason</t>
  </si>
  <si>
    <t>L3INTKIOSK06 International PreDeparture Third Level Airside</t>
  </si>
  <si>
    <t>2024-284</t>
  </si>
  <si>
    <t>JADE TRUE ENERGY SOLUTIONS CORPORATION</t>
  </si>
  <si>
    <t>Maria Angela</t>
  </si>
  <si>
    <t>1st Floor Bldg N5395 Midori Annex Kalayaan Road CM Recto Avenue</t>
  </si>
  <si>
    <t>jadetrue.acctg@gmail.com</t>
  </si>
  <si>
    <t>2024-353</t>
  </si>
  <si>
    <t>Jade#1234</t>
  </si>
  <si>
    <t>REGENT DISTRIBUTOR PHILIPPINES INC</t>
  </si>
  <si>
    <t>Dimarucut</t>
  </si>
  <si>
    <t>Cris</t>
  </si>
  <si>
    <t>Team Lead Trainee</t>
  </si>
  <si>
    <t>L3 309A International Pre Departure Third Level Airside Luzon International Premiere Airport Development Corp</t>
  </si>
  <si>
    <t>sircmoy07@gmail.com</t>
  </si>
  <si>
    <t>2024-354</t>
  </si>
  <si>
    <t>cris07</t>
  </si>
  <si>
    <t>MARIA DALSA MONTALBAN HIZON DAILY JOLT COFFEE SHOP</t>
  </si>
  <si>
    <t>The Medical City Clark Second Floor 100 Gatwick  Gateway Clark Global City Clark Civil Aviation Complex</t>
  </si>
  <si>
    <t>avorpaula.gopez@gmail.com</t>
  </si>
  <si>
    <t>2024-046</t>
  </si>
  <si>
    <t>Dailyjolt_2024</t>
  </si>
  <si>
    <t>STOTSENBERG FOUNDATION INC</t>
  </si>
  <si>
    <t>Delabajan</t>
  </si>
  <si>
    <t>Hotel Stotsenberg Gil Puyat Avenue corner Andres Soriano Sr Streets</t>
  </si>
  <si>
    <t>kristine.delabajan@hotelstotsenberg.com</t>
  </si>
  <si>
    <t>2024-330</t>
  </si>
  <si>
    <t>CW MANUFACTURING CORPORATION</t>
  </si>
  <si>
    <t>1st Floor Bldg D1 J Abad Santos corner Manunggal Street</t>
  </si>
  <si>
    <t>hrda.bw2023@gmail.com</t>
  </si>
  <si>
    <t>2024-158</t>
  </si>
  <si>
    <t>VV MANUFACTURING CORPORATION</t>
  </si>
  <si>
    <t>2nd Floor Bldg D2 J Abad Santos corner Manunggal St</t>
  </si>
  <si>
    <t>crackerjackcorporation@gmail.com</t>
  </si>
  <si>
    <t>2024-193</t>
  </si>
  <si>
    <t>AXOS BUSINESS CENTER CORP</t>
  </si>
  <si>
    <t>Rae Cyra</t>
  </si>
  <si>
    <t>Recruiting Specialist</t>
  </si>
  <si>
    <t>Office E and J 5th Floor One West Aeropark Clark Global City</t>
  </si>
  <si>
    <t>abctalentacquisition@ph.axos.com</t>
  </si>
  <si>
    <t>2024-303</t>
  </si>
  <si>
    <t>SWIFT TECHNOLOGY VENTURES INC</t>
  </si>
  <si>
    <t>To</t>
  </si>
  <si>
    <t>James Allan</t>
  </si>
  <si>
    <t>Room 122 Clark Welcome Center Office Suites Berthaphil VIII Compound SCTEX Roadc</t>
  </si>
  <si>
    <t>james.to@swiftpay.ph</t>
  </si>
  <si>
    <t>2024-310</t>
  </si>
  <si>
    <t>$w1ftP@y</t>
  </si>
  <si>
    <t>/uploads/file-1727847783912.jpg</t>
  </si>
  <si>
    <t>AIRWHEEL TECHNOLOGIES CORPORATION</t>
  </si>
  <si>
    <t>TORIO</t>
  </si>
  <si>
    <t>FORTIN</t>
  </si>
  <si>
    <t>Unit K002 Ground Level 8th Avenue Lifestyle Mall Hann Casino Resort CM Recto Highway</t>
  </si>
  <si>
    <t>angelica@alphalifestyle.ph</t>
  </si>
  <si>
    <t>2024-351</t>
  </si>
  <si>
    <t>recruitment2025</t>
  </si>
  <si>
    <t>SKYBET GAMING CORPORATION doing business under the name and style of BSPORTS Formerly SKYBET GAMING CORPORATION</t>
  </si>
  <si>
    <t>Sabordo</t>
  </si>
  <si>
    <t>Yra</t>
  </si>
  <si>
    <t>Villagracia</t>
  </si>
  <si>
    <t>gaming areas inside the Royce Hotel and Casino</t>
  </si>
  <si>
    <t>co1.skyb@gmail.com</t>
  </si>
  <si>
    <t>2024-388</t>
  </si>
  <si>
    <t>HEATCON ASIA INC</t>
  </si>
  <si>
    <t>Asebias</t>
  </si>
  <si>
    <t>Althiea</t>
  </si>
  <si>
    <t>Office Center 08S2 Clark Center Jose Abad  Santos Ave</t>
  </si>
  <si>
    <t>aasebias@heatcon.com</t>
  </si>
  <si>
    <t>2024-319</t>
  </si>
  <si>
    <t>HARLENE BERSAMIRA KIM TALK LAUNDRY SERVICES</t>
  </si>
  <si>
    <t>Unit 6 Ground Floor Clark Terrace Building The Villages Lot 2 Block 1 Prince Balagtas Avenue Clark Freeport Zone Clark Pampanga 2023</t>
  </si>
  <si>
    <t>2024-332</t>
  </si>
  <si>
    <t>/uploads/file-1728439724703.png</t>
  </si>
  <si>
    <t>888 INFINITY METALS CLARK INC</t>
  </si>
  <si>
    <t>510Cowork05 5th Floor Clark Center 07 Berthaphil III Jose Abad Santos Avenue</t>
  </si>
  <si>
    <t>2024-384</t>
  </si>
  <si>
    <t>NXTBK INC</t>
  </si>
  <si>
    <t>Adrian Tom</t>
  </si>
  <si>
    <t>Room 121 Clark Welcome Center Office Suites Berthaphil VIIII Compound SCTEX Road</t>
  </si>
  <si>
    <t>tom.cruz@nextbank.ph</t>
  </si>
  <si>
    <t>2024-315</t>
  </si>
  <si>
    <t>FRONTIER SMART HOME INC</t>
  </si>
  <si>
    <t>Closa</t>
  </si>
  <si>
    <t>Rick Spencer</t>
  </si>
  <si>
    <t>Unit 103 Aston Stay Building Clark Hills Village Abacan and Chico Sts</t>
  </si>
  <si>
    <t>smarthome.frontier@gmail.com</t>
  </si>
  <si>
    <t>2024-194</t>
  </si>
  <si>
    <t>IFERN GLOBAL MARKETING CORPORATION</t>
  </si>
  <si>
    <t>Bahader</t>
  </si>
  <si>
    <t>Hana Yasser Eassa</t>
  </si>
  <si>
    <t>Manager  HRD</t>
  </si>
  <si>
    <t>Room 17 Philexcel Business Center 2 M Roxas Highway</t>
  </si>
  <si>
    <t>hyesbahader@iferncorp.com</t>
  </si>
  <si>
    <t>2024-392</t>
  </si>
  <si>
    <t>CDCTesting</t>
  </si>
  <si>
    <t>Clark Freeport Zone</t>
  </si>
  <si>
    <t>CDC TESTING</t>
  </si>
  <si>
    <t>CDC Testing</t>
  </si>
  <si>
    <t>CFZ</t>
  </si>
  <si>
    <t>2024-000</t>
  </si>
  <si>
    <t>CDC CSRPD Testing</t>
  </si>
  <si>
    <t>CSRPD Testing</t>
  </si>
  <si>
    <t>2025-0000</t>
  </si>
  <si>
    <t>CDC TEST ING</t>
  </si>
  <si>
    <t>2025-1111</t>
  </si>
  <si>
    <t>0000-0000</t>
  </si>
  <si>
    <t>2000-0000</t>
  </si>
  <si>
    <t>HANN PROPERTIES CORPORATION</t>
  </si>
  <si>
    <t>Level 5 Bldg 5399 M A Roxas Highway</t>
  </si>
  <si>
    <t>2024-456</t>
  </si>
  <si>
    <t>HANN PROPERTY DEVELOPMENT INC</t>
  </si>
  <si>
    <t>Level 5 Building 5399 MA Roxas Highway</t>
  </si>
  <si>
    <t>2024-457</t>
  </si>
  <si>
    <t>CANTINETTA ESPRESSO CONCEPTS INC</t>
  </si>
  <si>
    <t>Cherryl</t>
  </si>
  <si>
    <t>L3099B Domestic PreDeparture Third Level Airside Clark International Airport Terminal</t>
  </si>
  <si>
    <t>cherryl.pineda@ceciph.com</t>
  </si>
  <si>
    <t>2024-450</t>
  </si>
  <si>
    <t>EVA AIRWAYS CORPORATION</t>
  </si>
  <si>
    <t>Bryn Lea</t>
  </si>
  <si>
    <t>L2199 Mezzanine Level Landside Clark International Airport</t>
  </si>
  <si>
    <t>brynleapalo@evaair.com</t>
  </si>
  <si>
    <t>2023-039</t>
  </si>
  <si>
    <t>MARIELA JANE GENOTIVA VELASCO TODAM GOL RESTAURANT</t>
  </si>
  <si>
    <t>Alfred</t>
  </si>
  <si>
    <t>Unit 45C and 45D Regency Park Townhouses Jose Abad Santos Avenue corner E Aguinaldo St</t>
  </si>
  <si>
    <t>todamgolofficials@gmail.com</t>
  </si>
  <si>
    <t>2024-483</t>
  </si>
  <si>
    <t>ZAPS PAMPANGA INC Formerly   ExPDS Inc</t>
  </si>
  <si>
    <t>Marie Flor</t>
  </si>
  <si>
    <t>Bldg 01C Jose Abad Santos Avenue Clark Freeport Zone Pampanga</t>
  </si>
  <si>
    <t>marielacson.expds@gmail.com</t>
  </si>
  <si>
    <t>2024-477</t>
  </si>
  <si>
    <t>L3 152A Domestic Third Level Airside Luzon International Premiere Airport</t>
  </si>
  <si>
    <t>rebelyn.daguioan@regent-trg.com</t>
  </si>
  <si>
    <t>2024-470</t>
  </si>
  <si>
    <t>BLACK QUANTUM OUTSOURCING SOLUTIONS INC</t>
  </si>
  <si>
    <t>Office Center 08N Clark Center J Abad Santos Avenue Clark Freeport Zone</t>
  </si>
  <si>
    <t>MARJANE.N2KCBS18@GMAIL.COM</t>
  </si>
  <si>
    <t>2024-312</t>
  </si>
  <si>
    <t>CARNE FRESCA INC Doing business under the name and style of  MEAT DEPOT</t>
  </si>
  <si>
    <t>Aclan</t>
  </si>
  <si>
    <t>Florive</t>
  </si>
  <si>
    <t>L4001A Domestic Food Hall Fourth Level Airside Clark International Airport Terminal 2</t>
  </si>
  <si>
    <t>florivetarraco@gmail.com</t>
  </si>
  <si>
    <t>2022-438</t>
  </si>
  <si>
    <t>LUCKY DUMPLING CORPORATION</t>
  </si>
  <si>
    <t>Boardo</t>
  </si>
  <si>
    <t>Laila</t>
  </si>
  <si>
    <t>Unit 105 Ground level 8th Avenue Lifestyle Mall Hann Casino Resort CM Recto Highway</t>
  </si>
  <si>
    <t>lhaiboado.ldc@gmail.com</t>
  </si>
  <si>
    <t>2024-462</t>
  </si>
  <si>
    <t>LAWSON PHILIPPINES INC</t>
  </si>
  <si>
    <t>Marc John Paul</t>
  </si>
  <si>
    <t>Unit 05 Ground Floor Clark Center 14 Clark Center Jose Abad Santos Avenue</t>
  </si>
  <si>
    <t>e.marc-john-paul.del-rosario.s6y@lawson-philippines.com</t>
  </si>
  <si>
    <t>2024-496</t>
  </si>
  <si>
    <t>Convinience Store</t>
  </si>
  <si>
    <t>/uploads/file-1738208423116.png</t>
  </si>
  <si>
    <t>ROBERTO LAGMAN SAGMIT TITO BOY EATERY</t>
  </si>
  <si>
    <t>Sagmit</t>
  </si>
  <si>
    <t>Lagman</t>
  </si>
  <si>
    <t>Pavilion10 A and B Clark Center Jose Abad Santos Avenue</t>
  </si>
  <si>
    <t>titoboy.ph@gmail.com</t>
  </si>
  <si>
    <t>Manuq24*</t>
  </si>
  <si>
    <t>THE VALUE GOURMET FOODS INC</t>
  </si>
  <si>
    <t>Aris</t>
  </si>
  <si>
    <t>Bldg 2062A GF Area1 SRD Building E Jacinto St Clark Freeport Zone Philippines</t>
  </si>
  <si>
    <t>chefbaboy@gmail.com</t>
  </si>
  <si>
    <t>2022-463</t>
  </si>
  <si>
    <t>EEI CORPORATION</t>
  </si>
  <si>
    <t>Sibug Jr III</t>
  </si>
  <si>
    <t>Ernersto</t>
  </si>
  <si>
    <t>Office Center 08P Clark Center Jose Abad Santos Avenue</t>
  </si>
  <si>
    <t>easibug3@eei.com.ph</t>
  </si>
  <si>
    <t>2021-286</t>
  </si>
  <si>
    <t>PHILIPPINE COAST GUARD</t>
  </si>
  <si>
    <t>Samarita</t>
  </si>
  <si>
    <t>Ltjg Jomar</t>
  </si>
  <si>
    <t>DCS for Logistics</t>
  </si>
  <si>
    <t>Clark Special Economic Zone</t>
  </si>
  <si>
    <t>jomar.samarita@coastguard.gov.ph</t>
  </si>
  <si>
    <t>2020-316</t>
  </si>
  <si>
    <t>THE MILLENIAL CONCEPT FACTORY INC DOING BUSINESS UNDER THE NAME AND STYLE OF FOOD WANDERER AND OTOP HUB PH FORMERLY T</t>
  </si>
  <si>
    <t>Burns</t>
  </si>
  <si>
    <t>Marissa</t>
  </si>
  <si>
    <t>Unit B101 Lower Ground Floor Clark Cityfront MA Roxas Highway</t>
  </si>
  <si>
    <t>eamillennial2020@gmail.com</t>
  </si>
  <si>
    <t>Apogee@525</t>
  </si>
  <si>
    <t>a</t>
  </si>
  <si>
    <t>DUSTIN LESTER FRANCISO IBAY DRAKEDUSTIN JEWELRY</t>
  </si>
  <si>
    <t>Dignos</t>
  </si>
  <si>
    <t>Second Floor  Unit B23B24a Clark Cityfront Mall MA Roxas Highway</t>
  </si>
  <si>
    <t>admn.mitavbsc@gmail.com</t>
  </si>
  <si>
    <t>2025-135</t>
  </si>
  <si>
    <t>TOOEZIGRP GLOBAL SOLUTIONS INC</t>
  </si>
  <si>
    <t>Adajar</t>
  </si>
  <si>
    <t>Jeff Rey</t>
  </si>
  <si>
    <t>Unit B Third Floor Clark Center 09 Clark Center Jose Abad Santos Avenue</t>
  </si>
  <si>
    <t>jeff.adajar@hiivegroup.com</t>
  </si>
  <si>
    <t>2025-067</t>
  </si>
  <si>
    <t>ISOURCE ASIA BUSINESS SOLUTIONS CORPORATION</t>
  </si>
  <si>
    <t>Johann Karl</t>
  </si>
  <si>
    <t>Office Center 06J2 Clark Center Jose Abad Santos Ave</t>
  </si>
  <si>
    <t>johannmendoza788@gmail.com</t>
  </si>
  <si>
    <t>2024-289</t>
  </si>
  <si>
    <t>TRUEGLOBAL IMEX TRADING INC</t>
  </si>
  <si>
    <t>Torrijos</t>
  </si>
  <si>
    <t>Anselmo Benjamin</t>
  </si>
  <si>
    <t>ACIERTO</t>
  </si>
  <si>
    <t>Unit 110B Ground Level 8th Avenue Lifestyle   Mall Hann Casino Resort CM Recto Highway</t>
  </si>
  <si>
    <t>benj08.tr@gmail.com</t>
  </si>
  <si>
    <t>OCONNOR INDUSTRIES OPC</t>
  </si>
  <si>
    <t>Cabueos</t>
  </si>
  <si>
    <t>Unit 1D Philexcel Business Park Annex E Quirino St</t>
  </si>
  <si>
    <t>joanna@goldeneagleintlco.com</t>
  </si>
  <si>
    <t>2025-161</t>
  </si>
  <si>
    <t>ALLLINK  AIR  SEA PHILS INC</t>
  </si>
  <si>
    <t>Elisa</t>
  </si>
  <si>
    <t>Miclat</t>
  </si>
  <si>
    <t>Unit 03 Ground Floor Clark Center 09 Clark Center Jose Abad Santos Ave</t>
  </si>
  <si>
    <t>elisa.villanueva@all-linklogistics.com</t>
  </si>
  <si>
    <t>NETMARKS PHILIPPINES INC</t>
  </si>
  <si>
    <t>Syjuco</t>
  </si>
  <si>
    <t>Unit 2F3 Business Center 7 Philexcel Business Park</t>
  </si>
  <si>
    <t>cdc.affairs@networks.com.ph</t>
  </si>
  <si>
    <t>N3tm@rk5PH</t>
  </si>
  <si>
    <t>EFREN PABUSTAN SAGUID JR SEACRAB SEAFOOD RESTAURANT</t>
  </si>
  <si>
    <t>Daguman</t>
  </si>
  <si>
    <t>seacrab.seafood.resto@gmail.com</t>
  </si>
  <si>
    <t>2024-150</t>
  </si>
  <si>
    <t>Seacrab@2025</t>
  </si>
  <si>
    <t>VITRO INC</t>
  </si>
  <si>
    <t>Ariane Joy</t>
  </si>
  <si>
    <t>Control Specialist</t>
  </si>
  <si>
    <t>MA Roxas Highway corner Ninoy Aquino Avenue</t>
  </si>
  <si>
    <t>agmendoza@vitrodc.com</t>
  </si>
  <si>
    <t>2025-235</t>
  </si>
  <si>
    <t>VERVEINTERIORS INTERIOR DESIGN STUDIO</t>
  </si>
  <si>
    <t>Mamaril</t>
  </si>
  <si>
    <t>Aries</t>
  </si>
  <si>
    <t>OwnerOffice Manager</t>
  </si>
  <si>
    <t>Unit 1F 4B Business Center 3 Philexcel Business Park Inc M Roxas Highway</t>
  </si>
  <si>
    <t>aries@vervedesign.ae</t>
  </si>
  <si>
    <t>2024-137</t>
  </si>
  <si>
    <t>/uploads/file-1744251541543.png</t>
  </si>
  <si>
    <t>LIGHT AND WONDER SERVICES PHILIPPINES INC</t>
  </si>
  <si>
    <t>Sustua</t>
  </si>
  <si>
    <t>Jestec</t>
  </si>
  <si>
    <t>5th Floor Office 1 Clark City Front Tower 1 Manual Roxas Highway</t>
  </si>
  <si>
    <t>jestecsustua@bsucompliance.com</t>
  </si>
  <si>
    <t>2024-500</t>
  </si>
  <si>
    <t>DAHER INDUSTRIAL SERVICES INC</t>
  </si>
  <si>
    <t>Dasalla</t>
  </si>
  <si>
    <t>Gil</t>
  </si>
  <si>
    <t>HR  Admin  Manager</t>
  </si>
  <si>
    <t>OFFICE CENTER 08O Second Floor Clark Center Jose Abad Santos Avenue Clark Freeport Zone</t>
  </si>
  <si>
    <t>g.dasalla@daher-aaa.com</t>
  </si>
  <si>
    <t>2024-290</t>
  </si>
  <si>
    <t>FPS SPCLTY FOOD HOUSE</t>
  </si>
  <si>
    <t>Manicsic</t>
  </si>
  <si>
    <t>Eugene Faith</t>
  </si>
  <si>
    <t>Canasa</t>
  </si>
  <si>
    <t>Employee</t>
  </si>
  <si>
    <t>Lot 18 1A MA Roxas Highway and E Jacinto Street Clark Freeport Zone Philippines</t>
  </si>
  <si>
    <t>fps.spcltyfh@gmail.com</t>
  </si>
  <si>
    <t>Restaurant  Cafe</t>
  </si>
  <si>
    <t>STRARCH PHILIPPINES INC</t>
  </si>
  <si>
    <t>Ground Floor Unit 16 and 15B 2 WorkPlus Bldg Acacia Drive Filinvest Mimosa Leisure Estate</t>
  </si>
  <si>
    <t>rcenteno@asiglobal.net</t>
  </si>
  <si>
    <t>DONGWON HERITAGE FOUNDATION INC</t>
  </si>
  <si>
    <t>Reynaldo Jr</t>
  </si>
  <si>
    <t>Internal Audit</t>
  </si>
  <si>
    <t>ODE County CM Recto Highway</t>
  </si>
  <si>
    <t>eynaldo.chua@dheightsresort.com.ph</t>
  </si>
  <si>
    <t>2021-321</t>
  </si>
  <si>
    <t>SKYWAY AIRLINES INC</t>
  </si>
  <si>
    <t>Astudillo</t>
  </si>
  <si>
    <t>Mika</t>
  </si>
  <si>
    <t>Room 104 Isla Bonded Warehouse and Logistics Corp North Ramp Area Clark Civil Aviation Complex Clark FreeportÂ ZoneÂ Pampanga</t>
  </si>
  <si>
    <t>miks.astudillo@skywayair.ph</t>
  </si>
  <si>
    <t>2024-451</t>
  </si>
  <si>
    <t>/uploads/file-1746029571300.jpg</t>
  </si>
  <si>
    <t>PILATES MOVE STUDIO AND CAFE CORP</t>
  </si>
  <si>
    <t>Barn House 2087 RC Santos Street</t>
  </si>
  <si>
    <t>2025-209</t>
  </si>
  <si>
    <t>ROSEMARIE GARALDE BONITA STAR KFOOD RESTAURANT</t>
  </si>
  <si>
    <t>Rosemarie</t>
  </si>
  <si>
    <t>Unit 44D and 45A Regency Park Townhouses Jose Abad Santos Avenue corner E Aguinaldo St</t>
  </si>
  <si>
    <t>kfoodresto@gmail.com</t>
  </si>
  <si>
    <t>2025-123</t>
  </si>
  <si>
    <t>CSD INSURANCE AGENCY INCORPORATED</t>
  </si>
  <si>
    <t>Tamondong</t>
  </si>
  <si>
    <t>Rogeliza</t>
  </si>
  <si>
    <t>Olivar</t>
  </si>
  <si>
    <t>HR Admin Coordinator</t>
  </si>
  <si>
    <t>Unit 1 The Pavilion Mall Philexcel Business Park</t>
  </si>
  <si>
    <t>hradmin@csdcore.com</t>
  </si>
  <si>
    <t>0917-168-0795</t>
  </si>
  <si>
    <t>JSY TODAM GOL RESTAURANT CORPORATION doing business under the names and styles of SEOUL YETNAL JIP RESTAURANT KOREAN</t>
  </si>
  <si>
    <t>2025-298</t>
  </si>
  <si>
    <t>Todamgol2024//</t>
  </si>
  <si>
    <t>ALSTOM TRANSPORT CONSTRUCTION PHILIPPINES INC</t>
  </si>
  <si>
    <t>Located along Gil Puyat Avenue near Mabalacfat gate Clark Civil Aviation Complex</t>
  </si>
  <si>
    <t>aileen.hernandez@alstomgroup.com</t>
  </si>
  <si>
    <t>ROBERT CONCEPCION RIVERA HAPPY JUDAH FOOD AND BEVERAGE STALL</t>
  </si>
  <si>
    <t>Unit B61 Second Floor Clark Cityfront Mall Clark Freeport Zone</t>
  </si>
  <si>
    <t>happyjudahclarkcityfrontmall@gmail.com</t>
  </si>
  <si>
    <t>2022-647</t>
  </si>
  <si>
    <t>MARIA LOURDES VALENZONA TREVENIO K RAMYUN FOOD HOUSE</t>
  </si>
  <si>
    <t>Office Center 06A Clark Center Jose Abad Santos Ave</t>
  </si>
  <si>
    <t>kimmy.alvaro17@gmail.com</t>
  </si>
  <si>
    <t>VIVA INTERNATIONAL FOOD  RESTAURANTS INC</t>
  </si>
  <si>
    <t>Anna Bella</t>
  </si>
  <si>
    <t>Employee Relations Manager</t>
  </si>
  <si>
    <t>Gil Puyat Avenue corner Anfres Soriano Street</t>
  </si>
  <si>
    <t>abtorres@viva.com.ph</t>
  </si>
  <si>
    <t>2024-362</t>
  </si>
  <si>
    <t>BASE GLOBAL BASE GLOBAL SOLUTIONS INCSOLUTIONS INC</t>
  </si>
  <si>
    <t>Barce</t>
  </si>
  <si>
    <t>Arylene</t>
  </si>
  <si>
    <t>Office C2 5tOffice C2 5th Floor One West Aeropark Clark Global Cityh Floor One West Aeropark Clark Global City</t>
  </si>
  <si>
    <t>arylene.barce@baseglobalsolutions.com</t>
  </si>
  <si>
    <t>2025-295</t>
  </si>
  <si>
    <t>JOIN LIFE INL DEVELOPMENT CORPORATION</t>
  </si>
  <si>
    <t>Edrosolan</t>
  </si>
  <si>
    <t>Joy Nerissa</t>
  </si>
  <si>
    <t>Block 5 CMUA The Villages CM Recto Highway</t>
  </si>
  <si>
    <t>joinlife091823@gmail.com</t>
  </si>
  <si>
    <t>ABBA CURRENCY EXCHANGE INC</t>
  </si>
  <si>
    <t>Genaskey</t>
  </si>
  <si>
    <t>Abigael</t>
  </si>
  <si>
    <t>Unit 108 Ground Level 8th Avenue Lifestyle Mall Hann Casino Resort CM Recto Highway</t>
  </si>
  <si>
    <t>abigaelgenaskey@gmail.com</t>
  </si>
  <si>
    <t>STRA8 LOGISTICS SUPPORT SERVICES OPC</t>
  </si>
  <si>
    <t>Hilarion Ritche</t>
  </si>
  <si>
    <t>Room 105 Isla Bonded Warehouse Civil Aviation North Ramp Area Clark Freeport Zone 2023 Pampanga</t>
  </si>
  <si>
    <t>finance@stra8logistics.com</t>
  </si>
  <si>
    <t>2025-385</t>
  </si>
  <si>
    <t>/uploads/file-1754559656854.jpg</t>
  </si>
  <si>
    <t>MAIN STAY HOTEL CORP</t>
  </si>
  <si>
    <t>Unit 5 Ground Floor 3rd 4th 5th 6th Floor of Clark Terrace Building Lot 2 Block 1 The Villages Prince Balagtas Ave</t>
  </si>
  <si>
    <t>mainstayhotelcorp@gmail.com</t>
  </si>
  <si>
    <t>2025-416</t>
  </si>
  <si>
    <t>LAFE CORPORATION</t>
  </si>
  <si>
    <t>Dawnlu Kashina</t>
  </si>
  <si>
    <t>Within Stotsenberg Leisure Park  Hotel Corporation Gil Puyat Avenue corner Andres Soriano Sr Street</t>
  </si>
  <si>
    <t>lafecateringcorporation@gmail.com</t>
  </si>
  <si>
    <t>0917-134-4745</t>
  </si>
  <si>
    <t>2025-259</t>
  </si>
  <si>
    <t>CLARK VILLAGES SUPER MARKET CORP</t>
  </si>
  <si>
    <t>Unit 14 Ground Floor Clark Terrace Building Lot 2 Block 1 The Villages Prince Balagtas Ave</t>
  </si>
  <si>
    <t>clarkvillagessupermarketcorp@gmail.com</t>
  </si>
  <si>
    <t>2025-372</t>
  </si>
  <si>
    <t>EP ESTADILLA CLINIKA DENTISTA</t>
  </si>
  <si>
    <t>Estadilla</t>
  </si>
  <si>
    <t>Elvie</t>
  </si>
  <si>
    <t>Pagaran</t>
  </si>
  <si>
    <t>Stall 202 2nd Floor KACC Philmade Annex Bldg Lot 1  2 Corner Jose Abad Santos Avenue  EQuirino Street</t>
  </si>
  <si>
    <t>hyundaidentalclinic@gmail.com</t>
  </si>
  <si>
    <t>2025-491</t>
  </si>
  <si>
    <t>CLOCKWISE AIRCRAFT MAINTENANCE SERVICES INC</t>
  </si>
  <si>
    <t>Despa</t>
  </si>
  <si>
    <t>Maria Bernadeth</t>
  </si>
  <si>
    <t>portion of Blg 7212 Clark Civil Aviation Complex</t>
  </si>
  <si>
    <t>bernadeth@clockwisemaintenance.com</t>
  </si>
  <si>
    <t>2025-526</t>
  </si>
  <si>
    <t>PREMIUM OUTLETS  PTT CORP</t>
  </si>
  <si>
    <t>Marzan</t>
  </si>
  <si>
    <t>Mark Tyron</t>
  </si>
  <si>
    <t>Unit 4  5 2nd Floor Northwalk Clark Complex MA Roxas Highway</t>
  </si>
  <si>
    <t>hr.premiumoutlets@gmail.com</t>
  </si>
  <si>
    <t>STONEBRIDGE MATERIALS CORP</t>
  </si>
  <si>
    <t>Room 6 Philexcel Business Arcade 3 Philexcel Business Park MA Roxas Highway</t>
  </si>
  <si>
    <t>stonebridgematerials@gmail.com</t>
  </si>
  <si>
    <t>GLOBAL GATEWAY LOGISTICS CITY TOWN CENTER CORPORATION</t>
  </si>
  <si>
    <t>Unit 1001 10th Floor One West Aeropark Building Clark Global City</t>
  </si>
  <si>
    <t>gglc.towncentercorp@gmail.com</t>
  </si>
  <si>
    <t>045-598-3110</t>
  </si>
  <si>
    <t>2025-274</t>
  </si>
  <si>
    <t>GGLCTC2025</t>
  </si>
  <si>
    <t>MIGHTY JOY RACELIS KIM SHOWGOLF SOUVENIR SHOP</t>
  </si>
  <si>
    <t>Mighty Joy</t>
  </si>
  <si>
    <t>Racelis</t>
  </si>
  <si>
    <t>Unit 2 Golden Tree Building The Villages Lot 2 Block 1 Prince Balagtas Ave</t>
  </si>
  <si>
    <t>showgolfclark@gmail.com</t>
  </si>
  <si>
    <t>0975-631-1372</t>
  </si>
  <si>
    <t>2025-508</t>
  </si>
  <si>
    <t>JUVY RAMIREZ MANWONG JRM LEGAL SERVICES CENTER</t>
  </si>
  <si>
    <t>Molina</t>
  </si>
  <si>
    <t>Office Center 05L1A Clark Center Jose Abad Santos Avenue</t>
  </si>
  <si>
    <t>jrmlegalservicescenter@gmail.com</t>
  </si>
  <si>
    <t>2022-659</t>
  </si>
  <si>
    <t>ACC PREMIERE BPO PHILIPPINES CORP</t>
  </si>
  <si>
    <t>Second Floor Building 35 Berthaphil II Office Park Quirino Avenue</t>
  </si>
  <si>
    <t>0966-192-5170</t>
  </si>
  <si>
    <t>2025-588</t>
  </si>
  <si>
    <t>AUTERNUM BIO TECHNOLOGIES OPC</t>
  </si>
  <si>
    <t>Cato</t>
  </si>
  <si>
    <t>Earl</t>
  </si>
  <si>
    <t>Office Admin</t>
  </si>
  <si>
    <t>510 Cowork03 5F Regus Bldg Clark Center 07 Clark Center Jose Abad Santos Avenue Clark Freeport Zone Philippines</t>
  </si>
  <si>
    <t>earlcato142616@gmail.com</t>
  </si>
  <si>
    <t>2025-457</t>
  </si>
  <si>
    <t>MAGUIRE GROUP HOLDINGS INC</t>
  </si>
  <si>
    <t>March Jerome</t>
  </si>
  <si>
    <t>Compensation and Benefits Specialist</t>
  </si>
  <si>
    <t>Clark Outlet Center  Nike Factory Store  Building A Units 1 to 6 Lot 275 to 278 along MA Roxas Clark Freeport Zone Philippines</t>
  </si>
  <si>
    <t>jerome.santos@maguiregroup.ph</t>
  </si>
  <si>
    <t>2025-307</t>
  </si>
  <si>
    <t>CHEZ SUZETTE PHILIPPINES INC</t>
  </si>
  <si>
    <t>Barn House No 2080 RC Santos Street Clark Freeport Zone Philippines</t>
  </si>
  <si>
    <t>chezsuzetteph@yahoo.com</t>
  </si>
  <si>
    <t>Chez#1234</t>
  </si>
  <si>
    <t>BGL CORPORATE SOLUTIONS INC</t>
  </si>
  <si>
    <t>SagansayMiclat</t>
  </si>
  <si>
    <t>Sharon Rae</t>
  </si>
  <si>
    <t>People Experience Business Partner</t>
  </si>
  <si>
    <t>Unit B Second Floor Clark Main Gate Building M A Roxas Highway Clark Freeport Zone Philippines</t>
  </si>
  <si>
    <t>srae@bglcorp.com.au</t>
  </si>
  <si>
    <t>2024-371</t>
  </si>
  <si>
    <t>/uploads/file-1765249076645.png</t>
  </si>
  <si>
    <t>Jonalyn</t>
  </si>
  <si>
    <t>Business Operations Manager</t>
  </si>
  <si>
    <t>Unit A 1A  and 2B Club Building Clark Hills Village Abacan and Chico Sts Clark Freeport Zone Philippines</t>
  </si>
  <si>
    <t>realestatephiltop@gmail.com</t>
  </si>
  <si>
    <t>2025-613</t>
  </si>
  <si>
    <t>ROBINNE TRISHA GARCIA CAMELLO KAERU IZAKAYA JAPANESE RESTAURANT</t>
  </si>
  <si>
    <t>Camello</t>
  </si>
  <si>
    <t>Robinne Trisha</t>
  </si>
  <si>
    <t>Stall No 25 Lilly Hill Plaza CM Recto Highway Clark Freeport Zone Philippines</t>
  </si>
  <si>
    <t>kaeruizakaya@gmail.com</t>
  </si>
  <si>
    <t>2025-542</t>
  </si>
  <si>
    <t>KR SOLUTIONS INC</t>
  </si>
  <si>
    <t>Diana Rose</t>
  </si>
  <si>
    <t>Maure</t>
  </si>
  <si>
    <t>Unit 205 Bldg 1473 Rio Grande de Pampanga corner Abacan St Clark Freeport Zone Philippines</t>
  </si>
  <si>
    <t>ddevera.hana@gmail.com</t>
  </si>
  <si>
    <t>2026-041</t>
  </si>
  <si>
    <t>ARBOLEDA KITCHEN OPC</t>
  </si>
  <si>
    <t>Arboleda</t>
  </si>
  <si>
    <t>Maria Lourdes</t>
  </si>
  <si>
    <t>SAT A Corp area N2835 JA Santos Avenue corner Bayanihan Street Clark Freeport Zone Philippines</t>
  </si>
  <si>
    <t>arboledaskitchenph@gmail.com</t>
  </si>
  <si>
    <t>2025-263</t>
  </si>
  <si>
    <t>company_name</t>
  </si>
  <si>
    <t>email</t>
  </si>
  <si>
    <t>address</t>
  </si>
  <si>
    <t>contact_no</t>
  </si>
  <si>
    <t>last_name</t>
  </si>
  <si>
    <t>first_name</t>
  </si>
  <si>
    <t>middle_name</t>
  </si>
  <si>
    <t>position</t>
  </si>
  <si>
    <t>category</t>
  </si>
  <si>
    <t>locno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</si>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</sst>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2"/>
  <sheetViews>
    <sheetView tabSelected="1" topLeftCell="E1" workbookViewId="0">
      <selection activeCell="O1" sqref="O1"/>
    </sheetView>
  </sheetViews>
  <sheetFormatPr defaultRowHeight="14.4" x14ac:dyDescent="0.3"/>
  <cols>
    <col min="1" max="1" width="48.33203125" customWidth="1"/>
    <col min="2" max="2" width="22.33203125" customWidth="1"/>
    <col min="3" max="3" width="12.5546875" customWidth="1"/>
    <col min="4" max="4" width="15.44140625" customWidth="1"/>
    <col min="5" max="5" width="15.109375" customWidth="1"/>
    <col min="6" max="6" width="12.44140625" customWidth="1"/>
    <col min="9" max="9" width="49.5546875" bestFit="1" customWidth="1"/>
    <col min="13" max="13" width="22.21875" customWidth="1"/>
    <col min="14" max="14" width="21.33203125" customWidth="1"/>
    <col min="15" max="15" width="23.5546875" customWidth="1"/>
  </cols>
  <sheetData>
    <row r="1" spans="1:17" x14ac:dyDescent="0.3">
      <c r="A1" t="s">
        <v>12275</v>
      </c>
      <c r="B1" t="s">
        <v>12279</v>
      </c>
      <c r="C1" t="s">
        <v>12280</v>
      </c>
      <c r="D1" t="s">
        <v>12281</v>
      </c>
      <c r="E1" t="s">
        <v>12282</v>
      </c>
      <c r="F1" t="s">
        <v>12277</v>
      </c>
      <c r="G1" t="s">
        <v>0</v>
      </c>
      <c r="H1" t="s">
        <v>1</v>
      </c>
      <c r="I1" t="s">
        <v>12276</v>
      </c>
      <c r="J1" t="s">
        <v>12278</v>
      </c>
      <c r="K1" t="s">
        <v>2</v>
      </c>
      <c r="L1" t="s">
        <v>1316</v>
      </c>
      <c r="M1" t="s">
        <v>3</v>
      </c>
      <c r="N1" t="s">
        <v>12283</v>
      </c>
      <c r="O1" t="s">
        <v>12285</v>
      </c>
      <c r="P1" t="s">
        <v>12284</v>
      </c>
      <c r="Q1" t="s">
        <v>4</v>
      </c>
    </row>
    <row r="2" spans="1:1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15.1724599658563</v>
      </c>
      <c r="H2">
        <v>120.52850067615501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>
        <v>1312</v>
      </c>
      <c r="Q2" t="s">
        <v>18</v>
      </c>
    </row>
    <row r="3" spans="1:17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15.178578699999999</v>
      </c>
      <c r="H3">
        <v>120.51842980000001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>
        <v>759</v>
      </c>
      <c r="Q3" t="s">
        <v>32</v>
      </c>
    </row>
    <row r="4" spans="1:17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2303</v>
      </c>
    </row>
    <row r="5" spans="1:17" x14ac:dyDescent="0.3">
      <c r="A5" t="s">
        <v>47</v>
      </c>
      <c r="B5" t="s">
        <v>48</v>
      </c>
      <c r="C5" t="s">
        <v>49</v>
      </c>
      <c r="D5" t="s">
        <v>48</v>
      </c>
      <c r="E5" t="s">
        <v>50</v>
      </c>
      <c r="F5" t="s">
        <v>51</v>
      </c>
      <c r="G5">
        <v>15.178578699999999</v>
      </c>
      <c r="H5">
        <v>120.51842980000001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>
        <v>2333</v>
      </c>
      <c r="Q5" t="s">
        <v>59</v>
      </c>
    </row>
    <row r="6" spans="1:17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>
        <v>15.178578699999999</v>
      </c>
      <c r="H6">
        <v>120.51842980000001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57</v>
      </c>
      <c r="O6" t="s">
        <v>71</v>
      </c>
      <c r="P6">
        <v>95</v>
      </c>
      <c r="Q6" t="s">
        <v>72</v>
      </c>
    </row>
    <row r="7" spans="1:17" x14ac:dyDescent="0.3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15.1777046346443</v>
      </c>
      <c r="H7">
        <v>120.529294610023</v>
      </c>
      <c r="I7" t="s">
        <v>79</v>
      </c>
      <c r="J7" t="s">
        <v>80</v>
      </c>
      <c r="K7" t="s">
        <v>81</v>
      </c>
      <c r="L7">
        <v>1234</v>
      </c>
      <c r="M7" t="s">
        <v>82</v>
      </c>
      <c r="N7" t="s">
        <v>30</v>
      </c>
      <c r="O7" t="s">
        <v>83</v>
      </c>
      <c r="P7">
        <v>2244</v>
      </c>
      <c r="Q7" t="s">
        <v>84</v>
      </c>
    </row>
    <row r="8" spans="1:17" x14ac:dyDescent="0.3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15.178578699999999</v>
      </c>
      <c r="H8">
        <v>120.51842980000001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  <c r="P8">
        <v>2131</v>
      </c>
      <c r="Q8" t="s">
        <v>98</v>
      </c>
    </row>
    <row r="9" spans="1:17" x14ac:dyDescent="0.3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I9" t="s">
        <v>105</v>
      </c>
      <c r="J9">
        <v>5996080</v>
      </c>
      <c r="K9" t="s">
        <v>106</v>
      </c>
      <c r="L9" t="s">
        <v>107</v>
      </c>
      <c r="M9" t="s">
        <v>108</v>
      </c>
      <c r="N9" t="s">
        <v>57</v>
      </c>
      <c r="O9" t="s">
        <v>109</v>
      </c>
      <c r="P9">
        <v>37</v>
      </c>
    </row>
    <row r="10" spans="1:17" x14ac:dyDescent="0.3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>
        <v>15.203941554271101</v>
      </c>
      <c r="H10">
        <v>120.539588928222</v>
      </c>
      <c r="I10" t="s">
        <v>116</v>
      </c>
      <c r="J10" t="s">
        <v>117</v>
      </c>
      <c r="K10" t="s">
        <v>118</v>
      </c>
      <c r="L10">
        <v>2017</v>
      </c>
      <c r="M10" t="s">
        <v>119</v>
      </c>
      <c r="N10" t="s">
        <v>57</v>
      </c>
      <c r="O10" t="s">
        <v>109</v>
      </c>
      <c r="P10">
        <v>5</v>
      </c>
      <c r="Q10" t="s">
        <v>120</v>
      </c>
    </row>
    <row r="11" spans="1:17" x14ac:dyDescent="0.3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>
        <v>15.190329999999999</v>
      </c>
      <c r="H11">
        <v>120.5360113</v>
      </c>
      <c r="I11" t="s">
        <v>127</v>
      </c>
      <c r="J11">
        <v>9171234159</v>
      </c>
      <c r="K11" t="s">
        <v>128</v>
      </c>
      <c r="L11">
        <v>1234</v>
      </c>
      <c r="M11" t="s">
        <v>129</v>
      </c>
      <c r="N11" t="s">
        <v>57</v>
      </c>
      <c r="O11" t="s">
        <v>58</v>
      </c>
      <c r="P11">
        <v>1256</v>
      </c>
      <c r="Q11" t="s">
        <v>130</v>
      </c>
    </row>
    <row r="12" spans="1:17" x14ac:dyDescent="0.3">
      <c r="A12" t="s">
        <v>131</v>
      </c>
      <c r="B12" t="s">
        <v>132</v>
      </c>
      <c r="C12" t="s">
        <v>133</v>
      </c>
      <c r="D12" t="s">
        <v>134</v>
      </c>
      <c r="E12" t="s">
        <v>135</v>
      </c>
      <c r="F12" t="s">
        <v>136</v>
      </c>
      <c r="G12">
        <v>15.178578699999999</v>
      </c>
      <c r="H12">
        <v>120.51842980000001</v>
      </c>
      <c r="I12" t="s">
        <v>137</v>
      </c>
      <c r="J12">
        <v>9234250878</v>
      </c>
      <c r="K12" t="s">
        <v>138</v>
      </c>
      <c r="L12">
        <v>1234</v>
      </c>
      <c r="M12" t="s">
        <v>139</v>
      </c>
      <c r="N12" t="s">
        <v>30</v>
      </c>
      <c r="O12" t="s">
        <v>140</v>
      </c>
      <c r="P12">
        <v>2285</v>
      </c>
    </row>
    <row r="13" spans="1:17" x14ac:dyDescent="0.3">
      <c r="A13" t="s">
        <v>141</v>
      </c>
      <c r="B13" t="s">
        <v>142</v>
      </c>
      <c r="C13" t="s">
        <v>143</v>
      </c>
      <c r="D13" t="s">
        <v>144</v>
      </c>
      <c r="E13" t="s">
        <v>145</v>
      </c>
      <c r="F13" t="s">
        <v>146</v>
      </c>
      <c r="G13">
        <v>15.178578699999999</v>
      </c>
      <c r="H13">
        <v>120.51842980000001</v>
      </c>
      <c r="I13" t="s">
        <v>147</v>
      </c>
      <c r="J13" t="s">
        <v>148</v>
      </c>
      <c r="K13" t="s">
        <v>149</v>
      </c>
      <c r="L13">
        <v>1234</v>
      </c>
      <c r="M13" t="s">
        <v>150</v>
      </c>
      <c r="N13" t="s">
        <v>151</v>
      </c>
      <c r="O13" t="s">
        <v>152</v>
      </c>
      <c r="P13">
        <v>1461</v>
      </c>
      <c r="Q13" t="s">
        <v>153</v>
      </c>
    </row>
    <row r="14" spans="1:17" x14ac:dyDescent="0.3">
      <c r="A14" t="s">
        <v>154</v>
      </c>
      <c r="B14" t="s">
        <v>155</v>
      </c>
      <c r="C14" t="s">
        <v>156</v>
      </c>
      <c r="D14" t="s">
        <v>134</v>
      </c>
      <c r="E14" t="s">
        <v>9</v>
      </c>
      <c r="F14" t="s">
        <v>157</v>
      </c>
      <c r="G14">
        <v>15.169400084146201</v>
      </c>
      <c r="H14">
        <v>120.56739807128901</v>
      </c>
      <c r="I14" t="s">
        <v>158</v>
      </c>
      <c r="J14">
        <f>-45- 499-3299</f>
        <v>-3843</v>
      </c>
      <c r="K14" t="s">
        <v>159</v>
      </c>
      <c r="L14" t="s">
        <v>160</v>
      </c>
      <c r="M14" t="s">
        <v>161</v>
      </c>
      <c r="N14" t="s">
        <v>57</v>
      </c>
      <c r="O14" t="s">
        <v>58</v>
      </c>
      <c r="P14">
        <v>1380</v>
      </c>
    </row>
    <row r="15" spans="1:17" x14ac:dyDescent="0.3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>
        <v>15.1721079005042</v>
      </c>
      <c r="H15">
        <v>120.528071522712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57</v>
      </c>
      <c r="O15" t="s">
        <v>71</v>
      </c>
      <c r="P15">
        <v>2334</v>
      </c>
      <c r="Q15" t="s">
        <v>173</v>
      </c>
    </row>
    <row r="16" spans="1:17" x14ac:dyDescent="0.3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>
        <v>15.178578699999999</v>
      </c>
      <c r="H16">
        <v>120.51842980000001</v>
      </c>
      <c r="I16" t="s">
        <v>180</v>
      </c>
      <c r="J16">
        <f>-45-4990812</f>
        <v>-4990857</v>
      </c>
      <c r="K16" t="s">
        <v>181</v>
      </c>
      <c r="L16">
        <v>1234</v>
      </c>
      <c r="M16" t="s">
        <v>182</v>
      </c>
      <c r="N16" t="s">
        <v>183</v>
      </c>
      <c r="O16" t="s">
        <v>184</v>
      </c>
      <c r="P16">
        <v>913</v>
      </c>
      <c r="Q16" t="s">
        <v>185</v>
      </c>
    </row>
    <row r="17" spans="1:17" x14ac:dyDescent="0.3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>
        <v>15.1726359983123</v>
      </c>
      <c r="H17">
        <v>120.52407503128001</v>
      </c>
      <c r="I17" t="s">
        <v>192</v>
      </c>
      <c r="J17" t="s">
        <v>193</v>
      </c>
      <c r="K17" t="s">
        <v>194</v>
      </c>
      <c r="L17">
        <v>1234</v>
      </c>
      <c r="M17" t="s">
        <v>195</v>
      </c>
      <c r="N17" t="s">
        <v>57</v>
      </c>
      <c r="O17" t="s">
        <v>17</v>
      </c>
      <c r="P17">
        <v>1506</v>
      </c>
      <c r="Q17" t="s">
        <v>196</v>
      </c>
    </row>
    <row r="18" spans="1:17" x14ac:dyDescent="0.3">
      <c r="A18" t="s">
        <v>197</v>
      </c>
      <c r="B18" t="s">
        <v>198</v>
      </c>
      <c r="C18" t="s">
        <v>199</v>
      </c>
      <c r="D18" t="s">
        <v>200</v>
      </c>
      <c r="E18" t="s">
        <v>201</v>
      </c>
      <c r="F18" t="s">
        <v>202</v>
      </c>
      <c r="G18">
        <v>15.178578699999999</v>
      </c>
      <c r="H18">
        <v>120.51842980000001</v>
      </c>
      <c r="I18" t="s">
        <v>203</v>
      </c>
      <c r="J18">
        <v>9675225871</v>
      </c>
      <c r="K18" t="s">
        <v>204</v>
      </c>
      <c r="L18">
        <v>1234</v>
      </c>
      <c r="M18" t="s">
        <v>205</v>
      </c>
      <c r="N18" t="s">
        <v>206</v>
      </c>
      <c r="O18" t="s">
        <v>207</v>
      </c>
      <c r="P18">
        <v>2231</v>
      </c>
    </row>
    <row r="19" spans="1:17" x14ac:dyDescent="0.3">
      <c r="A19" t="s">
        <v>208</v>
      </c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>
        <v>15.178578699999999</v>
      </c>
      <c r="H19">
        <v>120.51842980000001</v>
      </c>
      <c r="I19" t="s">
        <v>214</v>
      </c>
      <c r="J19" t="s">
        <v>215</v>
      </c>
      <c r="K19" t="s">
        <v>216</v>
      </c>
      <c r="L19" t="s">
        <v>217</v>
      </c>
      <c r="M19" t="s">
        <v>218</v>
      </c>
      <c r="N19" t="s">
        <v>45</v>
      </c>
      <c r="O19" t="s">
        <v>219</v>
      </c>
      <c r="P19">
        <v>1147</v>
      </c>
      <c r="Q19" t="s">
        <v>220</v>
      </c>
    </row>
    <row r="20" spans="1:17" x14ac:dyDescent="0.3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F20" t="s">
        <v>226</v>
      </c>
      <c r="G20">
        <v>15.197418867943499</v>
      </c>
      <c r="H20">
        <v>120.53349494934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45</v>
      </c>
      <c r="O20" t="s">
        <v>219</v>
      </c>
      <c r="P20">
        <v>1973</v>
      </c>
      <c r="Q20" t="s">
        <v>232</v>
      </c>
    </row>
    <row r="21" spans="1:17" x14ac:dyDescent="0.3">
      <c r="A21" t="s">
        <v>233</v>
      </c>
      <c r="B21" t="s">
        <v>234</v>
      </c>
      <c r="C21" t="s">
        <v>235</v>
      </c>
      <c r="D21" t="s">
        <v>236</v>
      </c>
      <c r="E21" t="s">
        <v>237</v>
      </c>
      <c r="F21" t="s">
        <v>238</v>
      </c>
      <c r="G21">
        <v>15.178578699999999</v>
      </c>
      <c r="H21">
        <v>120.51842980000001</v>
      </c>
      <c r="I21" t="s">
        <v>239</v>
      </c>
      <c r="J21" t="s">
        <v>240</v>
      </c>
      <c r="K21" t="s">
        <v>241</v>
      </c>
      <c r="L21">
        <v>1234</v>
      </c>
      <c r="M21" t="s">
        <v>242</v>
      </c>
      <c r="N21" t="s">
        <v>243</v>
      </c>
      <c r="O21" t="s">
        <v>244</v>
      </c>
      <c r="P21">
        <v>576</v>
      </c>
      <c r="Q21" t="s">
        <v>245</v>
      </c>
    </row>
    <row r="22" spans="1:17" x14ac:dyDescent="0.3">
      <c r="A22" t="s">
        <v>246</v>
      </c>
      <c r="B22" t="s">
        <v>247</v>
      </c>
      <c r="C22" t="s">
        <v>248</v>
      </c>
      <c r="D22" t="s">
        <v>249</v>
      </c>
      <c r="E22" t="s">
        <v>250</v>
      </c>
      <c r="F22" t="s">
        <v>251</v>
      </c>
      <c r="G22">
        <v>15.178578699999999</v>
      </c>
      <c r="H22">
        <v>120.51842980000001</v>
      </c>
      <c r="I22" t="s">
        <v>252</v>
      </c>
      <c r="J22" t="s">
        <v>253</v>
      </c>
      <c r="K22" t="s">
        <v>254</v>
      </c>
      <c r="L22">
        <v>1234</v>
      </c>
      <c r="M22" t="s">
        <v>255</v>
      </c>
      <c r="N22" t="s">
        <v>57</v>
      </c>
      <c r="O22" t="s">
        <v>256</v>
      </c>
      <c r="P22">
        <v>1045</v>
      </c>
      <c r="Q22" t="s">
        <v>257</v>
      </c>
    </row>
    <row r="23" spans="1:17" x14ac:dyDescent="0.3">
      <c r="A23" t="s">
        <v>258</v>
      </c>
      <c r="B23" t="s">
        <v>259</v>
      </c>
      <c r="C23" t="s">
        <v>260</v>
      </c>
      <c r="D23" t="s">
        <v>261</v>
      </c>
      <c r="E23" t="s">
        <v>262</v>
      </c>
      <c r="F23" t="s">
        <v>263</v>
      </c>
      <c r="G23">
        <v>15.178578699999999</v>
      </c>
      <c r="H23">
        <v>120.51842980000001</v>
      </c>
      <c r="I23" t="s">
        <v>264</v>
      </c>
      <c r="J23" t="s">
        <v>265</v>
      </c>
      <c r="K23" t="s">
        <v>266</v>
      </c>
      <c r="L23" t="s">
        <v>267</v>
      </c>
      <c r="M23" t="s">
        <v>268</v>
      </c>
      <c r="N23" t="s">
        <v>45</v>
      </c>
      <c r="O23" t="s">
        <v>269</v>
      </c>
      <c r="P23">
        <v>1874</v>
      </c>
      <c r="Q23" t="s">
        <v>270</v>
      </c>
    </row>
    <row r="24" spans="1:17" x14ac:dyDescent="0.3">
      <c r="A24" t="s">
        <v>271</v>
      </c>
      <c r="B24" t="s">
        <v>272</v>
      </c>
      <c r="C24" t="s">
        <v>273</v>
      </c>
      <c r="D24" t="s">
        <v>274</v>
      </c>
      <c r="E24" t="s">
        <v>275</v>
      </c>
      <c r="F24" t="s">
        <v>276</v>
      </c>
      <c r="I24" t="s">
        <v>277</v>
      </c>
      <c r="J24" t="s">
        <v>278</v>
      </c>
      <c r="K24" t="s">
        <v>279</v>
      </c>
      <c r="L24">
        <v>4321</v>
      </c>
      <c r="M24" t="s">
        <v>15</v>
      </c>
      <c r="N24" t="s">
        <v>243</v>
      </c>
      <c r="O24" t="s">
        <v>280</v>
      </c>
      <c r="P24">
        <v>252</v>
      </c>
      <c r="Q24" t="s">
        <v>281</v>
      </c>
    </row>
    <row r="25" spans="1:17" x14ac:dyDescent="0.3">
      <c r="A25" t="s">
        <v>282</v>
      </c>
      <c r="B25" t="s">
        <v>283</v>
      </c>
      <c r="C25" t="s">
        <v>284</v>
      </c>
      <c r="D25" t="s">
        <v>285</v>
      </c>
      <c r="E25" t="s">
        <v>286</v>
      </c>
      <c r="F25" t="s">
        <v>287</v>
      </c>
      <c r="G25">
        <v>15.178578699999999</v>
      </c>
      <c r="H25">
        <v>120.51842980000001</v>
      </c>
      <c r="I25" t="s">
        <v>288</v>
      </c>
      <c r="J25">
        <v>455997492</v>
      </c>
      <c r="K25" t="s">
        <v>289</v>
      </c>
      <c r="L25" t="s">
        <v>290</v>
      </c>
      <c r="M25" t="s">
        <v>291</v>
      </c>
      <c r="N25" t="s">
        <v>16</v>
      </c>
      <c r="O25" t="s">
        <v>292</v>
      </c>
      <c r="P25">
        <v>855</v>
      </c>
      <c r="Q25" t="s">
        <v>293</v>
      </c>
    </row>
    <row r="26" spans="1:17" x14ac:dyDescent="0.3">
      <c r="A26" t="s">
        <v>294</v>
      </c>
      <c r="B26" t="s">
        <v>234</v>
      </c>
      <c r="C26" t="s">
        <v>295</v>
      </c>
      <c r="D26" t="s">
        <v>296</v>
      </c>
      <c r="E26" t="s">
        <v>297</v>
      </c>
      <c r="F26" t="s">
        <v>298</v>
      </c>
      <c r="G26">
        <v>15.178578699999999</v>
      </c>
      <c r="H26">
        <v>120.51842980000001</v>
      </c>
      <c r="I26" t="s">
        <v>299</v>
      </c>
      <c r="J26" t="s">
        <v>300</v>
      </c>
      <c r="K26" t="s">
        <v>301</v>
      </c>
      <c r="L26" t="s">
        <v>302</v>
      </c>
      <c r="M26" t="s">
        <v>303</v>
      </c>
      <c r="N26" t="s">
        <v>304</v>
      </c>
      <c r="O26" t="s">
        <v>305</v>
      </c>
      <c r="P26">
        <v>2224</v>
      </c>
    </row>
    <row r="27" spans="1:17" x14ac:dyDescent="0.3">
      <c r="A27" t="s">
        <v>306</v>
      </c>
      <c r="B27" t="s">
        <v>307</v>
      </c>
      <c r="C27" t="s">
        <v>308</v>
      </c>
      <c r="D27" t="s">
        <v>309</v>
      </c>
      <c r="E27" t="s">
        <v>310</v>
      </c>
      <c r="F27" t="s">
        <v>311</v>
      </c>
      <c r="G27">
        <v>15.1814529657078</v>
      </c>
      <c r="H27">
        <v>120.546905994415</v>
      </c>
      <c r="I27" t="s">
        <v>312</v>
      </c>
      <c r="J27" t="s">
        <v>313</v>
      </c>
      <c r="K27" t="s">
        <v>314</v>
      </c>
      <c r="L27" t="s">
        <v>315</v>
      </c>
      <c r="M27" t="s">
        <v>316</v>
      </c>
      <c r="N27" t="s">
        <v>304</v>
      </c>
      <c r="O27" t="s">
        <v>305</v>
      </c>
      <c r="P27">
        <v>434</v>
      </c>
      <c r="Q27" t="s">
        <v>317</v>
      </c>
    </row>
    <row r="28" spans="1:17" x14ac:dyDescent="0.3">
      <c r="A28" t="s">
        <v>318</v>
      </c>
      <c r="B28" t="s">
        <v>307</v>
      </c>
      <c r="C28" t="s">
        <v>308</v>
      </c>
      <c r="D28" t="s">
        <v>309</v>
      </c>
      <c r="E28" t="s">
        <v>310</v>
      </c>
      <c r="F28" t="s">
        <v>319</v>
      </c>
      <c r="G28">
        <v>15.1814115480485</v>
      </c>
      <c r="H28">
        <v>120.54688453674299</v>
      </c>
      <c r="I28" t="s">
        <v>312</v>
      </c>
      <c r="J28" t="s">
        <v>313</v>
      </c>
      <c r="K28" t="s">
        <v>320</v>
      </c>
      <c r="L28" t="s">
        <v>321</v>
      </c>
      <c r="M28" t="s">
        <v>322</v>
      </c>
      <c r="N28" t="s">
        <v>304</v>
      </c>
      <c r="O28" t="s">
        <v>323</v>
      </c>
      <c r="P28">
        <v>457</v>
      </c>
      <c r="Q28" t="s">
        <v>324</v>
      </c>
    </row>
    <row r="29" spans="1:17" x14ac:dyDescent="0.3">
      <c r="A29" t="s">
        <v>325</v>
      </c>
      <c r="B29" t="s">
        <v>326</v>
      </c>
      <c r="C29" t="s">
        <v>327</v>
      </c>
      <c r="D29" t="s">
        <v>328</v>
      </c>
      <c r="E29" t="s">
        <v>329</v>
      </c>
      <c r="F29" t="s">
        <v>330</v>
      </c>
      <c r="G29">
        <v>15.178578699999999</v>
      </c>
      <c r="H29">
        <v>120.51842980000001</v>
      </c>
      <c r="I29" t="s">
        <v>331</v>
      </c>
      <c r="J29" t="s">
        <v>332</v>
      </c>
      <c r="K29" t="s">
        <v>333</v>
      </c>
      <c r="L29" t="s">
        <v>334</v>
      </c>
      <c r="M29" t="s">
        <v>335</v>
      </c>
      <c r="N29" t="s">
        <v>336</v>
      </c>
      <c r="O29" t="s">
        <v>337</v>
      </c>
      <c r="P29">
        <v>2347</v>
      </c>
    </row>
    <row r="30" spans="1:17" x14ac:dyDescent="0.3">
      <c r="A30" t="s">
        <v>338</v>
      </c>
      <c r="B30" t="s">
        <v>339</v>
      </c>
      <c r="C30" t="s">
        <v>340</v>
      </c>
      <c r="D30" t="s">
        <v>341</v>
      </c>
      <c r="E30" t="s">
        <v>342</v>
      </c>
      <c r="F30" t="s">
        <v>343</v>
      </c>
      <c r="G30">
        <v>15.178578699999999</v>
      </c>
      <c r="H30">
        <v>120.51842980000001</v>
      </c>
      <c r="I30" t="s">
        <v>344</v>
      </c>
      <c r="J30" t="s">
        <v>345</v>
      </c>
      <c r="K30" t="s">
        <v>346</v>
      </c>
      <c r="L30">
        <v>1234</v>
      </c>
      <c r="M30" t="s">
        <v>347</v>
      </c>
      <c r="N30" t="s">
        <v>16</v>
      </c>
      <c r="O30" t="s">
        <v>348</v>
      </c>
      <c r="P30">
        <v>2337</v>
      </c>
      <c r="Q30" t="s">
        <v>349</v>
      </c>
    </row>
    <row r="31" spans="1:17" x14ac:dyDescent="0.3">
      <c r="A31" t="s">
        <v>350</v>
      </c>
      <c r="B31" t="s">
        <v>351</v>
      </c>
      <c r="C31" t="s">
        <v>352</v>
      </c>
      <c r="D31" t="s">
        <v>353</v>
      </c>
      <c r="E31" t="s">
        <v>354</v>
      </c>
      <c r="F31" t="s">
        <v>355</v>
      </c>
      <c r="G31">
        <v>15.1741736873538</v>
      </c>
      <c r="H31">
        <v>120.528044700622</v>
      </c>
      <c r="I31" t="s">
        <v>356</v>
      </c>
      <c r="J31" t="s">
        <v>345</v>
      </c>
      <c r="K31" t="s">
        <v>357</v>
      </c>
      <c r="L31">
        <v>1234</v>
      </c>
      <c r="M31" t="s">
        <v>358</v>
      </c>
      <c r="N31" t="s">
        <v>16</v>
      </c>
      <c r="O31" t="s">
        <v>292</v>
      </c>
      <c r="P31">
        <v>2338</v>
      </c>
      <c r="Q31" t="s">
        <v>359</v>
      </c>
    </row>
    <row r="32" spans="1:17" x14ac:dyDescent="0.3">
      <c r="A32" t="s">
        <v>360</v>
      </c>
      <c r="B32" t="s">
        <v>48</v>
      </c>
      <c r="C32" t="s">
        <v>361</v>
      </c>
      <c r="D32" t="s">
        <v>362</v>
      </c>
      <c r="E32" t="s">
        <v>363</v>
      </c>
      <c r="F32" t="s">
        <v>364</v>
      </c>
      <c r="G32">
        <v>15.178578699999999</v>
      </c>
      <c r="H32">
        <v>120.51842980000001</v>
      </c>
      <c r="I32" t="s">
        <v>365</v>
      </c>
      <c r="J32" t="s">
        <v>366</v>
      </c>
      <c r="K32" t="s">
        <v>367</v>
      </c>
      <c r="L32" t="s">
        <v>368</v>
      </c>
      <c r="M32" t="s">
        <v>150</v>
      </c>
      <c r="N32" t="s">
        <v>369</v>
      </c>
      <c r="O32" t="s">
        <v>370</v>
      </c>
      <c r="P32">
        <v>2236</v>
      </c>
    </row>
    <row r="33" spans="1:17" x14ac:dyDescent="0.3">
      <c r="A33" t="s">
        <v>371</v>
      </c>
      <c r="B33" t="s">
        <v>326</v>
      </c>
      <c r="C33" t="s">
        <v>75</v>
      </c>
      <c r="D33" t="s">
        <v>372</v>
      </c>
      <c r="E33" t="s">
        <v>373</v>
      </c>
      <c r="F33" t="s">
        <v>374</v>
      </c>
      <c r="I33" t="s">
        <v>375</v>
      </c>
      <c r="J33" t="s">
        <v>376</v>
      </c>
      <c r="K33" t="s">
        <v>377</v>
      </c>
      <c r="L33">
        <v>1</v>
      </c>
      <c r="M33" t="s">
        <v>378</v>
      </c>
      <c r="N33" t="s">
        <v>369</v>
      </c>
      <c r="O33" t="s">
        <v>379</v>
      </c>
      <c r="P33">
        <v>2442</v>
      </c>
      <c r="Q33" t="s">
        <v>380</v>
      </c>
    </row>
    <row r="34" spans="1:17" x14ac:dyDescent="0.3">
      <c r="A34" t="s">
        <v>381</v>
      </c>
      <c r="B34" t="s">
        <v>382</v>
      </c>
      <c r="C34" t="s">
        <v>383</v>
      </c>
      <c r="D34" t="s">
        <v>384</v>
      </c>
      <c r="E34" t="s">
        <v>385</v>
      </c>
      <c r="F34" t="s">
        <v>386</v>
      </c>
      <c r="G34">
        <v>15.178578699999999</v>
      </c>
      <c r="H34">
        <v>120.51842980000001</v>
      </c>
      <c r="I34" t="s">
        <v>387</v>
      </c>
      <c r="J34">
        <f>-45- 499 - 5440</f>
        <v>-5984</v>
      </c>
      <c r="K34" t="s">
        <v>388</v>
      </c>
      <c r="L34" t="s">
        <v>389</v>
      </c>
      <c r="M34" t="s">
        <v>390</v>
      </c>
      <c r="N34" t="s">
        <v>369</v>
      </c>
      <c r="O34" t="s">
        <v>391</v>
      </c>
      <c r="P34">
        <v>2403</v>
      </c>
      <c r="Q34" t="s">
        <v>392</v>
      </c>
    </row>
    <row r="35" spans="1:17" x14ac:dyDescent="0.3">
      <c r="A35" t="s">
        <v>393</v>
      </c>
      <c r="B35" t="s">
        <v>326</v>
      </c>
      <c r="C35" t="s">
        <v>75</v>
      </c>
      <c r="D35" t="s">
        <v>372</v>
      </c>
      <c r="E35" t="s">
        <v>394</v>
      </c>
      <c r="F35" t="s">
        <v>395</v>
      </c>
      <c r="G35">
        <v>15.178578699999999</v>
      </c>
      <c r="H35">
        <v>120.51842980000001</v>
      </c>
      <c r="I35" t="s">
        <v>375</v>
      </c>
      <c r="J35" t="s">
        <v>396</v>
      </c>
      <c r="K35" t="s">
        <v>397</v>
      </c>
      <c r="L35">
        <v>1234</v>
      </c>
      <c r="M35" t="s">
        <v>378</v>
      </c>
      <c r="N35" t="s">
        <v>398</v>
      </c>
      <c r="O35" t="s">
        <v>399</v>
      </c>
      <c r="P35">
        <v>2219</v>
      </c>
      <c r="Q35" t="s">
        <v>400</v>
      </c>
    </row>
    <row r="36" spans="1:17" x14ac:dyDescent="0.3">
      <c r="A36" t="s">
        <v>401</v>
      </c>
      <c r="B36" t="s">
        <v>326</v>
      </c>
      <c r="C36" t="s">
        <v>75</v>
      </c>
      <c r="D36" t="s">
        <v>372</v>
      </c>
      <c r="E36" t="s">
        <v>402</v>
      </c>
      <c r="F36" t="s">
        <v>403</v>
      </c>
      <c r="G36">
        <v>15.178578699999999</v>
      </c>
      <c r="H36">
        <v>120.51842980000001</v>
      </c>
      <c r="I36" t="s">
        <v>375</v>
      </c>
      <c r="J36" t="s">
        <v>396</v>
      </c>
      <c r="K36" t="s">
        <v>404</v>
      </c>
      <c r="L36">
        <v>1234</v>
      </c>
      <c r="M36" t="s">
        <v>405</v>
      </c>
      <c r="N36" t="s">
        <v>398</v>
      </c>
      <c r="O36" t="s">
        <v>399</v>
      </c>
      <c r="P36">
        <v>2088</v>
      </c>
      <c r="Q36" t="s">
        <v>406</v>
      </c>
    </row>
    <row r="37" spans="1:17" x14ac:dyDescent="0.3">
      <c r="A37" t="s">
        <v>407</v>
      </c>
      <c r="B37" t="s">
        <v>326</v>
      </c>
      <c r="C37" t="s">
        <v>75</v>
      </c>
      <c r="D37" t="s">
        <v>372</v>
      </c>
      <c r="E37" t="s">
        <v>394</v>
      </c>
      <c r="F37" t="s">
        <v>408</v>
      </c>
      <c r="I37" t="s">
        <v>409</v>
      </c>
      <c r="J37" t="s">
        <v>376</v>
      </c>
      <c r="K37" t="s">
        <v>410</v>
      </c>
      <c r="L37" t="s">
        <v>411</v>
      </c>
      <c r="M37" t="s">
        <v>82</v>
      </c>
      <c r="N37" t="s">
        <v>16</v>
      </c>
      <c r="O37" t="s">
        <v>412</v>
      </c>
      <c r="P37">
        <v>2266</v>
      </c>
      <c r="Q37" t="s">
        <v>413</v>
      </c>
    </row>
    <row r="38" spans="1:17" x14ac:dyDescent="0.3">
      <c r="A38" t="s">
        <v>414</v>
      </c>
      <c r="B38" t="s">
        <v>415</v>
      </c>
      <c r="C38" t="s">
        <v>416</v>
      </c>
      <c r="D38" t="s">
        <v>417</v>
      </c>
      <c r="E38" t="s">
        <v>418</v>
      </c>
      <c r="F38" t="s">
        <v>419</v>
      </c>
      <c r="G38">
        <v>15.178408746106699</v>
      </c>
      <c r="H38">
        <v>120.51832437515201</v>
      </c>
      <c r="I38" t="s">
        <v>375</v>
      </c>
      <c r="J38" t="s">
        <v>396</v>
      </c>
      <c r="K38" t="s">
        <v>420</v>
      </c>
      <c r="L38">
        <v>1234</v>
      </c>
      <c r="M38" t="s">
        <v>150</v>
      </c>
      <c r="N38" t="s">
        <v>16</v>
      </c>
      <c r="O38" t="s">
        <v>421</v>
      </c>
      <c r="P38">
        <v>2052</v>
      </c>
      <c r="Q38" t="s">
        <v>422</v>
      </c>
    </row>
    <row r="39" spans="1:17" x14ac:dyDescent="0.3">
      <c r="A39" t="s">
        <v>73</v>
      </c>
      <c r="B39" t="s">
        <v>74</v>
      </c>
      <c r="C39" t="s">
        <v>75</v>
      </c>
      <c r="D39" t="s">
        <v>76</v>
      </c>
      <c r="E39" t="s">
        <v>77</v>
      </c>
      <c r="F39" t="s">
        <v>78</v>
      </c>
      <c r="G39">
        <v>15.1777046346443</v>
      </c>
      <c r="H39">
        <v>120.529294610023</v>
      </c>
      <c r="I39" t="s">
        <v>79</v>
      </c>
      <c r="J39" t="s">
        <v>80</v>
      </c>
      <c r="K39" t="s">
        <v>81</v>
      </c>
      <c r="L39">
        <v>1234</v>
      </c>
      <c r="M39" t="s">
        <v>82</v>
      </c>
      <c r="N39" t="s">
        <v>30</v>
      </c>
      <c r="O39" t="s">
        <v>83</v>
      </c>
      <c r="P39">
        <v>2244</v>
      </c>
      <c r="Q39" t="s">
        <v>84</v>
      </c>
    </row>
    <row r="40" spans="1:17" x14ac:dyDescent="0.3">
      <c r="A40" t="s">
        <v>423</v>
      </c>
      <c r="B40" t="s">
        <v>424</v>
      </c>
      <c r="C40" t="s">
        <v>425</v>
      </c>
      <c r="D40" t="s">
        <v>426</v>
      </c>
      <c r="E40" t="s">
        <v>427</v>
      </c>
      <c r="F40" t="s">
        <v>428</v>
      </c>
      <c r="G40">
        <v>15.178578699999999</v>
      </c>
      <c r="H40">
        <v>120.51842980000001</v>
      </c>
      <c r="I40" t="s">
        <v>429</v>
      </c>
      <c r="J40" t="s">
        <v>430</v>
      </c>
      <c r="K40" t="s">
        <v>431</v>
      </c>
      <c r="L40">
        <v>1234</v>
      </c>
      <c r="M40" t="s">
        <v>150</v>
      </c>
      <c r="N40" t="s">
        <v>369</v>
      </c>
      <c r="O40" t="s">
        <v>370</v>
      </c>
      <c r="P40">
        <v>2268</v>
      </c>
    </row>
    <row r="41" spans="1:17" x14ac:dyDescent="0.3">
      <c r="A41" t="s">
        <v>432</v>
      </c>
      <c r="B41" t="s">
        <v>433</v>
      </c>
      <c r="C41" t="s">
        <v>434</v>
      </c>
      <c r="D41" t="s">
        <v>177</v>
      </c>
      <c r="E41" t="s">
        <v>435</v>
      </c>
      <c r="F41" t="s">
        <v>436</v>
      </c>
      <c r="G41">
        <v>15.178578699999999</v>
      </c>
      <c r="H41">
        <v>120.51842980000001</v>
      </c>
      <c r="I41" t="s">
        <v>437</v>
      </c>
      <c r="J41" t="s">
        <v>396</v>
      </c>
      <c r="K41" t="s">
        <v>438</v>
      </c>
      <c r="L41" t="s">
        <v>439</v>
      </c>
      <c r="M41" t="s">
        <v>440</v>
      </c>
      <c r="N41" t="s">
        <v>336</v>
      </c>
      <c r="O41" t="s">
        <v>441</v>
      </c>
      <c r="P41">
        <v>2205</v>
      </c>
      <c r="Q41" t="s">
        <v>442</v>
      </c>
    </row>
    <row r="42" spans="1:17" x14ac:dyDescent="0.3">
      <c r="A42" t="s">
        <v>443</v>
      </c>
      <c r="B42" t="s">
        <v>326</v>
      </c>
      <c r="C42" t="s">
        <v>75</v>
      </c>
      <c r="D42" t="s">
        <v>372</v>
      </c>
      <c r="E42" t="s">
        <v>418</v>
      </c>
      <c r="F42" t="s">
        <v>444</v>
      </c>
      <c r="I42" t="s">
        <v>375</v>
      </c>
      <c r="J42" t="s">
        <v>376</v>
      </c>
      <c r="K42" t="s">
        <v>445</v>
      </c>
      <c r="L42" t="s">
        <v>446</v>
      </c>
      <c r="M42" t="s">
        <v>205</v>
      </c>
      <c r="N42" t="s">
        <v>369</v>
      </c>
      <c r="O42" t="s">
        <v>447</v>
      </c>
      <c r="P42">
        <v>2253</v>
      </c>
      <c r="Q42" t="s">
        <v>448</v>
      </c>
    </row>
    <row r="43" spans="1:17" x14ac:dyDescent="0.3">
      <c r="A43" t="s">
        <v>449</v>
      </c>
      <c r="B43" t="s">
        <v>450</v>
      </c>
      <c r="C43" t="s">
        <v>451</v>
      </c>
      <c r="E43" t="s">
        <v>452</v>
      </c>
      <c r="F43" t="s">
        <v>453</v>
      </c>
      <c r="I43" t="s">
        <v>454</v>
      </c>
      <c r="J43">
        <v>9175091467</v>
      </c>
      <c r="K43" t="s">
        <v>455</v>
      </c>
      <c r="L43">
        <v>1234</v>
      </c>
      <c r="M43" t="s">
        <v>456</v>
      </c>
      <c r="N43" t="s">
        <v>457</v>
      </c>
      <c r="O43" t="s">
        <v>458</v>
      </c>
      <c r="P43">
        <v>1103</v>
      </c>
      <c r="Q43" t="s">
        <v>459</v>
      </c>
    </row>
    <row r="44" spans="1:17" x14ac:dyDescent="0.3">
      <c r="A44" t="s">
        <v>460</v>
      </c>
      <c r="B44" t="s">
        <v>461</v>
      </c>
      <c r="C44" t="s">
        <v>462</v>
      </c>
      <c r="D44" t="s">
        <v>463</v>
      </c>
      <c r="E44" t="s">
        <v>464</v>
      </c>
      <c r="F44" t="s">
        <v>465</v>
      </c>
      <c r="G44">
        <v>15.1772800957164</v>
      </c>
      <c r="H44">
        <v>120.52566289901699</v>
      </c>
      <c r="I44" t="s">
        <v>466</v>
      </c>
      <c r="J44" t="s">
        <v>467</v>
      </c>
      <c r="K44" t="s">
        <v>468</v>
      </c>
      <c r="L44" t="s">
        <v>469</v>
      </c>
      <c r="M44" t="s">
        <v>470</v>
      </c>
      <c r="N44" t="s">
        <v>369</v>
      </c>
      <c r="O44" t="s">
        <v>471</v>
      </c>
      <c r="P44">
        <v>2013</v>
      </c>
      <c r="Q44" t="s">
        <v>472</v>
      </c>
    </row>
    <row r="45" spans="1:17" x14ac:dyDescent="0.3">
      <c r="A45" t="s">
        <v>473</v>
      </c>
      <c r="B45" t="s">
        <v>474</v>
      </c>
      <c r="C45" t="s">
        <v>475</v>
      </c>
      <c r="D45" t="s">
        <v>476</v>
      </c>
      <c r="E45" t="s">
        <v>477</v>
      </c>
      <c r="F45" t="s">
        <v>478</v>
      </c>
      <c r="G45">
        <v>15.1734177877421</v>
      </c>
      <c r="H45">
        <v>120.531070232391</v>
      </c>
      <c r="I45" t="s">
        <v>479</v>
      </c>
      <c r="J45">
        <v>9175414199</v>
      </c>
      <c r="K45" t="s">
        <v>480</v>
      </c>
      <c r="L45" t="s">
        <v>481</v>
      </c>
      <c r="M45" t="s">
        <v>482</v>
      </c>
      <c r="N45" t="s">
        <v>336</v>
      </c>
      <c r="O45" t="s">
        <v>483</v>
      </c>
      <c r="P45">
        <v>2382</v>
      </c>
      <c r="Q45" t="s">
        <v>484</v>
      </c>
    </row>
    <row r="46" spans="1:17" x14ac:dyDescent="0.3">
      <c r="A46" t="s">
        <v>485</v>
      </c>
      <c r="B46" t="s">
        <v>486</v>
      </c>
      <c r="C46" t="s">
        <v>487</v>
      </c>
      <c r="D46" t="s">
        <v>488</v>
      </c>
      <c r="E46" t="s">
        <v>489</v>
      </c>
      <c r="F46" t="s">
        <v>490</v>
      </c>
      <c r="G46">
        <v>15.1707151656405</v>
      </c>
      <c r="H46">
        <v>120.528452396392</v>
      </c>
      <c r="I46" t="s">
        <v>491</v>
      </c>
      <c r="J46">
        <v>9176351896</v>
      </c>
      <c r="K46" t="s">
        <v>492</v>
      </c>
      <c r="L46">
        <v>1234</v>
      </c>
      <c r="M46" t="s">
        <v>493</v>
      </c>
      <c r="N46" t="s">
        <v>57</v>
      </c>
      <c r="O46" t="s">
        <v>58</v>
      </c>
      <c r="P46">
        <v>2319</v>
      </c>
      <c r="Q46" t="s">
        <v>494</v>
      </c>
    </row>
    <row r="47" spans="1:17" x14ac:dyDescent="0.3">
      <c r="A47" t="s">
        <v>495</v>
      </c>
      <c r="B47" t="s">
        <v>496</v>
      </c>
      <c r="C47" t="s">
        <v>497</v>
      </c>
      <c r="D47" t="s">
        <v>498</v>
      </c>
      <c r="E47" t="s">
        <v>499</v>
      </c>
      <c r="F47" t="s">
        <v>500</v>
      </c>
      <c r="G47">
        <v>15.178578699999999</v>
      </c>
      <c r="H47">
        <v>120.51842980000001</v>
      </c>
      <c r="I47" t="s">
        <v>501</v>
      </c>
      <c r="J47" t="s">
        <v>502</v>
      </c>
      <c r="K47" t="s">
        <v>503</v>
      </c>
      <c r="L47">
        <v>1234</v>
      </c>
      <c r="M47" t="s">
        <v>82</v>
      </c>
      <c r="N47" t="s">
        <v>16</v>
      </c>
      <c r="O47" t="s">
        <v>17</v>
      </c>
      <c r="P47">
        <v>1344</v>
      </c>
      <c r="Q47" t="s">
        <v>504</v>
      </c>
    </row>
    <row r="48" spans="1:17" x14ac:dyDescent="0.3">
      <c r="A48" t="s">
        <v>505</v>
      </c>
      <c r="B48" t="s">
        <v>506</v>
      </c>
      <c r="C48" t="s">
        <v>507</v>
      </c>
      <c r="D48" t="s">
        <v>508</v>
      </c>
      <c r="E48" t="s">
        <v>509</v>
      </c>
      <c r="F48" t="s">
        <v>510</v>
      </c>
      <c r="G48">
        <v>15.1767054136133</v>
      </c>
      <c r="H48">
        <v>120.52673041820501</v>
      </c>
      <c r="I48" t="s">
        <v>511</v>
      </c>
      <c r="J48">
        <v>9175251317</v>
      </c>
      <c r="K48" t="s">
        <v>512</v>
      </c>
      <c r="L48" t="s">
        <v>513</v>
      </c>
      <c r="M48" t="s">
        <v>514</v>
      </c>
      <c r="N48" t="s">
        <v>336</v>
      </c>
      <c r="O48" t="s">
        <v>515</v>
      </c>
      <c r="P48">
        <v>2436</v>
      </c>
      <c r="Q48" t="s">
        <v>516</v>
      </c>
    </row>
    <row r="49" spans="1:17" x14ac:dyDescent="0.3">
      <c r="A49" t="s">
        <v>517</v>
      </c>
      <c r="B49" t="s">
        <v>518</v>
      </c>
      <c r="C49" t="s">
        <v>519</v>
      </c>
      <c r="D49" t="s">
        <v>520</v>
      </c>
      <c r="E49" t="s">
        <v>521</v>
      </c>
      <c r="F49" t="s">
        <v>522</v>
      </c>
      <c r="G49">
        <v>15.178578699999999</v>
      </c>
      <c r="H49">
        <v>120.51842980000001</v>
      </c>
      <c r="I49" t="s">
        <v>523</v>
      </c>
      <c r="J49" t="s">
        <v>524</v>
      </c>
      <c r="K49" t="s">
        <v>525</v>
      </c>
      <c r="L49">
        <v>1234</v>
      </c>
      <c r="M49" s="1">
        <v>42825</v>
      </c>
      <c r="N49" t="s">
        <v>304</v>
      </c>
      <c r="O49" t="s">
        <v>323</v>
      </c>
      <c r="P49">
        <v>1999</v>
      </c>
    </row>
    <row r="50" spans="1:17" x14ac:dyDescent="0.3">
      <c r="A50" t="s">
        <v>526</v>
      </c>
      <c r="B50" t="s">
        <v>527</v>
      </c>
      <c r="C50" t="s">
        <v>528</v>
      </c>
      <c r="D50" t="s">
        <v>529</v>
      </c>
      <c r="E50" t="s">
        <v>530</v>
      </c>
      <c r="F50" t="s">
        <v>531</v>
      </c>
      <c r="G50">
        <v>15.178578699999999</v>
      </c>
      <c r="H50">
        <v>120.51842980000001</v>
      </c>
      <c r="I50" t="s">
        <v>532</v>
      </c>
      <c r="J50">
        <v>9326260573</v>
      </c>
      <c r="K50" t="s">
        <v>533</v>
      </c>
      <c r="L50" t="s">
        <v>534</v>
      </c>
      <c r="M50" s="1">
        <v>43814</v>
      </c>
      <c r="N50" t="s">
        <v>16</v>
      </c>
      <c r="O50" t="s">
        <v>292</v>
      </c>
      <c r="P50">
        <v>1432</v>
      </c>
      <c r="Q50" t="s">
        <v>535</v>
      </c>
    </row>
    <row r="51" spans="1:17" x14ac:dyDescent="0.3">
      <c r="A51" t="s">
        <v>536</v>
      </c>
      <c r="B51" t="s">
        <v>537</v>
      </c>
      <c r="C51" t="s">
        <v>538</v>
      </c>
      <c r="D51" t="s">
        <v>539</v>
      </c>
      <c r="E51" t="s">
        <v>540</v>
      </c>
      <c r="F51" t="s">
        <v>541</v>
      </c>
      <c r="G51">
        <v>15.178578699999999</v>
      </c>
      <c r="H51">
        <v>120.51842980000001</v>
      </c>
      <c r="I51" t="s">
        <v>542</v>
      </c>
      <c r="J51">
        <v>9177990787</v>
      </c>
      <c r="K51" t="s">
        <v>543</v>
      </c>
      <c r="L51" t="s">
        <v>544</v>
      </c>
      <c r="M51" s="1">
        <v>43295</v>
      </c>
      <c r="N51" t="s">
        <v>304</v>
      </c>
      <c r="O51" t="s">
        <v>305</v>
      </c>
      <c r="P51">
        <v>1201</v>
      </c>
    </row>
    <row r="52" spans="1:17" x14ac:dyDescent="0.3">
      <c r="A52" t="s">
        <v>545</v>
      </c>
      <c r="B52" t="s">
        <v>546</v>
      </c>
      <c r="C52" t="s">
        <v>547</v>
      </c>
      <c r="D52" t="s">
        <v>548</v>
      </c>
      <c r="E52" t="s">
        <v>549</v>
      </c>
      <c r="F52" t="s">
        <v>550</v>
      </c>
      <c r="G52">
        <v>15.178578699999999</v>
      </c>
      <c r="H52">
        <v>120.51842980000001</v>
      </c>
      <c r="I52" t="s">
        <v>551</v>
      </c>
      <c r="J52">
        <v>9177055644</v>
      </c>
      <c r="K52" t="s">
        <v>552</v>
      </c>
      <c r="L52" t="s">
        <v>553</v>
      </c>
      <c r="M52" s="1">
        <v>43404</v>
      </c>
      <c r="N52" t="s">
        <v>554</v>
      </c>
      <c r="O52" t="s">
        <v>555</v>
      </c>
      <c r="P52">
        <v>2008</v>
      </c>
    </row>
    <row r="53" spans="1:17" x14ac:dyDescent="0.3">
      <c r="A53" t="s">
        <v>556</v>
      </c>
      <c r="B53" t="s">
        <v>557</v>
      </c>
      <c r="C53" t="s">
        <v>558</v>
      </c>
      <c r="D53" t="s">
        <v>559</v>
      </c>
      <c r="E53" t="s">
        <v>560</v>
      </c>
      <c r="F53" t="s">
        <v>561</v>
      </c>
      <c r="G53">
        <v>15.175385192049101</v>
      </c>
      <c r="H53">
        <v>120.529857873916</v>
      </c>
      <c r="I53" t="s">
        <v>562</v>
      </c>
      <c r="J53">
        <v>9178020139</v>
      </c>
      <c r="K53" t="s">
        <v>563</v>
      </c>
      <c r="L53">
        <v>1234</v>
      </c>
      <c r="M53" s="1">
        <v>43677</v>
      </c>
      <c r="N53" t="s">
        <v>304</v>
      </c>
      <c r="O53" t="s">
        <v>323</v>
      </c>
      <c r="P53">
        <v>2188</v>
      </c>
    </row>
    <row r="54" spans="1:17" x14ac:dyDescent="0.3">
      <c r="A54" t="s">
        <v>564</v>
      </c>
      <c r="B54" t="s">
        <v>565</v>
      </c>
      <c r="C54" t="s">
        <v>566</v>
      </c>
      <c r="D54" t="s">
        <v>567</v>
      </c>
      <c r="E54" t="s">
        <v>568</v>
      </c>
      <c r="F54" t="s">
        <v>569</v>
      </c>
      <c r="G54">
        <v>15.178578699999999</v>
      </c>
      <c r="H54">
        <v>120.51842980000001</v>
      </c>
      <c r="I54" t="s">
        <v>570</v>
      </c>
      <c r="J54">
        <v>9209196839</v>
      </c>
      <c r="K54" t="s">
        <v>571</v>
      </c>
      <c r="L54" t="s">
        <v>572</v>
      </c>
      <c r="M54" s="1">
        <v>43131</v>
      </c>
      <c r="N54" t="s">
        <v>336</v>
      </c>
      <c r="O54" t="s">
        <v>515</v>
      </c>
      <c r="P54">
        <v>1819</v>
      </c>
    </row>
    <row r="55" spans="1:17" x14ac:dyDescent="0.3">
      <c r="A55" t="s">
        <v>573</v>
      </c>
      <c r="B55" t="s">
        <v>574</v>
      </c>
      <c r="C55" t="s">
        <v>575</v>
      </c>
      <c r="D55" t="s">
        <v>576</v>
      </c>
      <c r="E55" t="s">
        <v>577</v>
      </c>
      <c r="F55" t="s">
        <v>578</v>
      </c>
      <c r="G55">
        <v>15.1734177877421</v>
      </c>
      <c r="H55">
        <v>120.535554885864</v>
      </c>
      <c r="I55" t="s">
        <v>579</v>
      </c>
      <c r="J55">
        <v>9188073219</v>
      </c>
      <c r="K55" t="s">
        <v>580</v>
      </c>
      <c r="L55" t="s">
        <v>581</v>
      </c>
      <c r="M55" s="1">
        <v>43325</v>
      </c>
      <c r="N55" t="s">
        <v>398</v>
      </c>
      <c r="O55" t="s">
        <v>582</v>
      </c>
      <c r="P55">
        <v>2143</v>
      </c>
      <c r="Q55" t="s">
        <v>583</v>
      </c>
    </row>
    <row r="56" spans="1:17" x14ac:dyDescent="0.3">
      <c r="A56" t="s">
        <v>584</v>
      </c>
      <c r="B56" t="s">
        <v>585</v>
      </c>
      <c r="C56" t="s">
        <v>75</v>
      </c>
      <c r="D56" t="s">
        <v>586</v>
      </c>
      <c r="E56" t="s">
        <v>135</v>
      </c>
      <c r="F56" t="s">
        <v>587</v>
      </c>
      <c r="G56">
        <v>15.178578699999999</v>
      </c>
      <c r="H56">
        <v>120.51842980000001</v>
      </c>
      <c r="I56" t="s">
        <v>588</v>
      </c>
      <c r="J56" t="s">
        <v>589</v>
      </c>
      <c r="K56" t="s">
        <v>590</v>
      </c>
      <c r="L56" t="s">
        <v>591</v>
      </c>
      <c r="M56" s="1">
        <v>43404</v>
      </c>
      <c r="N56" t="s">
        <v>16</v>
      </c>
      <c r="O56" t="s">
        <v>292</v>
      </c>
      <c r="P56">
        <v>1705</v>
      </c>
      <c r="Q56" t="s">
        <v>592</v>
      </c>
    </row>
    <row r="57" spans="1:17" x14ac:dyDescent="0.3">
      <c r="A57" t="s">
        <v>593</v>
      </c>
      <c r="B57" t="s">
        <v>594</v>
      </c>
      <c r="C57" t="s">
        <v>595</v>
      </c>
      <c r="D57" t="s">
        <v>596</v>
      </c>
      <c r="E57" t="s">
        <v>597</v>
      </c>
      <c r="F57" t="s">
        <v>598</v>
      </c>
      <c r="G57">
        <v>15.1773991737945</v>
      </c>
      <c r="H57">
        <v>120.52580237388599</v>
      </c>
      <c r="I57" t="s">
        <v>599</v>
      </c>
      <c r="J57" t="s">
        <v>600</v>
      </c>
      <c r="K57" t="s">
        <v>601</v>
      </c>
      <c r="L57">
        <v>1234</v>
      </c>
      <c r="M57" s="1">
        <v>42886</v>
      </c>
      <c r="N57" t="s">
        <v>369</v>
      </c>
      <c r="O57" t="s">
        <v>83</v>
      </c>
      <c r="P57">
        <v>2420</v>
      </c>
    </row>
    <row r="58" spans="1:17" x14ac:dyDescent="0.3">
      <c r="A58" t="s">
        <v>602</v>
      </c>
      <c r="B58" t="s">
        <v>603</v>
      </c>
      <c r="C58" t="s">
        <v>604</v>
      </c>
      <c r="D58" t="s">
        <v>476</v>
      </c>
      <c r="E58" t="s">
        <v>329</v>
      </c>
      <c r="F58" t="s">
        <v>605</v>
      </c>
      <c r="G58">
        <v>15.205432425672001</v>
      </c>
      <c r="H58">
        <v>120.53280830383299</v>
      </c>
      <c r="I58" t="s">
        <v>606</v>
      </c>
      <c r="J58">
        <f>-45- 499-1728</f>
        <v>-2272</v>
      </c>
      <c r="K58" t="s">
        <v>607</v>
      </c>
      <c r="L58" t="s">
        <v>608</v>
      </c>
      <c r="M58" s="1">
        <v>43185</v>
      </c>
      <c r="N58" t="s">
        <v>369</v>
      </c>
      <c r="O58" t="s">
        <v>471</v>
      </c>
      <c r="P58">
        <v>1635</v>
      </c>
      <c r="Q58" t="s">
        <v>609</v>
      </c>
    </row>
    <row r="59" spans="1:17" x14ac:dyDescent="0.3">
      <c r="A59" t="s">
        <v>610</v>
      </c>
      <c r="B59" t="s">
        <v>163</v>
      </c>
      <c r="C59" t="s">
        <v>611</v>
      </c>
      <c r="D59" t="s">
        <v>612</v>
      </c>
      <c r="E59" t="s">
        <v>613</v>
      </c>
      <c r="F59" t="s">
        <v>614</v>
      </c>
      <c r="G59">
        <v>15.168840913157201</v>
      </c>
      <c r="H59">
        <v>120.567054748535</v>
      </c>
      <c r="I59" t="s">
        <v>615</v>
      </c>
      <c r="J59" t="s">
        <v>616</v>
      </c>
      <c r="K59" t="s">
        <v>617</v>
      </c>
      <c r="L59">
        <v>1234</v>
      </c>
      <c r="M59" s="1">
        <v>43588</v>
      </c>
      <c r="N59" t="s">
        <v>16</v>
      </c>
      <c r="O59" t="s">
        <v>292</v>
      </c>
      <c r="P59">
        <v>1</v>
      </c>
      <c r="Q59" t="s">
        <v>618</v>
      </c>
    </row>
    <row r="60" spans="1:17" x14ac:dyDescent="0.3">
      <c r="A60" t="s">
        <v>619</v>
      </c>
      <c r="B60" t="s">
        <v>620</v>
      </c>
      <c r="C60" t="s">
        <v>621</v>
      </c>
      <c r="D60" t="s">
        <v>622</v>
      </c>
      <c r="E60" t="s">
        <v>623</v>
      </c>
      <c r="F60" t="s">
        <v>624</v>
      </c>
      <c r="G60">
        <v>15.1853876062906</v>
      </c>
      <c r="H60">
        <v>120.54666996002101</v>
      </c>
      <c r="I60" t="s">
        <v>625</v>
      </c>
      <c r="J60" t="s">
        <v>626</v>
      </c>
      <c r="K60" t="s">
        <v>627</v>
      </c>
      <c r="L60" t="s">
        <v>628</v>
      </c>
      <c r="M60" s="1">
        <v>42916</v>
      </c>
      <c r="N60" t="s">
        <v>369</v>
      </c>
      <c r="O60" t="s">
        <v>629</v>
      </c>
      <c r="P60">
        <v>1876</v>
      </c>
      <c r="Q60" t="s">
        <v>630</v>
      </c>
    </row>
    <row r="61" spans="1:17" x14ac:dyDescent="0.3">
      <c r="A61" t="s">
        <v>631</v>
      </c>
      <c r="B61" t="s">
        <v>632</v>
      </c>
      <c r="C61" t="s">
        <v>633</v>
      </c>
      <c r="D61" t="s">
        <v>634</v>
      </c>
      <c r="E61" t="s">
        <v>635</v>
      </c>
      <c r="F61" t="s">
        <v>636</v>
      </c>
      <c r="G61">
        <v>11.523087506868499</v>
      </c>
      <c r="H61">
        <v>122.51953124999901</v>
      </c>
      <c r="I61" t="s">
        <v>637</v>
      </c>
      <c r="J61" t="s">
        <v>638</v>
      </c>
      <c r="K61" t="s">
        <v>639</v>
      </c>
      <c r="L61">
        <v>1234</v>
      </c>
      <c r="M61" s="1">
        <v>43008</v>
      </c>
      <c r="N61" t="s">
        <v>336</v>
      </c>
      <c r="O61" t="s">
        <v>441</v>
      </c>
      <c r="P61">
        <v>1478</v>
      </c>
    </row>
    <row r="62" spans="1:17" x14ac:dyDescent="0.3">
      <c r="A62" t="s">
        <v>640</v>
      </c>
      <c r="B62" t="s">
        <v>284</v>
      </c>
      <c r="C62" t="s">
        <v>641</v>
      </c>
      <c r="D62" t="s">
        <v>642</v>
      </c>
      <c r="E62" t="s">
        <v>643</v>
      </c>
      <c r="F62" t="s">
        <v>644</v>
      </c>
      <c r="G62">
        <v>15.194374878619801</v>
      </c>
      <c r="H62">
        <v>120.532829761505</v>
      </c>
      <c r="I62" t="s">
        <v>645</v>
      </c>
      <c r="J62" t="s">
        <v>646</v>
      </c>
      <c r="K62" t="s">
        <v>647</v>
      </c>
      <c r="L62" t="s">
        <v>648</v>
      </c>
      <c r="M62" s="1">
        <v>42794</v>
      </c>
      <c r="N62" t="s">
        <v>398</v>
      </c>
      <c r="O62" t="s">
        <v>399</v>
      </c>
      <c r="P62">
        <v>1479</v>
      </c>
      <c r="Q62" t="s">
        <v>649</v>
      </c>
    </row>
    <row r="63" spans="1:17" x14ac:dyDescent="0.3">
      <c r="A63" t="s">
        <v>650</v>
      </c>
      <c r="B63" t="s">
        <v>651</v>
      </c>
      <c r="C63" t="s">
        <v>652</v>
      </c>
      <c r="D63" t="s">
        <v>653</v>
      </c>
      <c r="E63" t="s">
        <v>654</v>
      </c>
      <c r="F63" t="s">
        <v>655</v>
      </c>
      <c r="G63">
        <v>15.178578699999999</v>
      </c>
      <c r="H63">
        <v>120.51842980000001</v>
      </c>
      <c r="I63" t="s">
        <v>656</v>
      </c>
      <c r="J63" t="s">
        <v>657</v>
      </c>
      <c r="K63" t="s">
        <v>658</v>
      </c>
      <c r="L63">
        <v>1234</v>
      </c>
      <c r="M63" s="1">
        <v>42735</v>
      </c>
      <c r="N63" t="s">
        <v>336</v>
      </c>
      <c r="O63" t="s">
        <v>515</v>
      </c>
      <c r="P63">
        <v>1111</v>
      </c>
      <c r="Q63" t="s">
        <v>659</v>
      </c>
    </row>
    <row r="64" spans="1:17" x14ac:dyDescent="0.3">
      <c r="A64" t="s">
        <v>660</v>
      </c>
      <c r="B64" t="s">
        <v>661</v>
      </c>
      <c r="C64" t="s">
        <v>662</v>
      </c>
      <c r="D64" t="s">
        <v>486</v>
      </c>
      <c r="E64" t="s">
        <v>663</v>
      </c>
      <c r="F64" t="s">
        <v>664</v>
      </c>
      <c r="G64">
        <v>15.178578699999999</v>
      </c>
      <c r="H64">
        <v>120.51842980000001</v>
      </c>
      <c r="I64" t="s">
        <v>665</v>
      </c>
      <c r="J64" t="s">
        <v>666</v>
      </c>
      <c r="K64" t="s">
        <v>667</v>
      </c>
      <c r="L64">
        <v>1234</v>
      </c>
      <c r="M64" s="1">
        <v>43159</v>
      </c>
      <c r="N64" t="s">
        <v>304</v>
      </c>
      <c r="O64" t="s">
        <v>323</v>
      </c>
      <c r="P64">
        <v>1686</v>
      </c>
    </row>
    <row r="65" spans="1:17" x14ac:dyDescent="0.3">
      <c r="A65" t="s">
        <v>668</v>
      </c>
      <c r="B65" t="s">
        <v>669</v>
      </c>
      <c r="C65" t="s">
        <v>670</v>
      </c>
      <c r="D65" t="s">
        <v>671</v>
      </c>
      <c r="E65" t="s">
        <v>672</v>
      </c>
      <c r="F65" t="s">
        <v>673</v>
      </c>
      <c r="G65">
        <v>15.178578699999999</v>
      </c>
      <c r="H65">
        <v>120.51842980000001</v>
      </c>
      <c r="I65" t="s">
        <v>674</v>
      </c>
      <c r="J65" t="s">
        <v>675</v>
      </c>
      <c r="K65" t="s">
        <v>676</v>
      </c>
      <c r="L65">
        <v>1234</v>
      </c>
      <c r="M65" s="1">
        <v>43465</v>
      </c>
      <c r="N65" t="s">
        <v>304</v>
      </c>
      <c r="O65" t="s">
        <v>323</v>
      </c>
      <c r="P65">
        <v>1570</v>
      </c>
    </row>
    <row r="66" spans="1:17" x14ac:dyDescent="0.3">
      <c r="A66" t="s">
        <v>677</v>
      </c>
      <c r="B66" t="s">
        <v>200</v>
      </c>
      <c r="C66" t="s">
        <v>678</v>
      </c>
      <c r="D66" t="s">
        <v>679</v>
      </c>
      <c r="E66" t="s">
        <v>680</v>
      </c>
      <c r="F66" t="s">
        <v>681</v>
      </c>
      <c r="G66">
        <v>15.178578699999999</v>
      </c>
      <c r="H66">
        <v>120.51842980000001</v>
      </c>
      <c r="I66" t="s">
        <v>682</v>
      </c>
      <c r="J66">
        <v>9255002831</v>
      </c>
      <c r="K66" t="s">
        <v>683</v>
      </c>
      <c r="L66" t="s">
        <v>684</v>
      </c>
      <c r="M66" s="1">
        <v>42946</v>
      </c>
      <c r="N66" t="s">
        <v>398</v>
      </c>
      <c r="O66" t="s">
        <v>685</v>
      </c>
      <c r="P66">
        <v>2199</v>
      </c>
    </row>
    <row r="67" spans="1:17" x14ac:dyDescent="0.3">
      <c r="A67" t="s">
        <v>686</v>
      </c>
      <c r="B67" t="s">
        <v>687</v>
      </c>
      <c r="C67" t="s">
        <v>688</v>
      </c>
      <c r="D67" t="s">
        <v>689</v>
      </c>
      <c r="E67" t="s">
        <v>342</v>
      </c>
      <c r="I67" t="s">
        <v>690</v>
      </c>
      <c r="J67">
        <v>9175928858</v>
      </c>
      <c r="K67" t="s">
        <v>691</v>
      </c>
      <c r="L67" t="s">
        <v>692</v>
      </c>
      <c r="M67" s="1">
        <v>42886</v>
      </c>
      <c r="N67" t="s">
        <v>693</v>
      </c>
      <c r="O67" t="s">
        <v>458</v>
      </c>
      <c r="P67">
        <v>1585</v>
      </c>
      <c r="Q67" t="s">
        <v>694</v>
      </c>
    </row>
    <row r="68" spans="1:17" x14ac:dyDescent="0.3">
      <c r="A68" t="s">
        <v>695</v>
      </c>
      <c r="B68" t="s">
        <v>585</v>
      </c>
      <c r="C68" t="s">
        <v>696</v>
      </c>
      <c r="D68" t="s">
        <v>697</v>
      </c>
      <c r="E68" t="s">
        <v>698</v>
      </c>
      <c r="I68" t="s">
        <v>699</v>
      </c>
      <c r="J68">
        <v>5993532</v>
      </c>
      <c r="K68" t="s">
        <v>700</v>
      </c>
      <c r="L68">
        <v>1234</v>
      </c>
      <c r="M68" s="1">
        <v>43642</v>
      </c>
      <c r="N68" t="s">
        <v>16</v>
      </c>
      <c r="O68" t="s">
        <v>292</v>
      </c>
      <c r="P68">
        <v>4</v>
      </c>
    </row>
    <row r="69" spans="1:17" x14ac:dyDescent="0.3">
      <c r="A69" t="s">
        <v>701</v>
      </c>
      <c r="B69" t="s">
        <v>702</v>
      </c>
      <c r="C69" t="s">
        <v>372</v>
      </c>
      <c r="D69" t="s">
        <v>703</v>
      </c>
      <c r="E69" t="s">
        <v>704</v>
      </c>
      <c r="F69" t="s">
        <v>705</v>
      </c>
      <c r="G69">
        <v>15.178578699999999</v>
      </c>
      <c r="H69">
        <v>120.51842980000001</v>
      </c>
      <c r="I69" t="s">
        <v>706</v>
      </c>
      <c r="J69" t="s">
        <v>707</v>
      </c>
      <c r="K69" t="s">
        <v>708</v>
      </c>
      <c r="L69" t="s">
        <v>709</v>
      </c>
      <c r="M69" s="1">
        <v>43764</v>
      </c>
      <c r="N69" t="s">
        <v>710</v>
      </c>
      <c r="O69" t="s">
        <v>711</v>
      </c>
      <c r="P69">
        <v>833</v>
      </c>
      <c r="Q69" t="s">
        <v>712</v>
      </c>
    </row>
    <row r="70" spans="1:17" x14ac:dyDescent="0.3">
      <c r="A70" t="s">
        <v>713</v>
      </c>
      <c r="B70" t="s">
        <v>714</v>
      </c>
      <c r="C70" t="s">
        <v>715</v>
      </c>
      <c r="D70" t="s">
        <v>716</v>
      </c>
      <c r="E70" t="s">
        <v>717</v>
      </c>
      <c r="F70" t="s">
        <v>718</v>
      </c>
      <c r="G70">
        <v>15.178578699999999</v>
      </c>
      <c r="H70">
        <v>120.51842980000001</v>
      </c>
      <c r="I70" t="s">
        <v>719</v>
      </c>
      <c r="J70">
        <v>9086171119</v>
      </c>
      <c r="K70" t="s">
        <v>720</v>
      </c>
      <c r="L70" t="s">
        <v>721</v>
      </c>
      <c r="M70" s="1">
        <v>42877</v>
      </c>
      <c r="N70" t="s">
        <v>398</v>
      </c>
      <c r="O70" t="s">
        <v>582</v>
      </c>
      <c r="P70">
        <v>1009</v>
      </c>
    </row>
    <row r="71" spans="1:17" x14ac:dyDescent="0.3">
      <c r="A71" t="s">
        <v>722</v>
      </c>
      <c r="B71" t="s">
        <v>723</v>
      </c>
      <c r="C71" t="s">
        <v>724</v>
      </c>
      <c r="D71" t="s">
        <v>725</v>
      </c>
      <c r="E71" t="s">
        <v>726</v>
      </c>
      <c r="I71" t="s">
        <v>727</v>
      </c>
      <c r="J71" t="s">
        <v>728</v>
      </c>
      <c r="K71" t="s">
        <v>729</v>
      </c>
      <c r="L71" t="s">
        <v>730</v>
      </c>
      <c r="M71" s="1">
        <v>43844</v>
      </c>
      <c r="N71" t="s">
        <v>336</v>
      </c>
      <c r="O71" t="s">
        <v>441</v>
      </c>
      <c r="P71">
        <v>769</v>
      </c>
    </row>
    <row r="72" spans="1:17" x14ac:dyDescent="0.3">
      <c r="A72" t="s">
        <v>731</v>
      </c>
      <c r="B72" t="s">
        <v>732</v>
      </c>
      <c r="C72" t="s">
        <v>733</v>
      </c>
      <c r="D72" t="s">
        <v>734</v>
      </c>
      <c r="E72" t="s">
        <v>735</v>
      </c>
      <c r="F72" t="s">
        <v>736</v>
      </c>
      <c r="G72">
        <v>15.1728689822198</v>
      </c>
      <c r="H72">
        <v>120.527529716491</v>
      </c>
      <c r="I72" t="s">
        <v>737</v>
      </c>
      <c r="J72" t="s">
        <v>738</v>
      </c>
      <c r="K72" t="s">
        <v>739</v>
      </c>
      <c r="L72">
        <v>1234</v>
      </c>
      <c r="M72" s="1">
        <v>43757</v>
      </c>
      <c r="N72" t="s">
        <v>16</v>
      </c>
      <c r="O72" t="s">
        <v>292</v>
      </c>
      <c r="P72">
        <v>1311</v>
      </c>
    </row>
    <row r="73" spans="1:17" x14ac:dyDescent="0.3">
      <c r="A73" t="s">
        <v>740</v>
      </c>
      <c r="B73" t="s">
        <v>741</v>
      </c>
      <c r="C73" t="s">
        <v>742</v>
      </c>
      <c r="D73" t="s">
        <v>743</v>
      </c>
      <c r="E73" t="s">
        <v>744</v>
      </c>
      <c r="F73" t="s">
        <v>745</v>
      </c>
      <c r="G73">
        <v>15.178578699999999</v>
      </c>
      <c r="H73">
        <v>120.51842980000001</v>
      </c>
      <c r="I73" t="s">
        <v>746</v>
      </c>
      <c r="J73" t="s">
        <v>747</v>
      </c>
      <c r="K73" t="s">
        <v>748</v>
      </c>
      <c r="L73">
        <v>1234</v>
      </c>
      <c r="M73" s="1">
        <v>43585</v>
      </c>
      <c r="N73" t="s">
        <v>369</v>
      </c>
      <c r="O73" t="s">
        <v>370</v>
      </c>
      <c r="P73">
        <v>1716</v>
      </c>
      <c r="Q73" t="s">
        <v>749</v>
      </c>
    </row>
    <row r="74" spans="1:17" x14ac:dyDescent="0.3">
      <c r="A74" t="s">
        <v>750</v>
      </c>
      <c r="K74" t="s">
        <v>751</v>
      </c>
      <c r="L74">
        <v>1234</v>
      </c>
      <c r="M74" s="1">
        <v>42717</v>
      </c>
      <c r="N74" t="s">
        <v>398</v>
      </c>
      <c r="O74" t="s">
        <v>752</v>
      </c>
      <c r="P74">
        <v>1863</v>
      </c>
    </row>
    <row r="75" spans="1:17" x14ac:dyDescent="0.3">
      <c r="A75" t="s">
        <v>753</v>
      </c>
      <c r="B75" t="s">
        <v>754</v>
      </c>
      <c r="C75" t="s">
        <v>755</v>
      </c>
      <c r="D75" t="s">
        <v>756</v>
      </c>
      <c r="E75" t="s">
        <v>757</v>
      </c>
      <c r="F75" t="s">
        <v>758</v>
      </c>
      <c r="G75">
        <v>15.178578699999999</v>
      </c>
      <c r="H75">
        <v>120.51842980000001</v>
      </c>
      <c r="I75" t="s">
        <v>759</v>
      </c>
      <c r="J75" t="s">
        <v>760</v>
      </c>
      <c r="K75" t="s">
        <v>761</v>
      </c>
      <c r="L75" t="s">
        <v>762</v>
      </c>
      <c r="M75" s="1">
        <v>42978</v>
      </c>
      <c r="N75" t="s">
        <v>763</v>
      </c>
      <c r="O75" t="s">
        <v>764</v>
      </c>
      <c r="P75">
        <v>626</v>
      </c>
      <c r="Q75" t="s">
        <v>765</v>
      </c>
    </row>
    <row r="76" spans="1:17" x14ac:dyDescent="0.3">
      <c r="A76" t="s">
        <v>766</v>
      </c>
      <c r="B76" t="s">
        <v>767</v>
      </c>
      <c r="C76" t="s">
        <v>768</v>
      </c>
      <c r="D76" t="s">
        <v>769</v>
      </c>
      <c r="E76" t="s">
        <v>342</v>
      </c>
      <c r="F76" t="s">
        <v>770</v>
      </c>
      <c r="G76">
        <v>15.175809734785499</v>
      </c>
      <c r="H76">
        <v>120.527974963188</v>
      </c>
      <c r="I76" t="s">
        <v>771</v>
      </c>
      <c r="J76" t="s">
        <v>772</v>
      </c>
      <c r="K76" t="s">
        <v>773</v>
      </c>
      <c r="L76" t="s">
        <v>774</v>
      </c>
      <c r="M76" s="1">
        <v>42916</v>
      </c>
      <c r="N76" t="s">
        <v>16</v>
      </c>
      <c r="O76" t="s">
        <v>17</v>
      </c>
      <c r="P76">
        <v>1828</v>
      </c>
      <c r="Q76" t="s">
        <v>775</v>
      </c>
    </row>
    <row r="77" spans="1:17" x14ac:dyDescent="0.3">
      <c r="A77" t="s">
        <v>776</v>
      </c>
      <c r="K77" t="s">
        <v>777</v>
      </c>
      <c r="L77" t="s">
        <v>778</v>
      </c>
      <c r="M77" s="1">
        <v>43831</v>
      </c>
      <c r="N77" t="s">
        <v>779</v>
      </c>
      <c r="O77" t="s">
        <v>780</v>
      </c>
      <c r="P77">
        <v>846</v>
      </c>
    </row>
    <row r="78" spans="1:17" x14ac:dyDescent="0.3">
      <c r="A78" t="s">
        <v>781</v>
      </c>
      <c r="B78" t="s">
        <v>782</v>
      </c>
      <c r="C78" t="s">
        <v>783</v>
      </c>
      <c r="D78" t="s">
        <v>539</v>
      </c>
      <c r="E78" t="s">
        <v>784</v>
      </c>
      <c r="F78" t="s">
        <v>785</v>
      </c>
      <c r="G78">
        <v>15.1768452012958</v>
      </c>
      <c r="H78">
        <v>120.527143478393</v>
      </c>
      <c r="I78" t="s">
        <v>786</v>
      </c>
      <c r="J78" t="s">
        <v>787</v>
      </c>
      <c r="K78" t="s">
        <v>788</v>
      </c>
      <c r="L78">
        <v>1234</v>
      </c>
      <c r="M78" s="1">
        <v>42916</v>
      </c>
      <c r="N78" t="s">
        <v>710</v>
      </c>
      <c r="O78" t="s">
        <v>789</v>
      </c>
      <c r="P78">
        <v>1893</v>
      </c>
    </row>
    <row r="79" spans="1:17" x14ac:dyDescent="0.3">
      <c r="A79" t="s">
        <v>790</v>
      </c>
      <c r="B79" t="s">
        <v>559</v>
      </c>
      <c r="C79" t="s">
        <v>791</v>
      </c>
      <c r="D79" t="s">
        <v>792</v>
      </c>
      <c r="E79" t="s">
        <v>793</v>
      </c>
      <c r="F79" t="s">
        <v>794</v>
      </c>
      <c r="G79">
        <v>15.178578699999999</v>
      </c>
      <c r="H79">
        <v>120.51842980000001</v>
      </c>
      <c r="I79" t="s">
        <v>795</v>
      </c>
      <c r="J79">
        <v>-63455993588</v>
      </c>
      <c r="K79" t="s">
        <v>796</v>
      </c>
      <c r="L79">
        <v>1234</v>
      </c>
      <c r="M79" s="1">
        <v>42446</v>
      </c>
      <c r="N79" t="s">
        <v>16</v>
      </c>
      <c r="O79" t="s">
        <v>292</v>
      </c>
      <c r="P79">
        <v>13</v>
      </c>
    </row>
    <row r="80" spans="1:17" x14ac:dyDescent="0.3">
      <c r="A80" t="s">
        <v>797</v>
      </c>
      <c r="B80" t="s">
        <v>798</v>
      </c>
      <c r="C80" t="s">
        <v>799</v>
      </c>
      <c r="D80" t="s">
        <v>372</v>
      </c>
      <c r="E80" t="s">
        <v>800</v>
      </c>
      <c r="F80" t="s">
        <v>801</v>
      </c>
      <c r="G80">
        <v>15.178578699999999</v>
      </c>
      <c r="H80">
        <v>120.51842980000001</v>
      </c>
      <c r="I80" t="s">
        <v>802</v>
      </c>
      <c r="J80">
        <v>9999994345</v>
      </c>
      <c r="K80" t="s">
        <v>803</v>
      </c>
      <c r="L80">
        <v>1234</v>
      </c>
      <c r="M80" s="1">
        <v>43704</v>
      </c>
      <c r="N80" t="s">
        <v>710</v>
      </c>
      <c r="O80" t="s">
        <v>789</v>
      </c>
      <c r="P80">
        <v>1054</v>
      </c>
    </row>
    <row r="81" spans="1:17" x14ac:dyDescent="0.3">
      <c r="A81" t="s">
        <v>804</v>
      </c>
      <c r="B81" t="s">
        <v>805</v>
      </c>
      <c r="C81" t="s">
        <v>806</v>
      </c>
      <c r="D81" t="s">
        <v>807</v>
      </c>
      <c r="E81" t="s">
        <v>201</v>
      </c>
      <c r="F81" t="s">
        <v>808</v>
      </c>
      <c r="G81">
        <v>15.199034028113401</v>
      </c>
      <c r="H81">
        <v>120.54440617561301</v>
      </c>
      <c r="I81" t="s">
        <v>809</v>
      </c>
      <c r="J81" t="s">
        <v>810</v>
      </c>
      <c r="K81" t="s">
        <v>811</v>
      </c>
      <c r="L81">
        <v>1234</v>
      </c>
      <c r="M81" s="1">
        <v>43496</v>
      </c>
      <c r="N81" t="s">
        <v>16</v>
      </c>
      <c r="O81" t="s">
        <v>292</v>
      </c>
      <c r="P81">
        <v>1748</v>
      </c>
      <c r="Q81" t="s">
        <v>812</v>
      </c>
    </row>
    <row r="82" spans="1:17" x14ac:dyDescent="0.3">
      <c r="A82" t="s">
        <v>813</v>
      </c>
      <c r="B82" t="s">
        <v>814</v>
      </c>
      <c r="C82" t="s">
        <v>815</v>
      </c>
      <c r="D82" t="s">
        <v>816</v>
      </c>
      <c r="E82" t="s">
        <v>698</v>
      </c>
      <c r="F82" t="s">
        <v>817</v>
      </c>
      <c r="G82">
        <v>15.178578699999999</v>
      </c>
      <c r="H82">
        <v>120.51842980000001</v>
      </c>
      <c r="I82" t="s">
        <v>818</v>
      </c>
      <c r="J82" t="s">
        <v>819</v>
      </c>
      <c r="K82" t="s">
        <v>820</v>
      </c>
      <c r="L82">
        <v>1234</v>
      </c>
      <c r="M82" s="1">
        <v>43639</v>
      </c>
      <c r="N82" t="s">
        <v>779</v>
      </c>
      <c r="O82" t="s">
        <v>780</v>
      </c>
      <c r="P82">
        <v>959</v>
      </c>
    </row>
    <row r="83" spans="1:17" x14ac:dyDescent="0.3">
      <c r="A83" t="s">
        <v>821</v>
      </c>
      <c r="B83" t="s">
        <v>822</v>
      </c>
      <c r="C83" t="s">
        <v>823</v>
      </c>
      <c r="D83" t="s">
        <v>539</v>
      </c>
      <c r="E83" t="s">
        <v>824</v>
      </c>
      <c r="F83" t="s">
        <v>825</v>
      </c>
      <c r="G83">
        <v>15.1806712060185</v>
      </c>
      <c r="H83">
        <v>120.545886754989</v>
      </c>
      <c r="I83" t="s">
        <v>826</v>
      </c>
      <c r="J83" t="s">
        <v>827</v>
      </c>
      <c r="K83" t="s">
        <v>828</v>
      </c>
      <c r="L83">
        <v>1234</v>
      </c>
      <c r="M83" s="1">
        <v>42916</v>
      </c>
      <c r="N83" t="s">
        <v>304</v>
      </c>
      <c r="O83" t="s">
        <v>323</v>
      </c>
      <c r="P83">
        <v>223</v>
      </c>
    </row>
    <row r="84" spans="1:17" x14ac:dyDescent="0.3">
      <c r="A84" t="s">
        <v>829</v>
      </c>
      <c r="B84" t="s">
        <v>830</v>
      </c>
      <c r="C84" t="s">
        <v>831</v>
      </c>
      <c r="D84" t="s">
        <v>832</v>
      </c>
      <c r="E84" t="s">
        <v>833</v>
      </c>
      <c r="F84" t="s">
        <v>834</v>
      </c>
      <c r="G84">
        <v>15.178578699999999</v>
      </c>
      <c r="H84">
        <v>120.51842980000001</v>
      </c>
      <c r="I84" t="s">
        <v>835</v>
      </c>
      <c r="J84">
        <v>9175939508</v>
      </c>
      <c r="K84" t="s">
        <v>836</v>
      </c>
      <c r="L84">
        <v>1234</v>
      </c>
      <c r="M84" s="1">
        <v>42794</v>
      </c>
      <c r="N84" t="s">
        <v>304</v>
      </c>
      <c r="O84" t="s">
        <v>323</v>
      </c>
      <c r="P84">
        <v>1155</v>
      </c>
    </row>
    <row r="85" spans="1:17" x14ac:dyDescent="0.3">
      <c r="A85" t="s">
        <v>837</v>
      </c>
      <c r="B85" t="s">
        <v>838</v>
      </c>
      <c r="C85" t="s">
        <v>839</v>
      </c>
      <c r="D85" t="s">
        <v>840</v>
      </c>
      <c r="E85" t="s">
        <v>841</v>
      </c>
      <c r="I85" t="s">
        <v>842</v>
      </c>
      <c r="J85">
        <v>4990970</v>
      </c>
      <c r="K85" t="s">
        <v>843</v>
      </c>
      <c r="L85">
        <v>1234</v>
      </c>
      <c r="M85" s="1">
        <v>42855</v>
      </c>
      <c r="N85" t="s">
        <v>710</v>
      </c>
      <c r="O85" t="s">
        <v>711</v>
      </c>
      <c r="P85">
        <v>1388</v>
      </c>
      <c r="Q85" t="s">
        <v>844</v>
      </c>
    </row>
    <row r="86" spans="1:17" x14ac:dyDescent="0.3">
      <c r="A86" t="s">
        <v>845</v>
      </c>
      <c r="B86" t="s">
        <v>846</v>
      </c>
      <c r="C86" t="s">
        <v>847</v>
      </c>
      <c r="D86" t="s">
        <v>848</v>
      </c>
      <c r="E86" t="s">
        <v>849</v>
      </c>
      <c r="F86" t="s">
        <v>850</v>
      </c>
      <c r="G86">
        <v>15.178578699999999</v>
      </c>
      <c r="H86">
        <v>120.51842980000001</v>
      </c>
      <c r="I86" t="s">
        <v>851</v>
      </c>
      <c r="J86">
        <v>9175651375</v>
      </c>
      <c r="K86" t="s">
        <v>852</v>
      </c>
      <c r="L86">
        <v>1234</v>
      </c>
      <c r="M86" s="1">
        <v>43100</v>
      </c>
      <c r="N86" t="s">
        <v>398</v>
      </c>
      <c r="O86" t="s">
        <v>853</v>
      </c>
      <c r="P86">
        <v>1168</v>
      </c>
      <c r="Q86" t="s">
        <v>854</v>
      </c>
    </row>
    <row r="87" spans="1:17" x14ac:dyDescent="0.3">
      <c r="A87" t="s">
        <v>855</v>
      </c>
      <c r="B87" t="s">
        <v>856</v>
      </c>
      <c r="C87" t="s">
        <v>857</v>
      </c>
      <c r="D87" t="s">
        <v>858</v>
      </c>
      <c r="E87" t="s">
        <v>859</v>
      </c>
      <c r="F87" t="s">
        <v>860</v>
      </c>
      <c r="G87">
        <v>15.178578699999999</v>
      </c>
      <c r="H87">
        <v>120.51842980000001</v>
      </c>
      <c r="I87" t="s">
        <v>861</v>
      </c>
      <c r="J87">
        <v>9209485180</v>
      </c>
      <c r="K87" t="s">
        <v>862</v>
      </c>
      <c r="L87">
        <v>1234</v>
      </c>
      <c r="M87" s="1">
        <v>43404</v>
      </c>
      <c r="N87" t="s">
        <v>16</v>
      </c>
      <c r="O87" t="s">
        <v>17</v>
      </c>
      <c r="P87">
        <v>51</v>
      </c>
    </row>
    <row r="88" spans="1:17" x14ac:dyDescent="0.3">
      <c r="A88" t="s">
        <v>863</v>
      </c>
      <c r="B88" t="s">
        <v>864</v>
      </c>
      <c r="C88" t="s">
        <v>865</v>
      </c>
      <c r="D88" t="s">
        <v>866</v>
      </c>
      <c r="E88" t="s">
        <v>867</v>
      </c>
      <c r="F88" t="s">
        <v>868</v>
      </c>
      <c r="G88">
        <v>15.191082350925599</v>
      </c>
      <c r="H88">
        <v>120.5499958992</v>
      </c>
      <c r="I88" t="s">
        <v>869</v>
      </c>
      <c r="J88">
        <v>9189038984</v>
      </c>
      <c r="K88" t="s">
        <v>870</v>
      </c>
      <c r="L88">
        <v>1234</v>
      </c>
      <c r="M88" s="1">
        <v>42792</v>
      </c>
      <c r="N88" t="s">
        <v>871</v>
      </c>
      <c r="O88" t="s">
        <v>458</v>
      </c>
      <c r="P88">
        <v>454</v>
      </c>
      <c r="Q88" t="s">
        <v>872</v>
      </c>
    </row>
    <row r="89" spans="1:17" x14ac:dyDescent="0.3">
      <c r="A89" t="s">
        <v>873</v>
      </c>
      <c r="B89" t="s">
        <v>874</v>
      </c>
      <c r="C89" t="s">
        <v>875</v>
      </c>
      <c r="D89" t="s">
        <v>876</v>
      </c>
      <c r="E89" t="s">
        <v>877</v>
      </c>
      <c r="F89" t="s">
        <v>878</v>
      </c>
      <c r="G89">
        <v>15.170829069951701</v>
      </c>
      <c r="H89">
        <v>120.529042482376</v>
      </c>
      <c r="I89" t="s">
        <v>879</v>
      </c>
      <c r="J89" t="s">
        <v>880</v>
      </c>
      <c r="K89" t="s">
        <v>881</v>
      </c>
      <c r="L89" t="s">
        <v>882</v>
      </c>
      <c r="M89" s="1">
        <v>43008</v>
      </c>
      <c r="N89" t="s">
        <v>871</v>
      </c>
      <c r="O89" t="s">
        <v>458</v>
      </c>
      <c r="P89">
        <v>2243</v>
      </c>
      <c r="Q89" t="s">
        <v>883</v>
      </c>
    </row>
    <row r="90" spans="1:17" x14ac:dyDescent="0.3">
      <c r="A90" t="s">
        <v>884</v>
      </c>
      <c r="B90" t="s">
        <v>885</v>
      </c>
      <c r="C90" t="s">
        <v>886</v>
      </c>
      <c r="E90" t="s">
        <v>887</v>
      </c>
      <c r="F90" t="s">
        <v>888</v>
      </c>
      <c r="G90">
        <v>15.178578699999999</v>
      </c>
      <c r="H90">
        <v>120.51842980000001</v>
      </c>
      <c r="I90" t="s">
        <v>889</v>
      </c>
      <c r="J90" t="s">
        <v>890</v>
      </c>
      <c r="K90" t="s">
        <v>891</v>
      </c>
      <c r="L90">
        <v>181921</v>
      </c>
      <c r="M90" s="1">
        <v>42978</v>
      </c>
      <c r="N90" t="s">
        <v>369</v>
      </c>
      <c r="O90" t="s">
        <v>370</v>
      </c>
      <c r="P90">
        <v>2450</v>
      </c>
    </row>
    <row r="91" spans="1:17" x14ac:dyDescent="0.3">
      <c r="A91" t="s">
        <v>892</v>
      </c>
      <c r="B91" t="s">
        <v>893</v>
      </c>
      <c r="C91" t="s">
        <v>894</v>
      </c>
      <c r="D91" t="s">
        <v>895</v>
      </c>
      <c r="E91" t="s">
        <v>833</v>
      </c>
      <c r="F91" t="s">
        <v>896</v>
      </c>
      <c r="G91">
        <v>15.193971080817899</v>
      </c>
      <c r="H91">
        <v>120.532003641128</v>
      </c>
      <c r="I91" t="s">
        <v>897</v>
      </c>
      <c r="J91">
        <v>5993422</v>
      </c>
      <c r="K91" t="s">
        <v>898</v>
      </c>
      <c r="L91" t="s">
        <v>899</v>
      </c>
      <c r="M91" s="1">
        <v>42665</v>
      </c>
      <c r="N91" t="s">
        <v>710</v>
      </c>
      <c r="O91" t="s">
        <v>789</v>
      </c>
      <c r="P91">
        <v>566</v>
      </c>
    </row>
    <row r="92" spans="1:17" x14ac:dyDescent="0.3">
      <c r="A92" t="s">
        <v>900</v>
      </c>
      <c r="B92" t="s">
        <v>901</v>
      </c>
      <c r="C92" t="s">
        <v>902</v>
      </c>
      <c r="D92" t="s">
        <v>903</v>
      </c>
      <c r="E92" t="s">
        <v>904</v>
      </c>
      <c r="F92" t="s">
        <v>905</v>
      </c>
      <c r="G92">
        <v>15.178578699999999</v>
      </c>
      <c r="H92">
        <v>120.51842980000001</v>
      </c>
      <c r="I92" t="s">
        <v>906</v>
      </c>
      <c r="J92" t="s">
        <v>907</v>
      </c>
      <c r="K92" t="s">
        <v>908</v>
      </c>
      <c r="L92">
        <v>1234</v>
      </c>
      <c r="M92" s="1">
        <v>43683</v>
      </c>
      <c r="N92" t="s">
        <v>779</v>
      </c>
      <c r="O92" t="s">
        <v>780</v>
      </c>
      <c r="P92">
        <v>877</v>
      </c>
    </row>
    <row r="93" spans="1:17" x14ac:dyDescent="0.3">
      <c r="A93" t="s">
        <v>909</v>
      </c>
      <c r="K93" t="s">
        <v>910</v>
      </c>
      <c r="L93">
        <v>1234</v>
      </c>
      <c r="M93" s="1">
        <v>43373</v>
      </c>
      <c r="N93" t="s">
        <v>16</v>
      </c>
      <c r="O93" t="s">
        <v>421</v>
      </c>
      <c r="P93">
        <v>2292</v>
      </c>
    </row>
    <row r="94" spans="1:17" x14ac:dyDescent="0.3">
      <c r="A94" t="s">
        <v>911</v>
      </c>
      <c r="B94" t="s">
        <v>912</v>
      </c>
      <c r="C94" t="s">
        <v>913</v>
      </c>
      <c r="D94" t="s">
        <v>914</v>
      </c>
      <c r="E94" t="s">
        <v>915</v>
      </c>
      <c r="F94" t="s">
        <v>916</v>
      </c>
      <c r="G94">
        <v>15.1743290088568</v>
      </c>
      <c r="H94">
        <v>120.534675121307</v>
      </c>
      <c r="I94" t="s">
        <v>917</v>
      </c>
      <c r="J94">
        <v>4993253</v>
      </c>
      <c r="K94" t="s">
        <v>918</v>
      </c>
      <c r="L94" t="s">
        <v>919</v>
      </c>
      <c r="M94" s="1">
        <v>43555</v>
      </c>
      <c r="N94" t="s">
        <v>369</v>
      </c>
      <c r="O94" t="s">
        <v>370</v>
      </c>
      <c r="P94">
        <v>2153</v>
      </c>
      <c r="Q94" t="s">
        <v>920</v>
      </c>
    </row>
    <row r="95" spans="1:17" x14ac:dyDescent="0.3">
      <c r="A95" t="s">
        <v>921</v>
      </c>
      <c r="B95" t="s">
        <v>922</v>
      </c>
      <c r="C95" t="s">
        <v>923</v>
      </c>
      <c r="D95" t="s">
        <v>924</v>
      </c>
      <c r="E95" t="s">
        <v>925</v>
      </c>
      <c r="F95" t="s">
        <v>926</v>
      </c>
      <c r="I95" t="s">
        <v>927</v>
      </c>
      <c r="J95" t="s">
        <v>928</v>
      </c>
      <c r="K95" t="s">
        <v>929</v>
      </c>
      <c r="L95" t="s">
        <v>930</v>
      </c>
      <c r="M95" s="1">
        <v>43436</v>
      </c>
      <c r="N95" t="s">
        <v>931</v>
      </c>
      <c r="P95">
        <v>1328</v>
      </c>
    </row>
    <row r="96" spans="1:17" x14ac:dyDescent="0.3">
      <c r="A96" t="s">
        <v>932</v>
      </c>
      <c r="B96" t="s">
        <v>933</v>
      </c>
      <c r="C96" t="s">
        <v>934</v>
      </c>
      <c r="D96" t="s">
        <v>935</v>
      </c>
      <c r="E96" t="s">
        <v>936</v>
      </c>
      <c r="F96" t="s">
        <v>937</v>
      </c>
      <c r="G96">
        <v>15.2014981588997</v>
      </c>
      <c r="H96">
        <v>120.52748680114701</v>
      </c>
      <c r="I96" t="s">
        <v>938</v>
      </c>
      <c r="J96" t="s">
        <v>939</v>
      </c>
      <c r="K96" t="s">
        <v>940</v>
      </c>
      <c r="L96" t="s">
        <v>941</v>
      </c>
      <c r="M96" s="1">
        <v>43677</v>
      </c>
      <c r="N96" t="s">
        <v>16</v>
      </c>
      <c r="O96" t="s">
        <v>292</v>
      </c>
      <c r="P96">
        <v>1862</v>
      </c>
      <c r="Q96" t="s">
        <v>942</v>
      </c>
    </row>
    <row r="97" spans="1:17" x14ac:dyDescent="0.3">
      <c r="A97" t="s">
        <v>943</v>
      </c>
      <c r="B97" t="s">
        <v>944</v>
      </c>
      <c r="C97" t="s">
        <v>945</v>
      </c>
      <c r="D97" t="s">
        <v>946</v>
      </c>
      <c r="E97" t="s">
        <v>947</v>
      </c>
      <c r="F97" t="s">
        <v>948</v>
      </c>
      <c r="G97">
        <v>15.178578699999999</v>
      </c>
      <c r="H97">
        <v>120.51842980000001</v>
      </c>
      <c r="I97" t="s">
        <v>949</v>
      </c>
      <c r="J97" t="s">
        <v>950</v>
      </c>
      <c r="K97" t="s">
        <v>951</v>
      </c>
      <c r="L97">
        <v>1234</v>
      </c>
      <c r="M97" s="1">
        <v>43555</v>
      </c>
      <c r="N97" t="s">
        <v>16</v>
      </c>
      <c r="O97" t="s">
        <v>292</v>
      </c>
      <c r="P97">
        <v>2329</v>
      </c>
      <c r="Q97" t="s">
        <v>952</v>
      </c>
    </row>
    <row r="98" spans="1:17" x14ac:dyDescent="0.3">
      <c r="A98" t="s">
        <v>953</v>
      </c>
      <c r="B98" t="s">
        <v>954</v>
      </c>
      <c r="C98" t="s">
        <v>955</v>
      </c>
      <c r="D98" t="s">
        <v>956</v>
      </c>
      <c r="E98" t="s">
        <v>957</v>
      </c>
      <c r="F98" t="s">
        <v>958</v>
      </c>
      <c r="G98">
        <v>15.178578699999999</v>
      </c>
      <c r="H98">
        <v>120.51842980000001</v>
      </c>
      <c r="I98" t="s">
        <v>959</v>
      </c>
      <c r="J98" t="s">
        <v>960</v>
      </c>
      <c r="K98" t="s">
        <v>961</v>
      </c>
      <c r="L98" t="s">
        <v>962</v>
      </c>
      <c r="M98" s="1">
        <v>43100</v>
      </c>
      <c r="N98" t="s">
        <v>16</v>
      </c>
      <c r="O98" t="s">
        <v>412</v>
      </c>
      <c r="P98">
        <v>1319</v>
      </c>
    </row>
    <row r="99" spans="1:17" x14ac:dyDescent="0.3">
      <c r="A99" t="s">
        <v>963</v>
      </c>
      <c r="B99" t="s">
        <v>964</v>
      </c>
      <c r="C99" t="s">
        <v>965</v>
      </c>
      <c r="D99" t="s">
        <v>966</v>
      </c>
      <c r="E99" t="s">
        <v>967</v>
      </c>
      <c r="F99" t="s">
        <v>968</v>
      </c>
      <c r="G99">
        <v>15.178578699999999</v>
      </c>
      <c r="H99">
        <v>120.51842980000001</v>
      </c>
      <c r="I99" t="s">
        <v>969</v>
      </c>
      <c r="J99">
        <v>9177100594</v>
      </c>
      <c r="K99" t="s">
        <v>970</v>
      </c>
      <c r="L99">
        <v>1234</v>
      </c>
      <c r="M99" s="1">
        <v>42916</v>
      </c>
      <c r="N99" t="s">
        <v>304</v>
      </c>
      <c r="O99" t="s">
        <v>323</v>
      </c>
      <c r="P99">
        <v>1703</v>
      </c>
    </row>
    <row r="100" spans="1:17" x14ac:dyDescent="0.3">
      <c r="A100" t="s">
        <v>971</v>
      </c>
      <c r="B100" t="s">
        <v>972</v>
      </c>
      <c r="C100" t="s">
        <v>973</v>
      </c>
      <c r="D100" t="s">
        <v>974</v>
      </c>
      <c r="E100" t="s">
        <v>975</v>
      </c>
      <c r="F100" t="s">
        <v>976</v>
      </c>
      <c r="G100">
        <v>15.1744636207338</v>
      </c>
      <c r="H100">
        <v>120.53300142288199</v>
      </c>
      <c r="I100" t="s">
        <v>977</v>
      </c>
      <c r="J100">
        <v>9163317525</v>
      </c>
      <c r="K100" t="s">
        <v>978</v>
      </c>
      <c r="L100" t="s">
        <v>979</v>
      </c>
      <c r="M100" s="1">
        <v>43524</v>
      </c>
      <c r="N100" t="s">
        <v>369</v>
      </c>
      <c r="O100" t="s">
        <v>980</v>
      </c>
      <c r="P100">
        <v>2239</v>
      </c>
      <c r="Q100" t="s">
        <v>981</v>
      </c>
    </row>
    <row r="101" spans="1:17" x14ac:dyDescent="0.3">
      <c r="A101" t="s">
        <v>982</v>
      </c>
      <c r="B101" t="s">
        <v>983</v>
      </c>
      <c r="C101" t="s">
        <v>984</v>
      </c>
      <c r="D101" t="s">
        <v>985</v>
      </c>
      <c r="E101" t="s">
        <v>986</v>
      </c>
      <c r="I101" t="s">
        <v>987</v>
      </c>
      <c r="J101">
        <v>9178091178</v>
      </c>
      <c r="K101" t="s">
        <v>988</v>
      </c>
      <c r="L101">
        <v>1234</v>
      </c>
      <c r="M101" s="1">
        <v>43131</v>
      </c>
      <c r="N101" t="s">
        <v>398</v>
      </c>
      <c r="O101" t="s">
        <v>752</v>
      </c>
      <c r="P101">
        <v>1935</v>
      </c>
    </row>
    <row r="102" spans="1:17" x14ac:dyDescent="0.3">
      <c r="A102" t="s">
        <v>989</v>
      </c>
      <c r="B102" t="s">
        <v>990</v>
      </c>
      <c r="C102" t="s">
        <v>991</v>
      </c>
      <c r="D102" t="s">
        <v>992</v>
      </c>
      <c r="E102" t="s">
        <v>993</v>
      </c>
      <c r="F102" t="s">
        <v>994</v>
      </c>
      <c r="G102">
        <v>15.178578699999999</v>
      </c>
      <c r="H102">
        <v>120.51842980000001</v>
      </c>
      <c r="I102" t="s">
        <v>995</v>
      </c>
      <c r="J102">
        <v>9062692763</v>
      </c>
      <c r="K102" t="s">
        <v>996</v>
      </c>
      <c r="L102">
        <v>1234</v>
      </c>
      <c r="M102" s="1">
        <v>42766</v>
      </c>
      <c r="N102" t="s">
        <v>16</v>
      </c>
      <c r="O102" t="s">
        <v>17</v>
      </c>
      <c r="P102">
        <v>1416</v>
      </c>
    </row>
    <row r="103" spans="1:17" x14ac:dyDescent="0.3">
      <c r="A103" t="s">
        <v>997</v>
      </c>
      <c r="B103" t="s">
        <v>998</v>
      </c>
      <c r="C103" t="s">
        <v>999</v>
      </c>
      <c r="D103" t="s">
        <v>1000</v>
      </c>
      <c r="E103" t="s">
        <v>1001</v>
      </c>
      <c r="F103" t="s">
        <v>1002</v>
      </c>
      <c r="G103">
        <v>15.1879243751519</v>
      </c>
      <c r="H103">
        <v>120.549674034118</v>
      </c>
      <c r="I103" t="s">
        <v>1003</v>
      </c>
      <c r="J103" t="s">
        <v>1004</v>
      </c>
      <c r="K103" t="s">
        <v>1005</v>
      </c>
      <c r="L103" t="s">
        <v>1006</v>
      </c>
      <c r="M103" s="1">
        <v>42690</v>
      </c>
      <c r="N103" t="s">
        <v>398</v>
      </c>
      <c r="O103" t="s">
        <v>853</v>
      </c>
      <c r="P103">
        <v>1510</v>
      </c>
    </row>
    <row r="104" spans="1:17" x14ac:dyDescent="0.3">
      <c r="A104" t="s">
        <v>1007</v>
      </c>
      <c r="B104" t="s">
        <v>1008</v>
      </c>
      <c r="C104" t="s">
        <v>1009</v>
      </c>
      <c r="D104" t="s">
        <v>1010</v>
      </c>
      <c r="E104" t="s">
        <v>1011</v>
      </c>
      <c r="F104" t="s">
        <v>1012</v>
      </c>
      <c r="G104">
        <v>15.178578699999999</v>
      </c>
      <c r="H104">
        <v>120.51842980000001</v>
      </c>
      <c r="I104" t="s">
        <v>1013</v>
      </c>
      <c r="J104">
        <v>9771469736</v>
      </c>
      <c r="K104" t="s">
        <v>1014</v>
      </c>
      <c r="L104" t="s">
        <v>1015</v>
      </c>
      <c r="M104" s="1">
        <v>42794</v>
      </c>
      <c r="N104" t="s">
        <v>398</v>
      </c>
      <c r="O104" t="s">
        <v>582</v>
      </c>
      <c r="P104">
        <v>2109</v>
      </c>
    </row>
    <row r="105" spans="1:17" x14ac:dyDescent="0.3">
      <c r="A105" t="s">
        <v>1016</v>
      </c>
      <c r="B105" t="s">
        <v>1017</v>
      </c>
      <c r="C105" t="s">
        <v>1018</v>
      </c>
      <c r="D105" t="s">
        <v>1019</v>
      </c>
      <c r="E105" t="s">
        <v>704</v>
      </c>
      <c r="F105" t="s">
        <v>1020</v>
      </c>
      <c r="G105">
        <v>15.178578699999999</v>
      </c>
      <c r="H105">
        <v>120.51842980000001</v>
      </c>
      <c r="I105" t="s">
        <v>1021</v>
      </c>
      <c r="J105" t="s">
        <v>1022</v>
      </c>
      <c r="K105" t="s">
        <v>1023</v>
      </c>
      <c r="L105" t="s">
        <v>1024</v>
      </c>
      <c r="M105" s="1">
        <v>43176</v>
      </c>
      <c r="N105" t="s">
        <v>369</v>
      </c>
      <c r="O105" t="s">
        <v>370</v>
      </c>
      <c r="P105">
        <v>2089</v>
      </c>
    </row>
    <row r="106" spans="1:17" x14ac:dyDescent="0.3">
      <c r="A106" t="s">
        <v>1025</v>
      </c>
      <c r="B106" t="s">
        <v>1026</v>
      </c>
      <c r="C106" t="s">
        <v>1027</v>
      </c>
      <c r="D106" t="s">
        <v>1028</v>
      </c>
      <c r="E106" t="s">
        <v>1029</v>
      </c>
      <c r="F106" t="s">
        <v>1030</v>
      </c>
      <c r="G106">
        <v>15.1850562709638</v>
      </c>
      <c r="H106">
        <v>120.548043251037</v>
      </c>
      <c r="I106" t="s">
        <v>1031</v>
      </c>
      <c r="J106">
        <f>-45- 599-2163</f>
        <v>-2807</v>
      </c>
      <c r="K106" t="s">
        <v>1032</v>
      </c>
      <c r="L106" t="s">
        <v>1033</v>
      </c>
      <c r="M106" s="1">
        <v>43621</v>
      </c>
      <c r="N106" t="s">
        <v>304</v>
      </c>
      <c r="O106" t="s">
        <v>323</v>
      </c>
      <c r="P106">
        <v>414</v>
      </c>
    </row>
    <row r="107" spans="1:17" x14ac:dyDescent="0.3">
      <c r="A107" t="s">
        <v>1034</v>
      </c>
      <c r="B107" t="s">
        <v>1035</v>
      </c>
      <c r="C107" t="s">
        <v>1036</v>
      </c>
      <c r="D107" t="s">
        <v>1037</v>
      </c>
      <c r="E107" t="s">
        <v>1038</v>
      </c>
      <c r="F107" t="s">
        <v>1039</v>
      </c>
      <c r="G107">
        <v>15.178578699999999</v>
      </c>
      <c r="H107">
        <v>120.51842980000001</v>
      </c>
      <c r="I107" t="s">
        <v>1040</v>
      </c>
      <c r="J107" t="s">
        <v>1041</v>
      </c>
      <c r="K107" t="s">
        <v>1042</v>
      </c>
      <c r="L107">
        <v>1234</v>
      </c>
      <c r="M107" s="1">
        <v>43544</v>
      </c>
      <c r="N107" t="s">
        <v>398</v>
      </c>
      <c r="O107" t="s">
        <v>853</v>
      </c>
      <c r="P107">
        <v>291</v>
      </c>
    </row>
    <row r="108" spans="1:17" x14ac:dyDescent="0.3">
      <c r="A108" t="s">
        <v>1043</v>
      </c>
      <c r="B108" t="s">
        <v>1044</v>
      </c>
      <c r="C108" t="s">
        <v>1045</v>
      </c>
      <c r="D108" t="s">
        <v>177</v>
      </c>
      <c r="E108" t="s">
        <v>477</v>
      </c>
      <c r="F108" t="s">
        <v>1046</v>
      </c>
      <c r="G108">
        <v>15.178578699999999</v>
      </c>
      <c r="H108">
        <v>120.51842980000001</v>
      </c>
      <c r="I108" t="s">
        <v>1047</v>
      </c>
      <c r="J108">
        <f>-45-308-8872</f>
        <v>-9225</v>
      </c>
      <c r="K108" t="s">
        <v>1048</v>
      </c>
      <c r="L108">
        <v>1234</v>
      </c>
      <c r="M108" s="1">
        <v>43581</v>
      </c>
      <c r="N108" t="s">
        <v>779</v>
      </c>
      <c r="O108" t="s">
        <v>1049</v>
      </c>
      <c r="P108">
        <v>2416</v>
      </c>
    </row>
    <row r="109" spans="1:17" x14ac:dyDescent="0.3">
      <c r="A109" t="s">
        <v>1050</v>
      </c>
      <c r="B109" t="s">
        <v>1051</v>
      </c>
      <c r="C109" t="s">
        <v>1052</v>
      </c>
      <c r="D109" t="s">
        <v>1053</v>
      </c>
      <c r="E109" t="s">
        <v>1054</v>
      </c>
      <c r="F109" t="s">
        <v>1055</v>
      </c>
      <c r="G109">
        <v>15.178578699999999</v>
      </c>
      <c r="H109">
        <v>120.51842980000001</v>
      </c>
      <c r="I109" t="s">
        <v>1056</v>
      </c>
      <c r="J109">
        <v>-6563117000</v>
      </c>
      <c r="K109" t="s">
        <v>1057</v>
      </c>
      <c r="L109">
        <v>1234</v>
      </c>
      <c r="M109" s="1">
        <v>43677</v>
      </c>
      <c r="N109" t="s">
        <v>16</v>
      </c>
      <c r="O109" t="s">
        <v>17</v>
      </c>
      <c r="P109">
        <v>1094</v>
      </c>
    </row>
    <row r="110" spans="1:17" x14ac:dyDescent="0.3">
      <c r="A110" t="s">
        <v>1058</v>
      </c>
      <c r="B110" t="s">
        <v>1059</v>
      </c>
      <c r="C110" t="s">
        <v>1060</v>
      </c>
      <c r="D110" t="s">
        <v>1061</v>
      </c>
      <c r="E110" t="s">
        <v>1062</v>
      </c>
      <c r="F110" t="s">
        <v>1063</v>
      </c>
      <c r="G110">
        <v>15.178578699999999</v>
      </c>
      <c r="H110">
        <v>120.51842980000001</v>
      </c>
      <c r="I110" t="s">
        <v>1064</v>
      </c>
      <c r="J110">
        <v>9175105193</v>
      </c>
      <c r="K110" t="s">
        <v>1065</v>
      </c>
      <c r="L110" t="s">
        <v>1066</v>
      </c>
      <c r="M110" s="1">
        <v>43757</v>
      </c>
      <c r="N110" t="s">
        <v>779</v>
      </c>
      <c r="O110" t="s">
        <v>780</v>
      </c>
      <c r="P110">
        <v>1226</v>
      </c>
    </row>
    <row r="111" spans="1:17" x14ac:dyDescent="0.3">
      <c r="A111" t="s">
        <v>1067</v>
      </c>
      <c r="B111" t="s">
        <v>1068</v>
      </c>
      <c r="C111" t="s">
        <v>1069</v>
      </c>
      <c r="D111" t="s">
        <v>1070</v>
      </c>
      <c r="E111" t="s">
        <v>201</v>
      </c>
      <c r="F111" t="s">
        <v>1071</v>
      </c>
      <c r="G111">
        <v>15.203693074679199</v>
      </c>
      <c r="H111">
        <v>120.569114685058</v>
      </c>
      <c r="I111" t="s">
        <v>1072</v>
      </c>
      <c r="J111" t="s">
        <v>1073</v>
      </c>
      <c r="K111" t="s">
        <v>1074</v>
      </c>
      <c r="L111" t="s">
        <v>1075</v>
      </c>
      <c r="M111" s="1">
        <v>43871</v>
      </c>
      <c r="N111" t="s">
        <v>16</v>
      </c>
      <c r="O111" t="s">
        <v>292</v>
      </c>
      <c r="P111">
        <v>158</v>
      </c>
    </row>
    <row r="112" spans="1:17" x14ac:dyDescent="0.3">
      <c r="A112" t="s">
        <v>1076</v>
      </c>
      <c r="B112" t="s">
        <v>1077</v>
      </c>
      <c r="C112" t="s">
        <v>1078</v>
      </c>
      <c r="D112" t="s">
        <v>1079</v>
      </c>
      <c r="E112" t="s">
        <v>1080</v>
      </c>
      <c r="F112" t="s">
        <v>1081</v>
      </c>
      <c r="G112">
        <v>15.178578699999999</v>
      </c>
      <c r="H112">
        <v>120.51842980000001</v>
      </c>
      <c r="I112" t="s">
        <v>1082</v>
      </c>
      <c r="J112">
        <v>9069487384</v>
      </c>
      <c r="K112" t="s">
        <v>1083</v>
      </c>
      <c r="L112" t="s">
        <v>1084</v>
      </c>
      <c r="M112" s="1">
        <v>42978</v>
      </c>
      <c r="N112" t="s">
        <v>398</v>
      </c>
      <c r="O112" t="s">
        <v>685</v>
      </c>
      <c r="P112">
        <v>2104</v>
      </c>
    </row>
    <row r="113" spans="1:17" x14ac:dyDescent="0.3">
      <c r="A113" t="s">
        <v>1085</v>
      </c>
      <c r="B113" t="s">
        <v>1086</v>
      </c>
      <c r="C113" t="s">
        <v>1087</v>
      </c>
      <c r="D113" t="s">
        <v>1088</v>
      </c>
      <c r="E113" t="s">
        <v>849</v>
      </c>
      <c r="F113" t="s">
        <v>1089</v>
      </c>
      <c r="G113">
        <v>15.178578699999999</v>
      </c>
      <c r="H113">
        <v>120.51842980000001</v>
      </c>
      <c r="I113" t="s">
        <v>1090</v>
      </c>
      <c r="J113">
        <f>-45- 599-5249</f>
        <v>-5893</v>
      </c>
      <c r="K113" t="s">
        <v>1091</v>
      </c>
      <c r="L113" t="s">
        <v>1092</v>
      </c>
      <c r="M113" s="1">
        <v>43640</v>
      </c>
      <c r="N113" t="s">
        <v>16</v>
      </c>
      <c r="O113" t="s">
        <v>292</v>
      </c>
      <c r="P113">
        <v>25</v>
      </c>
      <c r="Q113" t="s">
        <v>1093</v>
      </c>
    </row>
    <row r="114" spans="1:17" x14ac:dyDescent="0.3">
      <c r="A114" t="s">
        <v>1094</v>
      </c>
      <c r="B114" t="s">
        <v>1095</v>
      </c>
      <c r="C114" t="s">
        <v>1096</v>
      </c>
      <c r="D114" t="s">
        <v>1097</v>
      </c>
      <c r="E114" t="s">
        <v>1098</v>
      </c>
      <c r="F114" t="s">
        <v>1099</v>
      </c>
      <c r="G114">
        <v>15.1791749823839</v>
      </c>
      <c r="H114">
        <v>120.54782867431599</v>
      </c>
      <c r="I114" t="s">
        <v>1100</v>
      </c>
      <c r="J114">
        <v>9494569540</v>
      </c>
      <c r="K114" t="s">
        <v>1101</v>
      </c>
      <c r="L114">
        <v>1234</v>
      </c>
      <c r="M114" s="1">
        <v>42794</v>
      </c>
      <c r="N114" t="s">
        <v>398</v>
      </c>
      <c r="O114" t="s">
        <v>685</v>
      </c>
      <c r="P114">
        <v>1833</v>
      </c>
    </row>
    <row r="115" spans="1:17" x14ac:dyDescent="0.3">
      <c r="A115" t="s">
        <v>1102</v>
      </c>
      <c r="B115" t="s">
        <v>846</v>
      </c>
      <c r="C115" t="s">
        <v>847</v>
      </c>
      <c r="D115" t="s">
        <v>848</v>
      </c>
      <c r="E115" t="s">
        <v>849</v>
      </c>
      <c r="F115" t="s">
        <v>850</v>
      </c>
      <c r="G115">
        <v>15.178578699999999</v>
      </c>
      <c r="H115">
        <v>120.51842980000001</v>
      </c>
      <c r="I115" t="s">
        <v>851</v>
      </c>
      <c r="J115">
        <v>9175651375</v>
      </c>
      <c r="K115" t="s">
        <v>1103</v>
      </c>
      <c r="L115">
        <v>1234</v>
      </c>
      <c r="M115" s="1">
        <v>42794</v>
      </c>
      <c r="N115" t="s">
        <v>398</v>
      </c>
      <c r="O115" t="s">
        <v>1104</v>
      </c>
      <c r="P115">
        <v>2246</v>
      </c>
      <c r="Q115" t="s">
        <v>1105</v>
      </c>
    </row>
    <row r="116" spans="1:17" x14ac:dyDescent="0.3">
      <c r="A116" t="s">
        <v>1106</v>
      </c>
      <c r="B116" t="s">
        <v>1107</v>
      </c>
      <c r="C116" t="s">
        <v>1108</v>
      </c>
      <c r="D116" t="s">
        <v>1109</v>
      </c>
      <c r="E116" t="s">
        <v>1110</v>
      </c>
      <c r="F116" t="s">
        <v>1111</v>
      </c>
      <c r="G116">
        <v>15.178578699999999</v>
      </c>
      <c r="H116">
        <v>120.51842980000001</v>
      </c>
      <c r="I116" t="s">
        <v>1112</v>
      </c>
      <c r="J116" t="s">
        <v>1113</v>
      </c>
      <c r="K116" t="s">
        <v>1114</v>
      </c>
      <c r="L116">
        <v>1234</v>
      </c>
      <c r="M116" s="1">
        <v>43008</v>
      </c>
      <c r="N116" t="s">
        <v>871</v>
      </c>
      <c r="O116" t="s">
        <v>1115</v>
      </c>
      <c r="P116">
        <v>417</v>
      </c>
      <c r="Q116" t="s">
        <v>1116</v>
      </c>
    </row>
    <row r="117" spans="1:17" x14ac:dyDescent="0.3">
      <c r="A117" t="s">
        <v>1117</v>
      </c>
      <c r="B117" t="s">
        <v>1118</v>
      </c>
      <c r="C117" t="s">
        <v>1119</v>
      </c>
      <c r="D117" t="s">
        <v>1120</v>
      </c>
      <c r="E117" t="s">
        <v>1121</v>
      </c>
      <c r="F117" t="s">
        <v>1122</v>
      </c>
      <c r="G117">
        <v>15.1756958331595</v>
      </c>
      <c r="H117">
        <v>120.52420377731301</v>
      </c>
      <c r="I117" t="s">
        <v>1123</v>
      </c>
      <c r="J117" t="s">
        <v>1124</v>
      </c>
      <c r="K117" t="s">
        <v>1125</v>
      </c>
      <c r="L117">
        <v>1234</v>
      </c>
      <c r="M117" s="1">
        <v>43611</v>
      </c>
      <c r="N117" t="s">
        <v>763</v>
      </c>
      <c r="O117" t="s">
        <v>764</v>
      </c>
      <c r="P117">
        <v>559</v>
      </c>
      <c r="Q117" t="s">
        <v>1126</v>
      </c>
    </row>
    <row r="118" spans="1:17" x14ac:dyDescent="0.3">
      <c r="A118" t="s">
        <v>1127</v>
      </c>
      <c r="B118" t="s">
        <v>1128</v>
      </c>
      <c r="C118" t="s">
        <v>1129</v>
      </c>
      <c r="D118" t="s">
        <v>1130</v>
      </c>
      <c r="E118" t="s">
        <v>597</v>
      </c>
      <c r="F118" t="s">
        <v>1131</v>
      </c>
      <c r="I118" t="s">
        <v>1132</v>
      </c>
      <c r="J118" t="s">
        <v>1133</v>
      </c>
      <c r="K118" t="s">
        <v>1134</v>
      </c>
      <c r="L118" t="s">
        <v>1135</v>
      </c>
      <c r="M118" s="1">
        <v>42324</v>
      </c>
      <c r="N118" t="s">
        <v>931</v>
      </c>
      <c r="P118">
        <v>782</v>
      </c>
    </row>
    <row r="119" spans="1:17" x14ac:dyDescent="0.3">
      <c r="A119" t="s">
        <v>1136</v>
      </c>
      <c r="B119" t="s">
        <v>559</v>
      </c>
      <c r="C119" t="s">
        <v>1137</v>
      </c>
      <c r="D119" t="s">
        <v>1138</v>
      </c>
      <c r="E119" t="s">
        <v>1139</v>
      </c>
      <c r="F119" t="s">
        <v>1140</v>
      </c>
      <c r="G119">
        <v>15.1941885104996</v>
      </c>
      <c r="H119">
        <v>120.50867915153501</v>
      </c>
      <c r="I119" t="s">
        <v>1141</v>
      </c>
      <c r="J119">
        <v>9175537625</v>
      </c>
      <c r="K119" t="s">
        <v>1142</v>
      </c>
      <c r="L119">
        <v>1234</v>
      </c>
      <c r="M119" s="1">
        <v>43068</v>
      </c>
      <c r="N119" t="s">
        <v>336</v>
      </c>
      <c r="O119" t="s">
        <v>515</v>
      </c>
      <c r="P119">
        <v>783</v>
      </c>
    </row>
    <row r="120" spans="1:17" x14ac:dyDescent="0.3">
      <c r="A120" t="s">
        <v>1143</v>
      </c>
      <c r="B120" t="s">
        <v>832</v>
      </c>
      <c r="C120" t="s">
        <v>1144</v>
      </c>
      <c r="D120" t="s">
        <v>1145</v>
      </c>
      <c r="E120" t="s">
        <v>1146</v>
      </c>
      <c r="F120" t="s">
        <v>1147</v>
      </c>
      <c r="G120">
        <v>15.180272559234799</v>
      </c>
      <c r="H120">
        <v>120.52716493606501</v>
      </c>
      <c r="I120" t="s">
        <v>1148</v>
      </c>
      <c r="J120">
        <f>-45-599-3442</f>
        <v>-4086</v>
      </c>
      <c r="K120" t="s">
        <v>1149</v>
      </c>
      <c r="L120">
        <v>1234</v>
      </c>
      <c r="M120" s="1">
        <v>43676</v>
      </c>
      <c r="N120" t="s">
        <v>1150</v>
      </c>
      <c r="O120" t="s">
        <v>515</v>
      </c>
      <c r="P120">
        <v>695</v>
      </c>
    </row>
    <row r="121" spans="1:17" x14ac:dyDescent="0.3">
      <c r="A121" t="s">
        <v>1151</v>
      </c>
      <c r="B121" t="s">
        <v>1152</v>
      </c>
      <c r="C121" t="s">
        <v>1153</v>
      </c>
      <c r="D121" t="s">
        <v>1154</v>
      </c>
      <c r="E121" t="s">
        <v>1155</v>
      </c>
      <c r="F121" t="s">
        <v>1156</v>
      </c>
      <c r="G121">
        <v>15.1782223638892</v>
      </c>
      <c r="H121">
        <v>120.518753528594</v>
      </c>
      <c r="I121" t="s">
        <v>1157</v>
      </c>
      <c r="J121" t="s">
        <v>1158</v>
      </c>
      <c r="K121" t="s">
        <v>1159</v>
      </c>
      <c r="L121" t="s">
        <v>1160</v>
      </c>
      <c r="M121" s="1">
        <v>43613</v>
      </c>
      <c r="N121" t="s">
        <v>398</v>
      </c>
      <c r="O121" t="s">
        <v>1161</v>
      </c>
      <c r="P121">
        <v>240</v>
      </c>
    </row>
    <row r="122" spans="1:17" x14ac:dyDescent="0.3">
      <c r="A122" t="s">
        <v>1162</v>
      </c>
      <c r="B122" t="s">
        <v>1163</v>
      </c>
      <c r="C122" t="s">
        <v>1164</v>
      </c>
      <c r="D122" t="s">
        <v>1165</v>
      </c>
      <c r="E122" t="s">
        <v>363</v>
      </c>
      <c r="F122" t="s">
        <v>1166</v>
      </c>
      <c r="G122">
        <v>15.178578699999999</v>
      </c>
      <c r="H122">
        <v>120.51842980000001</v>
      </c>
      <c r="I122" t="s">
        <v>1167</v>
      </c>
      <c r="J122" t="s">
        <v>1168</v>
      </c>
      <c r="K122" t="s">
        <v>1169</v>
      </c>
      <c r="L122" t="s">
        <v>1170</v>
      </c>
      <c r="M122" s="1">
        <v>43039</v>
      </c>
      <c r="N122" t="s">
        <v>16</v>
      </c>
      <c r="O122" t="s">
        <v>17</v>
      </c>
      <c r="P122">
        <v>1503</v>
      </c>
    </row>
    <row r="123" spans="1:17" x14ac:dyDescent="0.3">
      <c r="A123" t="s">
        <v>1171</v>
      </c>
      <c r="B123" t="s">
        <v>200</v>
      </c>
      <c r="C123" t="s">
        <v>1172</v>
      </c>
      <c r="D123" t="s">
        <v>1173</v>
      </c>
      <c r="E123" t="s">
        <v>1146</v>
      </c>
      <c r="F123" t="s">
        <v>1174</v>
      </c>
      <c r="G123">
        <v>15.178578699999999</v>
      </c>
      <c r="H123">
        <v>120.51842980000001</v>
      </c>
      <c r="I123" t="s">
        <v>1175</v>
      </c>
      <c r="J123" t="s">
        <v>1176</v>
      </c>
      <c r="K123" t="s">
        <v>1177</v>
      </c>
      <c r="L123">
        <v>1234</v>
      </c>
      <c r="M123" s="1">
        <v>43551</v>
      </c>
      <c r="N123" t="s">
        <v>779</v>
      </c>
      <c r="O123" t="s">
        <v>1178</v>
      </c>
      <c r="P123">
        <v>1222</v>
      </c>
    </row>
    <row r="124" spans="1:17" x14ac:dyDescent="0.3">
      <c r="A124" t="s">
        <v>1179</v>
      </c>
      <c r="B124" t="s">
        <v>1180</v>
      </c>
      <c r="C124" t="s">
        <v>1181</v>
      </c>
      <c r="D124" t="s">
        <v>1182</v>
      </c>
      <c r="E124" t="s">
        <v>1183</v>
      </c>
      <c r="F124" t="s">
        <v>1184</v>
      </c>
      <c r="G124">
        <v>15.172423723861799</v>
      </c>
      <c r="H124">
        <v>120.50734877586299</v>
      </c>
      <c r="I124" t="s">
        <v>1185</v>
      </c>
      <c r="J124" t="s">
        <v>1186</v>
      </c>
      <c r="K124" t="s">
        <v>1187</v>
      </c>
      <c r="L124" t="s">
        <v>1188</v>
      </c>
      <c r="M124" s="1">
        <v>43757</v>
      </c>
      <c r="N124" t="s">
        <v>763</v>
      </c>
      <c r="O124" t="s">
        <v>1189</v>
      </c>
      <c r="P124">
        <v>560</v>
      </c>
    </row>
    <row r="125" spans="1:17" x14ac:dyDescent="0.3">
      <c r="A125" t="s">
        <v>1190</v>
      </c>
      <c r="B125" t="s">
        <v>1191</v>
      </c>
      <c r="C125" t="s">
        <v>1192</v>
      </c>
      <c r="D125" t="s">
        <v>1193</v>
      </c>
      <c r="E125" t="s">
        <v>1194</v>
      </c>
      <c r="F125" t="s">
        <v>1195</v>
      </c>
      <c r="I125" t="s">
        <v>1196</v>
      </c>
      <c r="J125">
        <v>5995132</v>
      </c>
      <c r="K125" t="s">
        <v>1197</v>
      </c>
      <c r="L125" t="s">
        <v>1198</v>
      </c>
      <c r="M125" s="1">
        <v>43596</v>
      </c>
      <c r="N125" t="s">
        <v>931</v>
      </c>
      <c r="P125">
        <v>32</v>
      </c>
      <c r="Q125" t="s">
        <v>1199</v>
      </c>
    </row>
    <row r="126" spans="1:17" x14ac:dyDescent="0.3">
      <c r="A126" t="s">
        <v>1200</v>
      </c>
      <c r="B126" t="s">
        <v>1201</v>
      </c>
      <c r="C126" t="s">
        <v>1202</v>
      </c>
      <c r="D126" t="s">
        <v>1203</v>
      </c>
      <c r="E126" t="s">
        <v>1204</v>
      </c>
      <c r="F126" t="s">
        <v>1205</v>
      </c>
      <c r="G126">
        <v>15.2010219005723</v>
      </c>
      <c r="H126">
        <v>120.541520118713</v>
      </c>
      <c r="I126" t="s">
        <v>1206</v>
      </c>
      <c r="J126">
        <v>9178344055</v>
      </c>
      <c r="K126" t="s">
        <v>1207</v>
      </c>
      <c r="L126">
        <v>1234</v>
      </c>
      <c r="M126" s="1">
        <v>43377</v>
      </c>
      <c r="N126" t="s">
        <v>779</v>
      </c>
      <c r="O126" t="s">
        <v>1178</v>
      </c>
      <c r="P126">
        <v>1005</v>
      </c>
    </row>
    <row r="127" spans="1:17" x14ac:dyDescent="0.3">
      <c r="A127" t="s">
        <v>1208</v>
      </c>
      <c r="B127" t="s">
        <v>1209</v>
      </c>
      <c r="C127" t="s">
        <v>1210</v>
      </c>
      <c r="D127" t="s">
        <v>1211</v>
      </c>
      <c r="E127" t="s">
        <v>477</v>
      </c>
      <c r="I127" t="s">
        <v>1212</v>
      </c>
      <c r="J127" t="s">
        <v>1213</v>
      </c>
      <c r="K127" t="s">
        <v>1214</v>
      </c>
      <c r="L127">
        <v>1234</v>
      </c>
      <c r="M127" s="1">
        <v>43735</v>
      </c>
      <c r="N127" t="s">
        <v>398</v>
      </c>
      <c r="O127" t="s">
        <v>1161</v>
      </c>
      <c r="P127">
        <v>466</v>
      </c>
      <c r="Q127" t="s">
        <v>1215</v>
      </c>
    </row>
    <row r="128" spans="1:17" x14ac:dyDescent="0.3">
      <c r="A128" t="s">
        <v>1216</v>
      </c>
      <c r="B128" t="s">
        <v>1217</v>
      </c>
      <c r="C128" t="s">
        <v>1218</v>
      </c>
      <c r="D128" t="s">
        <v>1219</v>
      </c>
      <c r="E128" t="s">
        <v>477</v>
      </c>
      <c r="F128" t="s">
        <v>1220</v>
      </c>
      <c r="G128">
        <v>15.178578699999999</v>
      </c>
      <c r="H128">
        <v>120.51842980000001</v>
      </c>
      <c r="I128" t="s">
        <v>1221</v>
      </c>
      <c r="J128" t="s">
        <v>1222</v>
      </c>
      <c r="K128" t="s">
        <v>1223</v>
      </c>
      <c r="L128">
        <v>1234</v>
      </c>
      <c r="M128" s="1">
        <v>43497</v>
      </c>
      <c r="N128" t="s">
        <v>763</v>
      </c>
      <c r="O128" t="s">
        <v>1224</v>
      </c>
      <c r="P128">
        <v>629</v>
      </c>
    </row>
    <row r="129" spans="1:17" x14ac:dyDescent="0.3">
      <c r="A129" t="s">
        <v>1225</v>
      </c>
      <c r="B129" t="s">
        <v>1180</v>
      </c>
      <c r="C129" t="s">
        <v>1181</v>
      </c>
      <c r="D129" t="s">
        <v>1182</v>
      </c>
      <c r="E129" t="s">
        <v>1183</v>
      </c>
      <c r="F129" t="s">
        <v>1226</v>
      </c>
      <c r="G129">
        <v>15.178578699999999</v>
      </c>
      <c r="H129">
        <v>120.51842980000001</v>
      </c>
      <c r="I129" t="s">
        <v>1185</v>
      </c>
      <c r="J129" t="s">
        <v>1186</v>
      </c>
      <c r="K129" t="s">
        <v>1227</v>
      </c>
      <c r="L129">
        <v>1234</v>
      </c>
      <c r="M129" s="1">
        <v>43830</v>
      </c>
      <c r="N129" t="s">
        <v>398</v>
      </c>
      <c r="O129" t="s">
        <v>1228</v>
      </c>
      <c r="P129">
        <v>1249</v>
      </c>
    </row>
    <row r="130" spans="1:17" x14ac:dyDescent="0.3">
      <c r="A130" t="s">
        <v>1229</v>
      </c>
      <c r="B130" t="s">
        <v>1230</v>
      </c>
      <c r="C130" t="s">
        <v>1231</v>
      </c>
      <c r="D130" t="s">
        <v>585</v>
      </c>
      <c r="E130" t="s">
        <v>1232</v>
      </c>
      <c r="F130" t="s">
        <v>1233</v>
      </c>
      <c r="G130">
        <v>15.178578699999999</v>
      </c>
      <c r="H130">
        <v>120.51842980000001</v>
      </c>
      <c r="I130" t="s">
        <v>1234</v>
      </c>
      <c r="J130">
        <v>9350154115</v>
      </c>
      <c r="K130" t="s">
        <v>1235</v>
      </c>
      <c r="L130">
        <v>1234</v>
      </c>
      <c r="M130" s="1">
        <v>42735</v>
      </c>
      <c r="N130" t="s">
        <v>398</v>
      </c>
      <c r="O130" t="s">
        <v>685</v>
      </c>
      <c r="P130">
        <v>1447</v>
      </c>
    </row>
    <row r="131" spans="1:17" x14ac:dyDescent="0.3">
      <c r="A131" t="s">
        <v>1236</v>
      </c>
      <c r="B131" t="s">
        <v>1237</v>
      </c>
      <c r="C131" t="s">
        <v>1238</v>
      </c>
      <c r="D131" t="s">
        <v>1239</v>
      </c>
      <c r="E131" t="s">
        <v>1240</v>
      </c>
      <c r="F131" t="s">
        <v>1241</v>
      </c>
      <c r="G131">
        <v>15.178578699999999</v>
      </c>
      <c r="H131">
        <v>120.51842980000001</v>
      </c>
      <c r="I131" t="s">
        <v>1242</v>
      </c>
      <c r="J131" t="s">
        <v>1243</v>
      </c>
      <c r="K131" t="s">
        <v>1244</v>
      </c>
      <c r="L131">
        <v>1234</v>
      </c>
      <c r="M131" s="1">
        <v>42655</v>
      </c>
      <c r="N131" t="s">
        <v>16</v>
      </c>
      <c r="O131" t="s">
        <v>17</v>
      </c>
      <c r="P131">
        <v>1489</v>
      </c>
    </row>
    <row r="132" spans="1:17" x14ac:dyDescent="0.3">
      <c r="A132" t="s">
        <v>1245</v>
      </c>
      <c r="B132" t="s">
        <v>1246</v>
      </c>
      <c r="C132" t="s">
        <v>1247</v>
      </c>
      <c r="D132" t="s">
        <v>1248</v>
      </c>
      <c r="E132" t="s">
        <v>201</v>
      </c>
      <c r="F132" t="s">
        <v>1249</v>
      </c>
      <c r="I132" t="s">
        <v>1250</v>
      </c>
      <c r="J132" t="s">
        <v>1251</v>
      </c>
      <c r="K132" t="s">
        <v>1252</v>
      </c>
      <c r="L132" t="s">
        <v>1253</v>
      </c>
      <c r="M132" s="1">
        <v>42947</v>
      </c>
      <c r="N132" t="s">
        <v>336</v>
      </c>
      <c r="O132" t="s">
        <v>441</v>
      </c>
      <c r="P132">
        <v>2344</v>
      </c>
      <c r="Q132" t="s">
        <v>1254</v>
      </c>
    </row>
    <row r="133" spans="1:17" x14ac:dyDescent="0.3">
      <c r="A133" t="s">
        <v>1255</v>
      </c>
      <c r="B133" t="s">
        <v>1256</v>
      </c>
      <c r="C133" t="s">
        <v>1257</v>
      </c>
      <c r="D133" t="s">
        <v>1258</v>
      </c>
      <c r="E133" t="s">
        <v>1259</v>
      </c>
      <c r="F133" t="s">
        <v>1260</v>
      </c>
      <c r="G133">
        <v>15.177849598960799</v>
      </c>
      <c r="H133">
        <v>120.527905225753</v>
      </c>
      <c r="I133" t="s">
        <v>1261</v>
      </c>
      <c r="J133">
        <v>9088927191</v>
      </c>
      <c r="K133" t="s">
        <v>1262</v>
      </c>
      <c r="L133">
        <v>1234</v>
      </c>
      <c r="M133" s="1">
        <v>43343</v>
      </c>
      <c r="N133" t="s">
        <v>1263</v>
      </c>
      <c r="O133" t="s">
        <v>441</v>
      </c>
      <c r="P133">
        <v>1857</v>
      </c>
    </row>
    <row r="134" spans="1:17" x14ac:dyDescent="0.3">
      <c r="A134" t="s">
        <v>1264</v>
      </c>
      <c r="B134" t="s">
        <v>1265</v>
      </c>
      <c r="C134" t="s">
        <v>1266</v>
      </c>
      <c r="D134" t="s">
        <v>1267</v>
      </c>
      <c r="E134" t="s">
        <v>477</v>
      </c>
      <c r="F134" t="s">
        <v>1268</v>
      </c>
      <c r="I134" t="s">
        <v>1269</v>
      </c>
      <c r="J134">
        <v>9979932798</v>
      </c>
      <c r="K134" t="s">
        <v>1270</v>
      </c>
      <c r="L134">
        <v>1234</v>
      </c>
      <c r="M134" s="1">
        <v>43196</v>
      </c>
      <c r="N134" t="s">
        <v>16</v>
      </c>
      <c r="O134" t="s">
        <v>292</v>
      </c>
      <c r="P134">
        <v>36</v>
      </c>
      <c r="Q134" t="s">
        <v>1271</v>
      </c>
    </row>
    <row r="135" spans="1:17" x14ac:dyDescent="0.3">
      <c r="A135" t="s">
        <v>1272</v>
      </c>
      <c r="B135" t="s">
        <v>1273</v>
      </c>
      <c r="C135" t="s">
        <v>1274</v>
      </c>
      <c r="D135" t="s">
        <v>1275</v>
      </c>
      <c r="E135" t="s">
        <v>1276</v>
      </c>
      <c r="I135" t="s">
        <v>1277</v>
      </c>
      <c r="J135" t="s">
        <v>1278</v>
      </c>
      <c r="K135" t="s">
        <v>1279</v>
      </c>
      <c r="L135">
        <v>1234</v>
      </c>
      <c r="M135" s="1">
        <v>42947</v>
      </c>
      <c r="N135" t="s">
        <v>336</v>
      </c>
      <c r="O135" t="s">
        <v>515</v>
      </c>
      <c r="P135">
        <v>2359</v>
      </c>
    </row>
    <row r="136" spans="1:17" x14ac:dyDescent="0.3">
      <c r="A136" t="s">
        <v>1280</v>
      </c>
      <c r="B136" t="s">
        <v>1281</v>
      </c>
      <c r="C136" t="s">
        <v>1282</v>
      </c>
      <c r="D136" t="s">
        <v>1283</v>
      </c>
      <c r="E136" t="s">
        <v>1284</v>
      </c>
      <c r="F136" t="s">
        <v>1285</v>
      </c>
      <c r="G136">
        <v>15.1821984821855</v>
      </c>
      <c r="H136">
        <v>120.52875280380201</v>
      </c>
      <c r="I136" t="s">
        <v>1286</v>
      </c>
      <c r="J136">
        <v>9155994290</v>
      </c>
      <c r="K136" t="s">
        <v>1287</v>
      </c>
      <c r="L136">
        <v>1234</v>
      </c>
      <c r="M136" s="1">
        <v>43759</v>
      </c>
      <c r="N136" t="s">
        <v>763</v>
      </c>
      <c r="O136" t="s">
        <v>1288</v>
      </c>
      <c r="P136">
        <v>247</v>
      </c>
    </row>
    <row r="137" spans="1:17" x14ac:dyDescent="0.3">
      <c r="A137" t="s">
        <v>1289</v>
      </c>
      <c r="B137" t="s">
        <v>1290</v>
      </c>
      <c r="C137" t="s">
        <v>1291</v>
      </c>
      <c r="D137" t="s">
        <v>1292</v>
      </c>
      <c r="E137" t="s">
        <v>975</v>
      </c>
      <c r="F137" t="s">
        <v>1293</v>
      </c>
      <c r="G137">
        <v>15.178578699999999</v>
      </c>
      <c r="H137">
        <v>120.51842980000001</v>
      </c>
      <c r="I137" t="s">
        <v>1294</v>
      </c>
      <c r="J137">
        <v>4998548</v>
      </c>
      <c r="K137" t="s">
        <v>1295</v>
      </c>
      <c r="L137" t="s">
        <v>1296</v>
      </c>
      <c r="M137" s="1">
        <v>43373</v>
      </c>
      <c r="N137" t="s">
        <v>336</v>
      </c>
      <c r="O137" t="s">
        <v>515</v>
      </c>
      <c r="P137">
        <v>2354</v>
      </c>
      <c r="Q137" t="s">
        <v>1297</v>
      </c>
    </row>
    <row r="138" spans="1:17" x14ac:dyDescent="0.3">
      <c r="A138" t="s">
        <v>1298</v>
      </c>
      <c r="B138" t="s">
        <v>1299</v>
      </c>
      <c r="C138" t="s">
        <v>1300</v>
      </c>
      <c r="D138" t="s">
        <v>1301</v>
      </c>
      <c r="E138" t="s">
        <v>1302</v>
      </c>
      <c r="F138" t="s">
        <v>1303</v>
      </c>
      <c r="G138">
        <v>15.201643106872799</v>
      </c>
      <c r="H138">
        <v>120.531134605407</v>
      </c>
      <c r="I138" t="s">
        <v>1304</v>
      </c>
      <c r="J138">
        <v>9057587413</v>
      </c>
      <c r="K138" t="s">
        <v>1305</v>
      </c>
      <c r="L138">
        <v>1234</v>
      </c>
      <c r="M138" s="1">
        <v>43265</v>
      </c>
      <c r="N138" t="s">
        <v>16</v>
      </c>
      <c r="O138" t="s">
        <v>292</v>
      </c>
      <c r="P138">
        <v>2132</v>
      </c>
      <c r="Q138" t="s">
        <v>1306</v>
      </c>
    </row>
    <row r="139" spans="1:17" x14ac:dyDescent="0.3">
      <c r="A139" t="s">
        <v>1307</v>
      </c>
      <c r="B139" t="s">
        <v>1308</v>
      </c>
      <c r="C139" t="s">
        <v>1309</v>
      </c>
      <c r="D139" t="s">
        <v>1310</v>
      </c>
      <c r="E139" t="s">
        <v>1311</v>
      </c>
      <c r="F139" t="s">
        <v>1312</v>
      </c>
      <c r="G139">
        <v>15.178578699999999</v>
      </c>
      <c r="H139">
        <v>120.51842980000001</v>
      </c>
      <c r="I139" t="s">
        <v>1313</v>
      </c>
      <c r="J139" t="s">
        <v>1314</v>
      </c>
      <c r="K139" t="s">
        <v>1315</v>
      </c>
      <c r="L139" t="s">
        <v>1316</v>
      </c>
      <c r="M139" s="1">
        <v>42664</v>
      </c>
      <c r="N139" t="s">
        <v>779</v>
      </c>
      <c r="O139" t="s">
        <v>780</v>
      </c>
      <c r="P139">
        <v>1046</v>
      </c>
      <c r="Q139" t="s">
        <v>1317</v>
      </c>
    </row>
    <row r="140" spans="1:17" x14ac:dyDescent="0.3">
      <c r="A140" t="s">
        <v>1318</v>
      </c>
      <c r="B140" t="s">
        <v>1319</v>
      </c>
      <c r="C140" t="s">
        <v>1320</v>
      </c>
      <c r="D140" t="s">
        <v>1321</v>
      </c>
      <c r="E140" t="s">
        <v>1322</v>
      </c>
      <c r="F140" t="s">
        <v>1323</v>
      </c>
      <c r="G140">
        <v>15.1755301579574</v>
      </c>
      <c r="H140">
        <v>120.526671409606</v>
      </c>
      <c r="I140" t="s">
        <v>1324</v>
      </c>
      <c r="J140">
        <v>9188073583</v>
      </c>
      <c r="K140" t="s">
        <v>1325</v>
      </c>
      <c r="L140">
        <v>1234</v>
      </c>
      <c r="M140" s="1">
        <v>43708</v>
      </c>
      <c r="N140" t="s">
        <v>1326</v>
      </c>
      <c r="O140" t="s">
        <v>1327</v>
      </c>
      <c r="P140">
        <v>2429</v>
      </c>
      <c r="Q140" t="s">
        <v>1328</v>
      </c>
    </row>
    <row r="141" spans="1:17" x14ac:dyDescent="0.3">
      <c r="A141" t="s">
        <v>1329</v>
      </c>
      <c r="B141" t="s">
        <v>1330</v>
      </c>
      <c r="C141" t="s">
        <v>1331</v>
      </c>
      <c r="D141" t="s">
        <v>1332</v>
      </c>
      <c r="E141" t="s">
        <v>1194</v>
      </c>
      <c r="I141" t="s">
        <v>1333</v>
      </c>
      <c r="J141">
        <v>9985643753</v>
      </c>
      <c r="K141" t="s">
        <v>1334</v>
      </c>
      <c r="L141">
        <v>1234</v>
      </c>
      <c r="M141" s="1">
        <v>42855</v>
      </c>
      <c r="N141" t="s">
        <v>16</v>
      </c>
      <c r="O141" t="s">
        <v>292</v>
      </c>
      <c r="P141">
        <v>2157</v>
      </c>
    </row>
    <row r="142" spans="1:17" x14ac:dyDescent="0.3">
      <c r="A142" t="s">
        <v>1335</v>
      </c>
      <c r="B142" t="s">
        <v>1336</v>
      </c>
      <c r="C142" t="s">
        <v>1337</v>
      </c>
      <c r="D142" t="s">
        <v>1338</v>
      </c>
      <c r="E142" t="s">
        <v>1339</v>
      </c>
      <c r="F142" t="s">
        <v>1340</v>
      </c>
      <c r="G142">
        <v>15.178578699999999</v>
      </c>
      <c r="H142">
        <v>120.51842980000001</v>
      </c>
      <c r="I142" t="s">
        <v>1341</v>
      </c>
      <c r="J142">
        <v>9752563874</v>
      </c>
      <c r="K142" t="s">
        <v>1342</v>
      </c>
      <c r="L142">
        <v>1234</v>
      </c>
      <c r="M142" s="1">
        <v>43616</v>
      </c>
      <c r="N142" t="s">
        <v>369</v>
      </c>
      <c r="O142" t="s">
        <v>370</v>
      </c>
      <c r="P142">
        <v>2410</v>
      </c>
      <c r="Q142" t="s">
        <v>1343</v>
      </c>
    </row>
    <row r="143" spans="1:17" x14ac:dyDescent="0.3">
      <c r="A143" t="s">
        <v>1344</v>
      </c>
      <c r="B143" t="s">
        <v>1345</v>
      </c>
      <c r="C143" t="s">
        <v>1346</v>
      </c>
      <c r="D143" t="s">
        <v>1347</v>
      </c>
      <c r="E143" t="s">
        <v>1348</v>
      </c>
      <c r="I143" t="s">
        <v>1349</v>
      </c>
      <c r="J143" t="s">
        <v>1350</v>
      </c>
      <c r="K143" t="s">
        <v>1351</v>
      </c>
      <c r="L143" t="s">
        <v>1352</v>
      </c>
      <c r="M143" s="1">
        <v>42947</v>
      </c>
      <c r="O143" t="s">
        <v>1353</v>
      </c>
      <c r="P143">
        <v>1922</v>
      </c>
    </row>
    <row r="144" spans="1:17" x14ac:dyDescent="0.3">
      <c r="A144" t="s">
        <v>1354</v>
      </c>
      <c r="K144" t="s">
        <v>1355</v>
      </c>
      <c r="L144" t="s">
        <v>1356</v>
      </c>
      <c r="M144" s="1">
        <v>43647</v>
      </c>
      <c r="N144" t="s">
        <v>336</v>
      </c>
      <c r="O144" t="s">
        <v>441</v>
      </c>
      <c r="P144">
        <v>885</v>
      </c>
    </row>
    <row r="145" spans="1:17" x14ac:dyDescent="0.3">
      <c r="A145" t="s">
        <v>1357</v>
      </c>
      <c r="K145" t="s">
        <v>1358</v>
      </c>
      <c r="L145">
        <v>1234</v>
      </c>
      <c r="M145" s="1">
        <v>42669</v>
      </c>
      <c r="N145" t="s">
        <v>398</v>
      </c>
      <c r="O145" t="s">
        <v>752</v>
      </c>
      <c r="P145">
        <v>2301</v>
      </c>
    </row>
    <row r="146" spans="1:17" x14ac:dyDescent="0.3">
      <c r="A146" t="s">
        <v>1359</v>
      </c>
      <c r="B146" t="s">
        <v>620</v>
      </c>
      <c r="C146" t="s">
        <v>1360</v>
      </c>
      <c r="D146" t="s">
        <v>426</v>
      </c>
      <c r="E146" t="s">
        <v>135</v>
      </c>
      <c r="F146" t="s">
        <v>1361</v>
      </c>
      <c r="G146">
        <v>15.178578699999999</v>
      </c>
      <c r="H146">
        <v>120.51842980000001</v>
      </c>
      <c r="I146" t="s">
        <v>1362</v>
      </c>
      <c r="J146">
        <v>5997173</v>
      </c>
      <c r="K146" t="s">
        <v>1363</v>
      </c>
      <c r="L146" t="s">
        <v>1364</v>
      </c>
      <c r="M146" s="1">
        <v>43814</v>
      </c>
      <c r="N146" t="s">
        <v>16</v>
      </c>
      <c r="O146" t="s">
        <v>17</v>
      </c>
      <c r="P146">
        <v>1119</v>
      </c>
    </row>
    <row r="147" spans="1:17" x14ac:dyDescent="0.3">
      <c r="A147" t="s">
        <v>1365</v>
      </c>
      <c r="B147" t="s">
        <v>1366</v>
      </c>
      <c r="C147" t="s">
        <v>1367</v>
      </c>
      <c r="D147" t="s">
        <v>259</v>
      </c>
      <c r="E147" t="s">
        <v>1080</v>
      </c>
      <c r="F147" t="s">
        <v>1368</v>
      </c>
      <c r="G147">
        <v>15.178578699999999</v>
      </c>
      <c r="H147">
        <v>120.51842980000001</v>
      </c>
      <c r="I147" t="s">
        <v>1369</v>
      </c>
      <c r="J147">
        <v>9175105226</v>
      </c>
      <c r="K147" t="s">
        <v>1370</v>
      </c>
      <c r="L147">
        <v>1234</v>
      </c>
      <c r="M147" s="1">
        <v>43015</v>
      </c>
      <c r="N147" t="s">
        <v>398</v>
      </c>
      <c r="O147" t="s">
        <v>582</v>
      </c>
      <c r="P147">
        <v>1987</v>
      </c>
    </row>
    <row r="148" spans="1:17" x14ac:dyDescent="0.3">
      <c r="A148" t="s">
        <v>1371</v>
      </c>
      <c r="B148" t="s">
        <v>1372</v>
      </c>
      <c r="C148" t="s">
        <v>1373</v>
      </c>
      <c r="D148" t="s">
        <v>703</v>
      </c>
      <c r="E148" t="s">
        <v>1062</v>
      </c>
      <c r="F148" t="s">
        <v>1374</v>
      </c>
      <c r="G148">
        <v>15.1755508673648</v>
      </c>
      <c r="H148">
        <v>120.529536008834</v>
      </c>
      <c r="I148" t="s">
        <v>1375</v>
      </c>
      <c r="J148">
        <v>454993243</v>
      </c>
      <c r="K148" t="s">
        <v>1376</v>
      </c>
      <c r="L148" t="s">
        <v>1377</v>
      </c>
      <c r="M148" s="1">
        <v>43555</v>
      </c>
      <c r="N148" t="s">
        <v>1378</v>
      </c>
      <c r="O148" t="s">
        <v>1326</v>
      </c>
      <c r="P148">
        <v>2070</v>
      </c>
      <c r="Q148" t="s">
        <v>1379</v>
      </c>
    </row>
    <row r="149" spans="1:17" x14ac:dyDescent="0.3">
      <c r="A149" t="s">
        <v>1380</v>
      </c>
      <c r="B149" t="s">
        <v>1381</v>
      </c>
      <c r="C149" t="s">
        <v>1382</v>
      </c>
      <c r="D149" t="s">
        <v>1383</v>
      </c>
      <c r="E149" t="s">
        <v>1384</v>
      </c>
      <c r="F149" t="s">
        <v>1385</v>
      </c>
      <c r="G149">
        <v>15.178578699999999</v>
      </c>
      <c r="H149">
        <v>120.51842980000001</v>
      </c>
      <c r="I149" t="s">
        <v>1386</v>
      </c>
      <c r="J149">
        <v>9328742190</v>
      </c>
      <c r="K149" t="s">
        <v>1387</v>
      </c>
      <c r="L149">
        <v>2109</v>
      </c>
      <c r="M149" s="1">
        <v>43465</v>
      </c>
      <c r="N149" t="s">
        <v>369</v>
      </c>
      <c r="O149" t="s">
        <v>1388</v>
      </c>
      <c r="P149">
        <v>2320</v>
      </c>
      <c r="Q149" t="s">
        <v>1389</v>
      </c>
    </row>
    <row r="150" spans="1:17" x14ac:dyDescent="0.3">
      <c r="A150" t="s">
        <v>1390</v>
      </c>
      <c r="B150" t="s">
        <v>1391</v>
      </c>
      <c r="C150" t="s">
        <v>1392</v>
      </c>
      <c r="D150" t="s">
        <v>177</v>
      </c>
      <c r="E150" t="s">
        <v>1393</v>
      </c>
      <c r="F150" t="s">
        <v>1394</v>
      </c>
      <c r="G150">
        <v>15.177109244443701</v>
      </c>
      <c r="H150">
        <v>120.52851676940899</v>
      </c>
      <c r="I150" t="s">
        <v>1395</v>
      </c>
      <c r="J150" t="s">
        <v>1396</v>
      </c>
      <c r="K150" t="s">
        <v>1397</v>
      </c>
      <c r="L150">
        <v>1234</v>
      </c>
      <c r="M150" s="1">
        <v>43785</v>
      </c>
      <c r="N150" t="s">
        <v>710</v>
      </c>
      <c r="O150" t="s">
        <v>789</v>
      </c>
      <c r="P150">
        <v>1318</v>
      </c>
    </row>
    <row r="151" spans="1:17" x14ac:dyDescent="0.3">
      <c r="A151" t="s">
        <v>1398</v>
      </c>
      <c r="B151" t="s">
        <v>1399</v>
      </c>
      <c r="C151" t="s">
        <v>1400</v>
      </c>
      <c r="D151" t="s">
        <v>585</v>
      </c>
      <c r="E151" t="s">
        <v>1401</v>
      </c>
      <c r="F151" t="s">
        <v>1402</v>
      </c>
      <c r="G151">
        <v>15.193546574602999</v>
      </c>
      <c r="H151">
        <v>120.531756877899</v>
      </c>
      <c r="I151" t="s">
        <v>1403</v>
      </c>
      <c r="J151">
        <v>9059990768</v>
      </c>
      <c r="K151" t="s">
        <v>1404</v>
      </c>
      <c r="L151">
        <v>1234</v>
      </c>
      <c r="M151" s="1">
        <v>43704</v>
      </c>
      <c r="N151" t="s">
        <v>398</v>
      </c>
      <c r="O151" t="s">
        <v>1161</v>
      </c>
      <c r="P151">
        <v>1737</v>
      </c>
      <c r="Q151" t="s">
        <v>1405</v>
      </c>
    </row>
    <row r="152" spans="1:17" x14ac:dyDescent="0.3">
      <c r="A152" t="s">
        <v>1406</v>
      </c>
      <c r="B152" t="s">
        <v>236</v>
      </c>
      <c r="C152" t="s">
        <v>1407</v>
      </c>
      <c r="D152" t="s">
        <v>1408</v>
      </c>
      <c r="E152" t="s">
        <v>1409</v>
      </c>
      <c r="F152" t="s">
        <v>1410</v>
      </c>
      <c r="G152">
        <v>15.1937536509121</v>
      </c>
      <c r="H152">
        <v>15.532035827636699</v>
      </c>
      <c r="I152" t="s">
        <v>1403</v>
      </c>
      <c r="J152">
        <v>9755097649</v>
      </c>
      <c r="K152" t="s">
        <v>1411</v>
      </c>
      <c r="L152">
        <v>1234</v>
      </c>
      <c r="M152" s="1">
        <v>43116</v>
      </c>
      <c r="N152" t="s">
        <v>398</v>
      </c>
      <c r="O152" t="s">
        <v>582</v>
      </c>
      <c r="P152">
        <v>1823</v>
      </c>
    </row>
    <row r="153" spans="1:17" x14ac:dyDescent="0.3">
      <c r="A153" t="s">
        <v>1412</v>
      </c>
      <c r="K153" t="s">
        <v>1413</v>
      </c>
      <c r="L153">
        <v>1234</v>
      </c>
      <c r="M153" s="1">
        <v>43853</v>
      </c>
      <c r="N153" t="s">
        <v>398</v>
      </c>
      <c r="O153" t="s">
        <v>752</v>
      </c>
      <c r="P153">
        <v>1906</v>
      </c>
    </row>
    <row r="154" spans="1:17" x14ac:dyDescent="0.3">
      <c r="A154" t="s">
        <v>1414</v>
      </c>
      <c r="B154" t="s">
        <v>1415</v>
      </c>
      <c r="C154" t="s">
        <v>1416</v>
      </c>
      <c r="D154" t="s">
        <v>1417</v>
      </c>
      <c r="E154" t="s">
        <v>1418</v>
      </c>
      <c r="F154" t="s">
        <v>1419</v>
      </c>
      <c r="G154">
        <v>15.1185301865964</v>
      </c>
      <c r="H154">
        <v>120.39779663085901</v>
      </c>
      <c r="I154" t="s">
        <v>1420</v>
      </c>
      <c r="J154" t="s">
        <v>1421</v>
      </c>
      <c r="K154" t="s">
        <v>1422</v>
      </c>
      <c r="L154" t="s">
        <v>1423</v>
      </c>
      <c r="M154" s="1">
        <v>42978</v>
      </c>
      <c r="N154" t="s">
        <v>304</v>
      </c>
      <c r="O154" t="s">
        <v>305</v>
      </c>
      <c r="P154">
        <v>1919</v>
      </c>
    </row>
    <row r="155" spans="1:17" x14ac:dyDescent="0.3">
      <c r="A155" t="s">
        <v>1424</v>
      </c>
      <c r="B155" t="s">
        <v>1425</v>
      </c>
      <c r="C155" t="s">
        <v>1426</v>
      </c>
      <c r="D155" t="s">
        <v>1427</v>
      </c>
      <c r="E155" t="s">
        <v>1110</v>
      </c>
      <c r="F155" t="s">
        <v>1428</v>
      </c>
      <c r="G155">
        <v>15.178578699999999</v>
      </c>
      <c r="H155">
        <v>120.51842980000001</v>
      </c>
      <c r="I155" t="s">
        <v>1429</v>
      </c>
      <c r="J155">
        <v>9188070223</v>
      </c>
      <c r="K155" t="s">
        <v>1430</v>
      </c>
      <c r="L155" t="s">
        <v>1431</v>
      </c>
      <c r="M155" s="1">
        <v>43131</v>
      </c>
      <c r="N155" t="s">
        <v>304</v>
      </c>
      <c r="O155" t="s">
        <v>323</v>
      </c>
      <c r="P155">
        <v>947</v>
      </c>
    </row>
    <row r="156" spans="1:17" x14ac:dyDescent="0.3">
      <c r="A156" t="s">
        <v>1432</v>
      </c>
      <c r="B156" t="s">
        <v>1433</v>
      </c>
      <c r="C156" t="s">
        <v>1434</v>
      </c>
      <c r="D156" t="s">
        <v>1435</v>
      </c>
      <c r="E156" t="s">
        <v>1276</v>
      </c>
      <c r="F156" t="s">
        <v>1436</v>
      </c>
      <c r="G156">
        <v>15.178578699999999</v>
      </c>
      <c r="H156">
        <v>120.51842980000001</v>
      </c>
      <c r="I156" t="s">
        <v>1437</v>
      </c>
      <c r="J156">
        <v>9174654195</v>
      </c>
      <c r="K156" t="s">
        <v>1438</v>
      </c>
      <c r="L156">
        <v>1234</v>
      </c>
      <c r="M156" s="1">
        <v>42947</v>
      </c>
      <c r="N156" t="s">
        <v>398</v>
      </c>
      <c r="O156" t="s">
        <v>685</v>
      </c>
      <c r="P156">
        <v>2193</v>
      </c>
    </row>
    <row r="157" spans="1:17" x14ac:dyDescent="0.3">
      <c r="A157" t="s">
        <v>1439</v>
      </c>
      <c r="B157" t="s">
        <v>1440</v>
      </c>
      <c r="C157" t="s">
        <v>1441</v>
      </c>
      <c r="D157" t="s">
        <v>1442</v>
      </c>
      <c r="E157" t="s">
        <v>1443</v>
      </c>
      <c r="F157" t="s">
        <v>1444</v>
      </c>
      <c r="G157">
        <v>15.175726897245401</v>
      </c>
      <c r="H157">
        <v>120.528017878532</v>
      </c>
      <c r="I157" t="s">
        <v>1445</v>
      </c>
      <c r="J157" t="s">
        <v>1446</v>
      </c>
      <c r="K157" t="s">
        <v>1447</v>
      </c>
      <c r="L157" t="s">
        <v>1448</v>
      </c>
      <c r="M157" s="1">
        <v>43496</v>
      </c>
      <c r="N157" t="s">
        <v>304</v>
      </c>
      <c r="O157" t="s">
        <v>323</v>
      </c>
      <c r="P157">
        <v>1580</v>
      </c>
      <c r="Q157" t="s">
        <v>1449</v>
      </c>
    </row>
    <row r="158" spans="1:17" x14ac:dyDescent="0.3">
      <c r="A158" t="s">
        <v>1450</v>
      </c>
      <c r="B158" t="s">
        <v>1451</v>
      </c>
      <c r="C158" t="s">
        <v>1452</v>
      </c>
      <c r="D158" t="s">
        <v>1453</v>
      </c>
      <c r="E158" t="s">
        <v>1454</v>
      </c>
      <c r="F158" t="s">
        <v>1455</v>
      </c>
      <c r="G158">
        <v>15.178578699999999</v>
      </c>
      <c r="H158">
        <v>120.51842980000001</v>
      </c>
      <c r="I158" t="s">
        <v>1456</v>
      </c>
      <c r="J158" t="s">
        <v>1457</v>
      </c>
      <c r="K158" t="s">
        <v>1458</v>
      </c>
      <c r="L158">
        <v>1234</v>
      </c>
      <c r="M158" s="1">
        <v>42809</v>
      </c>
      <c r="N158" t="s">
        <v>16</v>
      </c>
      <c r="O158" t="s">
        <v>17</v>
      </c>
      <c r="P158">
        <v>1200</v>
      </c>
    </row>
    <row r="159" spans="1:17" x14ac:dyDescent="0.3">
      <c r="A159" t="s">
        <v>1459</v>
      </c>
      <c r="B159" t="s">
        <v>1460</v>
      </c>
      <c r="C159" t="s">
        <v>1461</v>
      </c>
      <c r="D159" t="s">
        <v>1462</v>
      </c>
      <c r="E159" t="s">
        <v>1110</v>
      </c>
      <c r="F159" t="s">
        <v>1463</v>
      </c>
      <c r="G159">
        <v>15.178578699999999</v>
      </c>
      <c r="H159">
        <v>120.51842980000001</v>
      </c>
      <c r="I159" t="s">
        <v>1464</v>
      </c>
      <c r="J159" t="s">
        <v>1465</v>
      </c>
      <c r="K159" t="s">
        <v>1466</v>
      </c>
      <c r="L159">
        <v>1234</v>
      </c>
      <c r="M159" s="1">
        <v>43708</v>
      </c>
      <c r="N159" t="s">
        <v>871</v>
      </c>
      <c r="O159" t="s">
        <v>1115</v>
      </c>
      <c r="P159">
        <v>1756</v>
      </c>
    </row>
    <row r="160" spans="1:17" x14ac:dyDescent="0.3">
      <c r="A160" t="s">
        <v>1467</v>
      </c>
      <c r="B160" t="s">
        <v>415</v>
      </c>
      <c r="C160" t="s">
        <v>1468</v>
      </c>
      <c r="D160" t="s">
        <v>1469</v>
      </c>
      <c r="E160" t="s">
        <v>1470</v>
      </c>
      <c r="F160" t="s">
        <v>1471</v>
      </c>
      <c r="G160">
        <v>15.178578699999999</v>
      </c>
      <c r="H160">
        <v>120.51842980000001</v>
      </c>
      <c r="I160" t="s">
        <v>1472</v>
      </c>
      <c r="J160">
        <v>9557500732</v>
      </c>
      <c r="K160" t="s">
        <v>1473</v>
      </c>
      <c r="L160" t="s">
        <v>1474</v>
      </c>
      <c r="M160" s="1">
        <v>42840</v>
      </c>
      <c r="N160" t="s">
        <v>398</v>
      </c>
      <c r="O160" t="s">
        <v>853</v>
      </c>
      <c r="P160">
        <v>2392</v>
      </c>
    </row>
    <row r="161" spans="1:17" x14ac:dyDescent="0.3">
      <c r="A161" t="s">
        <v>1475</v>
      </c>
      <c r="B161" t="s">
        <v>1476</v>
      </c>
      <c r="C161" t="s">
        <v>1477</v>
      </c>
      <c r="D161" t="s">
        <v>1478</v>
      </c>
      <c r="E161" t="s">
        <v>1339</v>
      </c>
      <c r="F161" t="s">
        <v>1479</v>
      </c>
      <c r="G161">
        <v>15.180536598097699</v>
      </c>
      <c r="H161">
        <v>120.511940717697</v>
      </c>
      <c r="I161" t="s">
        <v>1480</v>
      </c>
      <c r="J161">
        <v>9761051219</v>
      </c>
      <c r="K161" t="s">
        <v>1481</v>
      </c>
      <c r="L161">
        <v>1234</v>
      </c>
      <c r="M161" s="1">
        <v>43842</v>
      </c>
      <c r="N161" t="s">
        <v>779</v>
      </c>
      <c r="O161" t="s">
        <v>780</v>
      </c>
      <c r="P161">
        <v>2434</v>
      </c>
    </row>
    <row r="162" spans="1:17" x14ac:dyDescent="0.3">
      <c r="A162" t="s">
        <v>1482</v>
      </c>
      <c r="B162" t="s">
        <v>1483</v>
      </c>
      <c r="C162" t="s">
        <v>1484</v>
      </c>
      <c r="D162" t="s">
        <v>1485</v>
      </c>
      <c r="E162" t="s">
        <v>1146</v>
      </c>
      <c r="F162" t="s">
        <v>1486</v>
      </c>
      <c r="G162">
        <v>15.178578699999999</v>
      </c>
      <c r="H162">
        <v>120.51842980000001</v>
      </c>
      <c r="I162" t="s">
        <v>1487</v>
      </c>
      <c r="J162" t="s">
        <v>1488</v>
      </c>
      <c r="K162" t="s">
        <v>1489</v>
      </c>
      <c r="L162">
        <v>1234</v>
      </c>
      <c r="M162" s="1">
        <v>42946</v>
      </c>
      <c r="N162" t="s">
        <v>336</v>
      </c>
      <c r="O162" t="s">
        <v>515</v>
      </c>
      <c r="P162">
        <v>1942</v>
      </c>
    </row>
    <row r="163" spans="1:17" x14ac:dyDescent="0.3">
      <c r="A163" t="s">
        <v>1490</v>
      </c>
      <c r="B163" t="s">
        <v>1491</v>
      </c>
      <c r="C163" t="s">
        <v>1492</v>
      </c>
      <c r="D163" t="s">
        <v>1493</v>
      </c>
      <c r="E163" t="s">
        <v>1494</v>
      </c>
      <c r="F163" t="s">
        <v>1495</v>
      </c>
      <c r="G163">
        <v>15.1785640644956</v>
      </c>
      <c r="H163">
        <v>120.518447756767</v>
      </c>
      <c r="I163" t="s">
        <v>1496</v>
      </c>
      <c r="J163" t="s">
        <v>1497</v>
      </c>
      <c r="K163" t="s">
        <v>1498</v>
      </c>
      <c r="L163" t="s">
        <v>1499</v>
      </c>
      <c r="M163" s="1">
        <v>42735</v>
      </c>
      <c r="N163" t="s">
        <v>871</v>
      </c>
      <c r="O163" t="s">
        <v>458</v>
      </c>
      <c r="P163">
        <v>981</v>
      </c>
      <c r="Q163" t="s">
        <v>1500</v>
      </c>
    </row>
    <row r="164" spans="1:17" x14ac:dyDescent="0.3">
      <c r="A164" t="s">
        <v>1501</v>
      </c>
      <c r="B164" t="s">
        <v>1502</v>
      </c>
      <c r="C164" t="s">
        <v>1503</v>
      </c>
      <c r="D164" t="s">
        <v>1504</v>
      </c>
      <c r="E164" t="s">
        <v>1505</v>
      </c>
      <c r="F164" t="s">
        <v>1506</v>
      </c>
      <c r="G164">
        <v>15.178578699999999</v>
      </c>
      <c r="H164">
        <v>120.51842980000001</v>
      </c>
      <c r="I164" t="s">
        <v>1507</v>
      </c>
      <c r="J164" t="s">
        <v>1508</v>
      </c>
      <c r="K164" t="s">
        <v>1509</v>
      </c>
      <c r="L164" t="s">
        <v>1510</v>
      </c>
      <c r="M164" s="1">
        <v>43585</v>
      </c>
      <c r="N164" t="s">
        <v>369</v>
      </c>
      <c r="O164" t="s">
        <v>370</v>
      </c>
      <c r="P164">
        <v>1816</v>
      </c>
    </row>
    <row r="165" spans="1:17" x14ac:dyDescent="0.3">
      <c r="A165" t="s">
        <v>1511</v>
      </c>
      <c r="B165" t="s">
        <v>1442</v>
      </c>
      <c r="C165" t="s">
        <v>7</v>
      </c>
      <c r="D165" t="s">
        <v>1512</v>
      </c>
      <c r="E165" t="s">
        <v>680</v>
      </c>
      <c r="I165" t="s">
        <v>1513</v>
      </c>
      <c r="J165">
        <v>9175021724</v>
      </c>
      <c r="K165" t="s">
        <v>1514</v>
      </c>
      <c r="L165" t="s">
        <v>1515</v>
      </c>
      <c r="M165" s="1">
        <v>42886</v>
      </c>
      <c r="N165" t="s">
        <v>398</v>
      </c>
      <c r="O165" t="s">
        <v>752</v>
      </c>
      <c r="P165">
        <v>1536</v>
      </c>
    </row>
    <row r="166" spans="1:17" x14ac:dyDescent="0.3">
      <c r="A166" t="s">
        <v>1516</v>
      </c>
      <c r="B166" t="s">
        <v>1517</v>
      </c>
      <c r="C166" t="s">
        <v>1518</v>
      </c>
      <c r="D166" t="s">
        <v>1519</v>
      </c>
      <c r="E166" t="s">
        <v>833</v>
      </c>
      <c r="F166" t="s">
        <v>1520</v>
      </c>
      <c r="G166">
        <v>15.172858627384899</v>
      </c>
      <c r="H166">
        <v>120.52338838577199</v>
      </c>
      <c r="I166" t="s">
        <v>1521</v>
      </c>
      <c r="J166" t="s">
        <v>1522</v>
      </c>
      <c r="K166" t="s">
        <v>1523</v>
      </c>
      <c r="L166">
        <v>1234</v>
      </c>
      <c r="M166" s="1">
        <v>43251</v>
      </c>
      <c r="N166" t="s">
        <v>304</v>
      </c>
      <c r="O166" t="s">
        <v>1524</v>
      </c>
      <c r="P166">
        <v>1541</v>
      </c>
    </row>
    <row r="167" spans="1:17" x14ac:dyDescent="0.3">
      <c r="A167" t="s">
        <v>1525</v>
      </c>
      <c r="B167" t="s">
        <v>1526</v>
      </c>
      <c r="C167" t="s">
        <v>1527</v>
      </c>
      <c r="D167" t="s">
        <v>1528</v>
      </c>
      <c r="E167" t="s">
        <v>1529</v>
      </c>
      <c r="F167" t="s">
        <v>1530</v>
      </c>
      <c r="G167">
        <v>15.1725479821026</v>
      </c>
      <c r="H167">
        <v>120.52578091621299</v>
      </c>
      <c r="I167" t="s">
        <v>1531</v>
      </c>
      <c r="J167" t="s">
        <v>1532</v>
      </c>
      <c r="K167" t="s">
        <v>1533</v>
      </c>
      <c r="L167">
        <v>1234</v>
      </c>
      <c r="M167" s="1">
        <v>43797</v>
      </c>
      <c r="N167" t="s">
        <v>16</v>
      </c>
      <c r="O167" t="s">
        <v>292</v>
      </c>
      <c r="P167">
        <v>1592</v>
      </c>
      <c r="Q167" t="s">
        <v>1534</v>
      </c>
    </row>
    <row r="168" spans="1:17" x14ac:dyDescent="0.3">
      <c r="A168" t="s">
        <v>1535</v>
      </c>
      <c r="B168" t="s">
        <v>1536</v>
      </c>
      <c r="C168" t="s">
        <v>1537</v>
      </c>
      <c r="D168" t="s">
        <v>1538</v>
      </c>
      <c r="E168" t="s">
        <v>1539</v>
      </c>
      <c r="I168" t="s">
        <v>1540</v>
      </c>
      <c r="J168" t="s">
        <v>1541</v>
      </c>
      <c r="K168" t="s">
        <v>1542</v>
      </c>
      <c r="L168">
        <v>1234</v>
      </c>
      <c r="M168" s="1">
        <v>42004</v>
      </c>
      <c r="N168" t="s">
        <v>398</v>
      </c>
      <c r="O168" t="s">
        <v>853</v>
      </c>
      <c r="P168">
        <v>1253</v>
      </c>
    </row>
    <row r="169" spans="1:17" x14ac:dyDescent="0.3">
      <c r="A169" t="s">
        <v>1543</v>
      </c>
      <c r="B169" t="s">
        <v>1544</v>
      </c>
      <c r="C169" t="s">
        <v>1545</v>
      </c>
      <c r="D169" t="s">
        <v>1546</v>
      </c>
      <c r="E169" t="s">
        <v>1547</v>
      </c>
      <c r="F169" t="s">
        <v>1548</v>
      </c>
      <c r="G169">
        <v>15.178578699999999</v>
      </c>
      <c r="H169">
        <v>120.51842980000001</v>
      </c>
      <c r="I169" t="s">
        <v>1549</v>
      </c>
      <c r="J169" t="s">
        <v>1550</v>
      </c>
      <c r="K169" t="s">
        <v>1551</v>
      </c>
      <c r="L169">
        <v>1234</v>
      </c>
      <c r="M169" s="1">
        <v>42916</v>
      </c>
      <c r="N169" t="s">
        <v>304</v>
      </c>
      <c r="O169" t="s">
        <v>323</v>
      </c>
      <c r="P169">
        <v>888</v>
      </c>
    </row>
    <row r="170" spans="1:17" x14ac:dyDescent="0.3">
      <c r="A170" t="s">
        <v>1552</v>
      </c>
      <c r="B170" t="s">
        <v>1553</v>
      </c>
      <c r="C170" t="s">
        <v>1554</v>
      </c>
      <c r="D170" t="s">
        <v>1555</v>
      </c>
      <c r="E170" t="s">
        <v>1556</v>
      </c>
      <c r="F170" t="s">
        <v>1557</v>
      </c>
      <c r="G170">
        <v>15.178578699999999</v>
      </c>
      <c r="H170">
        <v>120.51842980000001</v>
      </c>
      <c r="I170" t="s">
        <v>1558</v>
      </c>
      <c r="J170" t="s">
        <v>1559</v>
      </c>
      <c r="K170" t="s">
        <v>1560</v>
      </c>
      <c r="L170" t="s">
        <v>1561</v>
      </c>
      <c r="M170" s="1">
        <v>43642</v>
      </c>
      <c r="N170" t="s">
        <v>779</v>
      </c>
      <c r="O170" t="s">
        <v>1049</v>
      </c>
      <c r="P170">
        <v>889</v>
      </c>
    </row>
    <row r="171" spans="1:17" x14ac:dyDescent="0.3">
      <c r="A171" t="s">
        <v>1562</v>
      </c>
      <c r="B171" t="s">
        <v>1563</v>
      </c>
      <c r="C171" t="s">
        <v>1564</v>
      </c>
      <c r="D171" t="s">
        <v>1555</v>
      </c>
      <c r="E171" t="s">
        <v>1556</v>
      </c>
      <c r="F171" t="s">
        <v>1557</v>
      </c>
      <c r="G171">
        <v>15.178578699999999</v>
      </c>
      <c r="H171">
        <v>120.51842980000001</v>
      </c>
      <c r="I171" t="s">
        <v>1565</v>
      </c>
      <c r="J171" t="s">
        <v>1566</v>
      </c>
      <c r="K171" t="s">
        <v>1567</v>
      </c>
      <c r="L171">
        <v>1234</v>
      </c>
      <c r="M171" s="1">
        <v>42916</v>
      </c>
      <c r="N171" t="s">
        <v>779</v>
      </c>
      <c r="O171" t="s">
        <v>1049</v>
      </c>
      <c r="P171">
        <v>1927</v>
      </c>
    </row>
    <row r="172" spans="1:17" x14ac:dyDescent="0.3">
      <c r="A172" t="s">
        <v>1568</v>
      </c>
      <c r="B172" t="s">
        <v>1569</v>
      </c>
      <c r="C172" t="s">
        <v>1570</v>
      </c>
      <c r="D172" t="s">
        <v>1571</v>
      </c>
      <c r="E172" t="s">
        <v>1572</v>
      </c>
      <c r="F172" t="s">
        <v>1573</v>
      </c>
      <c r="G172">
        <v>15.178578699999999</v>
      </c>
      <c r="H172">
        <v>120.51842980000001</v>
      </c>
      <c r="I172" t="s">
        <v>1574</v>
      </c>
      <c r="J172">
        <v>9176241992</v>
      </c>
      <c r="K172" t="s">
        <v>1575</v>
      </c>
      <c r="L172" t="s">
        <v>1576</v>
      </c>
      <c r="M172" s="1">
        <v>43782</v>
      </c>
      <c r="N172" t="s">
        <v>16</v>
      </c>
      <c r="O172" t="s">
        <v>412</v>
      </c>
      <c r="P172">
        <v>54</v>
      </c>
    </row>
    <row r="173" spans="1:17" x14ac:dyDescent="0.3">
      <c r="A173" t="s">
        <v>1577</v>
      </c>
      <c r="B173" t="s">
        <v>415</v>
      </c>
      <c r="C173" t="s">
        <v>1578</v>
      </c>
      <c r="D173" t="s">
        <v>1579</v>
      </c>
      <c r="E173" t="s">
        <v>784</v>
      </c>
      <c r="F173" t="s">
        <v>1580</v>
      </c>
      <c r="G173">
        <v>15.178578699999999</v>
      </c>
      <c r="H173">
        <v>120.51842980000001</v>
      </c>
      <c r="I173" t="s">
        <v>1581</v>
      </c>
      <c r="J173" t="s">
        <v>1582</v>
      </c>
      <c r="K173" t="s">
        <v>1583</v>
      </c>
      <c r="L173">
        <v>1234</v>
      </c>
      <c r="M173" s="1">
        <v>43615</v>
      </c>
      <c r="N173" t="s">
        <v>710</v>
      </c>
      <c r="O173" t="s">
        <v>789</v>
      </c>
      <c r="P173">
        <v>2383</v>
      </c>
    </row>
    <row r="174" spans="1:17" x14ac:dyDescent="0.3">
      <c r="A174" t="s">
        <v>1584</v>
      </c>
      <c r="B174" t="s">
        <v>1585</v>
      </c>
      <c r="C174" t="s">
        <v>1586</v>
      </c>
      <c r="D174" t="s">
        <v>1587</v>
      </c>
      <c r="E174" t="s">
        <v>212</v>
      </c>
      <c r="F174" t="s">
        <v>1588</v>
      </c>
      <c r="G174">
        <v>15.178578699999999</v>
      </c>
      <c r="H174">
        <v>120.51842980000001</v>
      </c>
      <c r="I174" t="s">
        <v>1589</v>
      </c>
      <c r="J174" t="s">
        <v>1590</v>
      </c>
      <c r="K174" t="s">
        <v>1591</v>
      </c>
      <c r="L174" t="s">
        <v>1592</v>
      </c>
      <c r="M174" s="1">
        <v>42735</v>
      </c>
      <c r="N174" t="s">
        <v>398</v>
      </c>
      <c r="O174" t="s">
        <v>685</v>
      </c>
      <c r="P174">
        <v>1141</v>
      </c>
    </row>
    <row r="175" spans="1:17" x14ac:dyDescent="0.3">
      <c r="A175" t="s">
        <v>1593</v>
      </c>
      <c r="B175" t="s">
        <v>1594</v>
      </c>
      <c r="C175" t="s">
        <v>1595</v>
      </c>
      <c r="D175" t="s">
        <v>1596</v>
      </c>
      <c r="E175" t="s">
        <v>1597</v>
      </c>
      <c r="F175" t="s">
        <v>1598</v>
      </c>
      <c r="G175">
        <v>15.178578699999999</v>
      </c>
      <c r="H175">
        <v>120.51842980000001</v>
      </c>
      <c r="I175" t="s">
        <v>1599</v>
      </c>
      <c r="J175" t="s">
        <v>1600</v>
      </c>
      <c r="K175" t="s">
        <v>1601</v>
      </c>
      <c r="L175">
        <v>1234</v>
      </c>
      <c r="M175" s="1">
        <v>43434</v>
      </c>
      <c r="N175" t="s">
        <v>369</v>
      </c>
      <c r="O175" t="s">
        <v>370</v>
      </c>
      <c r="P175">
        <v>1101</v>
      </c>
    </row>
    <row r="176" spans="1:17" x14ac:dyDescent="0.3">
      <c r="A176" t="s">
        <v>1602</v>
      </c>
      <c r="B176" t="s">
        <v>1603</v>
      </c>
      <c r="C176" t="s">
        <v>1604</v>
      </c>
      <c r="D176" t="s">
        <v>1605</v>
      </c>
      <c r="E176" t="s">
        <v>477</v>
      </c>
      <c r="F176" t="s">
        <v>1606</v>
      </c>
      <c r="G176">
        <v>15.1774457695459</v>
      </c>
      <c r="H176">
        <v>120.519762039184</v>
      </c>
      <c r="I176" t="s">
        <v>1607</v>
      </c>
      <c r="J176">
        <v>9992260087</v>
      </c>
      <c r="K176" t="s">
        <v>1608</v>
      </c>
      <c r="L176" t="s">
        <v>1609</v>
      </c>
      <c r="M176" s="1">
        <v>43496</v>
      </c>
      <c r="N176" t="s">
        <v>779</v>
      </c>
      <c r="O176" t="s">
        <v>780</v>
      </c>
      <c r="P176">
        <v>381</v>
      </c>
      <c r="Q176" t="s">
        <v>1610</v>
      </c>
    </row>
    <row r="177" spans="1:17" x14ac:dyDescent="0.3">
      <c r="A177" t="s">
        <v>1611</v>
      </c>
      <c r="B177" t="s">
        <v>1612</v>
      </c>
      <c r="C177" t="s">
        <v>1613</v>
      </c>
      <c r="D177" t="s">
        <v>1563</v>
      </c>
      <c r="E177" t="s">
        <v>1614</v>
      </c>
      <c r="F177" t="s">
        <v>1615</v>
      </c>
      <c r="G177">
        <v>15.176001296472499</v>
      </c>
      <c r="H177">
        <v>120.528398752212</v>
      </c>
      <c r="I177" t="s">
        <v>1616</v>
      </c>
      <c r="J177" t="s">
        <v>1617</v>
      </c>
      <c r="K177" t="s">
        <v>1618</v>
      </c>
      <c r="L177">
        <v>1234</v>
      </c>
      <c r="M177" s="1">
        <v>43281</v>
      </c>
      <c r="N177" t="s">
        <v>16</v>
      </c>
      <c r="O177" t="s">
        <v>17</v>
      </c>
      <c r="P177">
        <v>1273</v>
      </c>
      <c r="Q177" t="s">
        <v>1619</v>
      </c>
    </row>
    <row r="178" spans="1:17" x14ac:dyDescent="0.3">
      <c r="A178" t="s">
        <v>1620</v>
      </c>
      <c r="B178" t="s">
        <v>1621</v>
      </c>
      <c r="C178" t="s">
        <v>1622</v>
      </c>
      <c r="D178" t="s">
        <v>1623</v>
      </c>
      <c r="E178" t="s">
        <v>1624</v>
      </c>
      <c r="F178" t="s">
        <v>1625</v>
      </c>
      <c r="G178">
        <v>15.1869614419904</v>
      </c>
      <c r="H178">
        <v>120.557441711425</v>
      </c>
      <c r="I178" t="s">
        <v>1626</v>
      </c>
      <c r="J178">
        <v>-639499944240</v>
      </c>
      <c r="K178" t="s">
        <v>1627</v>
      </c>
      <c r="L178">
        <v>1234</v>
      </c>
      <c r="M178" s="1">
        <v>42643</v>
      </c>
      <c r="N178" t="s">
        <v>871</v>
      </c>
      <c r="O178" t="s">
        <v>1628</v>
      </c>
      <c r="P178">
        <v>1743</v>
      </c>
      <c r="Q178" t="s">
        <v>1629</v>
      </c>
    </row>
    <row r="179" spans="1:17" x14ac:dyDescent="0.3">
      <c r="A179" t="s">
        <v>1630</v>
      </c>
      <c r="B179" t="s">
        <v>1631</v>
      </c>
      <c r="C179" t="s">
        <v>1632</v>
      </c>
      <c r="D179" t="s">
        <v>1633</v>
      </c>
      <c r="E179" t="s">
        <v>286</v>
      </c>
      <c r="F179" t="s">
        <v>1634</v>
      </c>
      <c r="G179">
        <v>15.227657000000001</v>
      </c>
      <c r="H179">
        <v>120.558361</v>
      </c>
      <c r="I179" t="s">
        <v>1635</v>
      </c>
      <c r="J179">
        <v>9772438334</v>
      </c>
      <c r="K179" t="s">
        <v>1636</v>
      </c>
      <c r="L179">
        <v>1234</v>
      </c>
      <c r="M179" s="1">
        <v>43069</v>
      </c>
      <c r="N179" t="s">
        <v>1637</v>
      </c>
      <c r="O179" t="s">
        <v>1638</v>
      </c>
      <c r="P179">
        <v>1509</v>
      </c>
      <c r="Q179" t="s">
        <v>1639</v>
      </c>
    </row>
    <row r="180" spans="1:17" x14ac:dyDescent="0.3">
      <c r="A180" t="s">
        <v>1640</v>
      </c>
      <c r="B180" t="s">
        <v>725</v>
      </c>
      <c r="C180" t="s">
        <v>1641</v>
      </c>
      <c r="D180" t="s">
        <v>1642</v>
      </c>
      <c r="E180" t="s">
        <v>1643</v>
      </c>
      <c r="F180" t="s">
        <v>1644</v>
      </c>
      <c r="I180" t="s">
        <v>1645</v>
      </c>
      <c r="J180">
        <v>9989730687</v>
      </c>
      <c r="K180" t="s">
        <v>1646</v>
      </c>
      <c r="L180">
        <v>1234</v>
      </c>
      <c r="M180" s="1">
        <v>43131</v>
      </c>
      <c r="N180" t="s">
        <v>16</v>
      </c>
      <c r="O180" t="s">
        <v>1647</v>
      </c>
      <c r="P180">
        <v>1849</v>
      </c>
    </row>
    <row r="181" spans="1:17" x14ac:dyDescent="0.3">
      <c r="A181" t="s">
        <v>1648</v>
      </c>
      <c r="B181" t="s">
        <v>1649</v>
      </c>
      <c r="C181" t="s">
        <v>1650</v>
      </c>
      <c r="D181" t="s">
        <v>1651</v>
      </c>
      <c r="E181" t="s">
        <v>1652</v>
      </c>
      <c r="F181" t="s">
        <v>1653</v>
      </c>
      <c r="G181">
        <v>14.554410015159799</v>
      </c>
      <c r="H181">
        <v>121.023915410041</v>
      </c>
      <c r="I181" t="s">
        <v>1654</v>
      </c>
      <c r="J181">
        <v>9479932615</v>
      </c>
      <c r="K181" t="s">
        <v>1655</v>
      </c>
      <c r="L181">
        <v>1234</v>
      </c>
      <c r="M181" s="1">
        <v>43268</v>
      </c>
      <c r="N181" t="s">
        <v>369</v>
      </c>
      <c r="O181" t="s">
        <v>1656</v>
      </c>
      <c r="P181">
        <v>2144</v>
      </c>
    </row>
    <row r="182" spans="1:17" x14ac:dyDescent="0.3">
      <c r="A182" t="s">
        <v>1657</v>
      </c>
      <c r="B182" t="s">
        <v>362</v>
      </c>
      <c r="C182" t="s">
        <v>1658</v>
      </c>
      <c r="D182" t="s">
        <v>559</v>
      </c>
      <c r="E182" t="s">
        <v>1659</v>
      </c>
      <c r="F182" t="s">
        <v>1660</v>
      </c>
      <c r="G182">
        <v>15.178578699999999</v>
      </c>
      <c r="H182">
        <v>120.51842980000001</v>
      </c>
      <c r="I182" t="s">
        <v>1661</v>
      </c>
      <c r="J182">
        <v>9174771349</v>
      </c>
      <c r="K182" t="s">
        <v>1662</v>
      </c>
      <c r="L182" t="s">
        <v>1663</v>
      </c>
      <c r="M182" s="1">
        <v>43660</v>
      </c>
      <c r="N182" t="s">
        <v>336</v>
      </c>
      <c r="O182" t="s">
        <v>337</v>
      </c>
      <c r="P182">
        <v>699</v>
      </c>
    </row>
    <row r="183" spans="1:17" x14ac:dyDescent="0.3">
      <c r="A183" t="s">
        <v>1664</v>
      </c>
      <c r="B183" t="s">
        <v>1665</v>
      </c>
      <c r="C183" t="s">
        <v>1666</v>
      </c>
      <c r="D183" t="s">
        <v>1667</v>
      </c>
      <c r="E183" t="s">
        <v>1668</v>
      </c>
      <c r="F183" t="s">
        <v>1669</v>
      </c>
      <c r="G183">
        <v>15.1916828786756</v>
      </c>
      <c r="H183">
        <v>120.542786121368</v>
      </c>
      <c r="I183" t="s">
        <v>1670</v>
      </c>
      <c r="J183">
        <v>9258572992</v>
      </c>
      <c r="K183" t="s">
        <v>1671</v>
      </c>
      <c r="L183" t="s">
        <v>1672</v>
      </c>
      <c r="M183" s="1">
        <v>42803</v>
      </c>
      <c r="N183" t="s">
        <v>16</v>
      </c>
      <c r="O183" t="s">
        <v>292</v>
      </c>
      <c r="P183">
        <v>742</v>
      </c>
    </row>
    <row r="184" spans="1:17" x14ac:dyDescent="0.3">
      <c r="A184" t="s">
        <v>1673</v>
      </c>
      <c r="B184" t="s">
        <v>585</v>
      </c>
      <c r="C184" t="s">
        <v>1674</v>
      </c>
      <c r="D184" t="s">
        <v>236</v>
      </c>
      <c r="E184" t="s">
        <v>286</v>
      </c>
      <c r="F184" t="s">
        <v>1675</v>
      </c>
      <c r="G184">
        <v>15.1809352443829</v>
      </c>
      <c r="H184">
        <v>120.52767992019599</v>
      </c>
      <c r="I184" t="s">
        <v>1676</v>
      </c>
      <c r="J184">
        <v>9178430225</v>
      </c>
      <c r="K184" t="s">
        <v>1677</v>
      </c>
      <c r="L184" t="s">
        <v>1678</v>
      </c>
      <c r="M184" s="1">
        <v>43733</v>
      </c>
      <c r="N184" t="s">
        <v>398</v>
      </c>
      <c r="O184" t="s">
        <v>1104</v>
      </c>
      <c r="P184">
        <v>1554</v>
      </c>
    </row>
    <row r="185" spans="1:17" x14ac:dyDescent="0.3">
      <c r="A185" t="s">
        <v>1679</v>
      </c>
      <c r="B185" t="s">
        <v>1680</v>
      </c>
      <c r="C185" t="s">
        <v>1681</v>
      </c>
      <c r="D185" t="s">
        <v>756</v>
      </c>
      <c r="E185" t="s">
        <v>1682</v>
      </c>
      <c r="F185" t="s">
        <v>1683</v>
      </c>
      <c r="G185">
        <v>15.186205588151701</v>
      </c>
      <c r="H185">
        <v>120.537845492362</v>
      </c>
      <c r="I185" t="s">
        <v>1684</v>
      </c>
      <c r="J185">
        <f>-45- 499-212 - 976-2-6748</f>
        <v>-8482</v>
      </c>
      <c r="K185" t="s">
        <v>1685</v>
      </c>
      <c r="L185" t="s">
        <v>1686</v>
      </c>
      <c r="M185" s="1">
        <v>43465</v>
      </c>
      <c r="N185" t="s">
        <v>16</v>
      </c>
      <c r="O185" t="s">
        <v>292</v>
      </c>
      <c r="P185">
        <v>1918</v>
      </c>
      <c r="Q185" t="s">
        <v>1687</v>
      </c>
    </row>
    <row r="186" spans="1:17" x14ac:dyDescent="0.3">
      <c r="A186" t="s">
        <v>1688</v>
      </c>
      <c r="B186" t="s">
        <v>1689</v>
      </c>
      <c r="C186" t="s">
        <v>1690</v>
      </c>
      <c r="D186" t="s">
        <v>1691</v>
      </c>
      <c r="E186" t="s">
        <v>1692</v>
      </c>
      <c r="F186" t="s">
        <v>1693</v>
      </c>
      <c r="G186">
        <v>15.178578699999999</v>
      </c>
      <c r="H186">
        <v>120.51842980000001</v>
      </c>
      <c r="I186" t="s">
        <v>1694</v>
      </c>
      <c r="J186">
        <v>9064783199</v>
      </c>
      <c r="K186" t="s">
        <v>1695</v>
      </c>
      <c r="L186" t="s">
        <v>1696</v>
      </c>
      <c r="M186" s="1">
        <v>43160</v>
      </c>
      <c r="N186" t="s">
        <v>16</v>
      </c>
      <c r="O186" t="s">
        <v>17</v>
      </c>
      <c r="P186">
        <v>1934</v>
      </c>
    </row>
    <row r="187" spans="1:17" x14ac:dyDescent="0.3">
      <c r="A187" t="s">
        <v>1697</v>
      </c>
      <c r="B187" t="s">
        <v>124</v>
      </c>
      <c r="C187" t="s">
        <v>1698</v>
      </c>
      <c r="D187" t="s">
        <v>792</v>
      </c>
      <c r="E187" t="s">
        <v>1699</v>
      </c>
      <c r="F187" t="s">
        <v>1700</v>
      </c>
      <c r="G187">
        <v>15.178578699999999</v>
      </c>
      <c r="H187">
        <v>120.51842980000001</v>
      </c>
      <c r="I187" t="s">
        <v>1701</v>
      </c>
      <c r="J187" t="s">
        <v>1702</v>
      </c>
      <c r="K187" t="s">
        <v>1703</v>
      </c>
      <c r="L187">
        <v>248499779</v>
      </c>
      <c r="M187" s="1">
        <v>42825</v>
      </c>
      <c r="N187" t="s">
        <v>336</v>
      </c>
      <c r="O187" t="s">
        <v>441</v>
      </c>
      <c r="P187">
        <v>2161</v>
      </c>
    </row>
    <row r="188" spans="1:17" x14ac:dyDescent="0.3">
      <c r="A188" t="s">
        <v>1704</v>
      </c>
      <c r="K188" t="s">
        <v>1705</v>
      </c>
      <c r="L188">
        <v>1234</v>
      </c>
      <c r="M188" s="1">
        <v>43708</v>
      </c>
      <c r="N188" t="s">
        <v>304</v>
      </c>
      <c r="O188" t="s">
        <v>305</v>
      </c>
      <c r="P188">
        <v>1431</v>
      </c>
    </row>
    <row r="189" spans="1:17" x14ac:dyDescent="0.3">
      <c r="A189" t="s">
        <v>1706</v>
      </c>
      <c r="B189" t="s">
        <v>1707</v>
      </c>
      <c r="C189" t="s">
        <v>1708</v>
      </c>
      <c r="D189" t="s">
        <v>1709</v>
      </c>
      <c r="E189" t="s">
        <v>1710</v>
      </c>
      <c r="F189" t="s">
        <v>1711</v>
      </c>
      <c r="G189">
        <v>15.178578699999999</v>
      </c>
      <c r="H189">
        <v>120.51842980000001</v>
      </c>
      <c r="I189" t="s">
        <v>1712</v>
      </c>
      <c r="J189" t="s">
        <v>1713</v>
      </c>
      <c r="K189" t="s">
        <v>1714</v>
      </c>
      <c r="L189">
        <v>1234</v>
      </c>
      <c r="M189" s="1">
        <v>42794</v>
      </c>
      <c r="N189" t="s">
        <v>304</v>
      </c>
      <c r="O189" t="s">
        <v>323</v>
      </c>
      <c r="P189">
        <v>1864</v>
      </c>
      <c r="Q189" t="s">
        <v>1715</v>
      </c>
    </row>
    <row r="190" spans="1:17" x14ac:dyDescent="0.3">
      <c r="A190" t="s">
        <v>1716</v>
      </c>
      <c r="B190" t="s">
        <v>1717</v>
      </c>
      <c r="C190" t="s">
        <v>1718</v>
      </c>
      <c r="D190" t="s">
        <v>1719</v>
      </c>
      <c r="E190" t="s">
        <v>793</v>
      </c>
      <c r="F190" t="s">
        <v>1720</v>
      </c>
      <c r="G190">
        <v>15.178578699999999</v>
      </c>
      <c r="H190">
        <v>120.51842980000001</v>
      </c>
      <c r="I190" t="s">
        <v>1721</v>
      </c>
      <c r="J190">
        <v>9989680122</v>
      </c>
      <c r="K190" t="s">
        <v>1722</v>
      </c>
      <c r="L190" t="s">
        <v>1723</v>
      </c>
      <c r="M190" s="1">
        <v>43747</v>
      </c>
      <c r="N190" t="s">
        <v>336</v>
      </c>
      <c r="O190" t="s">
        <v>515</v>
      </c>
      <c r="P190">
        <v>2461</v>
      </c>
    </row>
    <row r="191" spans="1:17" x14ac:dyDescent="0.3">
      <c r="A191" t="s">
        <v>1724</v>
      </c>
      <c r="B191" t="s">
        <v>1725</v>
      </c>
      <c r="C191" t="s">
        <v>1726</v>
      </c>
      <c r="D191" t="s">
        <v>1544</v>
      </c>
      <c r="E191" t="s">
        <v>1110</v>
      </c>
      <c r="F191" t="s">
        <v>1727</v>
      </c>
      <c r="G191">
        <v>15.1964456244334</v>
      </c>
      <c r="H191">
        <v>120.532937049865</v>
      </c>
      <c r="I191" t="s">
        <v>1728</v>
      </c>
      <c r="J191">
        <v>9052934099</v>
      </c>
      <c r="K191" t="s">
        <v>1729</v>
      </c>
      <c r="L191">
        <v>1234</v>
      </c>
      <c r="M191" s="1">
        <v>42775</v>
      </c>
      <c r="N191" t="s">
        <v>336</v>
      </c>
      <c r="O191" t="s">
        <v>483</v>
      </c>
      <c r="P191">
        <v>1492</v>
      </c>
      <c r="Q191" t="s">
        <v>1730</v>
      </c>
    </row>
    <row r="192" spans="1:17" x14ac:dyDescent="0.3">
      <c r="A192" t="s">
        <v>1731</v>
      </c>
      <c r="B192" t="s">
        <v>1732</v>
      </c>
      <c r="C192" t="s">
        <v>1733</v>
      </c>
      <c r="D192" t="s">
        <v>1734</v>
      </c>
      <c r="E192" t="s">
        <v>1699</v>
      </c>
      <c r="F192" t="s">
        <v>1735</v>
      </c>
      <c r="G192">
        <v>15.178578699999999</v>
      </c>
      <c r="H192">
        <v>120.51842980000001</v>
      </c>
      <c r="I192" t="s">
        <v>645</v>
      </c>
      <c r="J192">
        <v>9751177466</v>
      </c>
      <c r="K192" t="s">
        <v>1736</v>
      </c>
      <c r="L192">
        <v>1234</v>
      </c>
      <c r="M192" s="1">
        <v>43555</v>
      </c>
      <c r="N192" t="s">
        <v>398</v>
      </c>
      <c r="O192" t="s">
        <v>853</v>
      </c>
      <c r="P192">
        <v>2428</v>
      </c>
    </row>
    <row r="193" spans="1:17" x14ac:dyDescent="0.3">
      <c r="A193" t="s">
        <v>1737</v>
      </c>
      <c r="K193" t="s">
        <v>1738</v>
      </c>
      <c r="L193">
        <v>1234</v>
      </c>
      <c r="M193" s="1">
        <v>43008</v>
      </c>
      <c r="N193" t="s">
        <v>304</v>
      </c>
      <c r="O193" t="s">
        <v>323</v>
      </c>
      <c r="P193">
        <v>1624</v>
      </c>
    </row>
    <row r="194" spans="1:17" x14ac:dyDescent="0.3">
      <c r="A194" t="s">
        <v>1739</v>
      </c>
      <c r="K194" t="s">
        <v>1740</v>
      </c>
      <c r="L194" t="s">
        <v>1741</v>
      </c>
      <c r="M194" s="1">
        <v>43576</v>
      </c>
      <c r="N194" t="s">
        <v>779</v>
      </c>
      <c r="O194" t="s">
        <v>780</v>
      </c>
      <c r="P194">
        <v>2362</v>
      </c>
    </row>
    <row r="195" spans="1:17" x14ac:dyDescent="0.3">
      <c r="A195" t="s">
        <v>1742</v>
      </c>
      <c r="B195" t="s">
        <v>1502</v>
      </c>
      <c r="C195" t="s">
        <v>1503</v>
      </c>
      <c r="D195" t="s">
        <v>1504</v>
      </c>
      <c r="E195" t="s">
        <v>1505</v>
      </c>
      <c r="F195" t="s">
        <v>1743</v>
      </c>
      <c r="G195">
        <v>15.178578699999999</v>
      </c>
      <c r="H195">
        <v>120.51842980000001</v>
      </c>
      <c r="I195" t="s">
        <v>1744</v>
      </c>
      <c r="J195" t="s">
        <v>1508</v>
      </c>
      <c r="K195" t="s">
        <v>1745</v>
      </c>
      <c r="L195" t="s">
        <v>1746</v>
      </c>
      <c r="M195" s="1">
        <v>43585</v>
      </c>
      <c r="N195" t="s">
        <v>16</v>
      </c>
      <c r="O195" t="s">
        <v>17</v>
      </c>
      <c r="P195">
        <v>1814</v>
      </c>
    </row>
    <row r="196" spans="1:17" x14ac:dyDescent="0.3">
      <c r="A196" t="s">
        <v>1747</v>
      </c>
      <c r="B196" t="s">
        <v>723</v>
      </c>
      <c r="C196" t="s">
        <v>724</v>
      </c>
      <c r="D196" t="s">
        <v>725</v>
      </c>
      <c r="E196" t="s">
        <v>726</v>
      </c>
      <c r="I196" t="s">
        <v>727</v>
      </c>
      <c r="J196" t="s">
        <v>728</v>
      </c>
      <c r="K196" t="s">
        <v>1748</v>
      </c>
      <c r="L196" t="s">
        <v>1749</v>
      </c>
      <c r="M196" s="1">
        <v>43806</v>
      </c>
      <c r="N196" t="s">
        <v>779</v>
      </c>
      <c r="O196" t="s">
        <v>780</v>
      </c>
      <c r="P196">
        <v>385</v>
      </c>
      <c r="Q196" t="s">
        <v>1750</v>
      </c>
    </row>
    <row r="197" spans="1:17" x14ac:dyDescent="0.3">
      <c r="A197" t="s">
        <v>1751</v>
      </c>
      <c r="B197" t="s">
        <v>1752</v>
      </c>
      <c r="C197" t="s">
        <v>1753</v>
      </c>
      <c r="D197" t="s">
        <v>1555</v>
      </c>
      <c r="E197" t="s">
        <v>201</v>
      </c>
      <c r="F197" t="s">
        <v>1754</v>
      </c>
      <c r="G197">
        <v>15.178578699999999</v>
      </c>
      <c r="H197">
        <v>120.51842980000001</v>
      </c>
      <c r="I197" t="s">
        <v>1755</v>
      </c>
      <c r="J197">
        <v>9954937899</v>
      </c>
      <c r="K197" t="s">
        <v>1756</v>
      </c>
      <c r="L197">
        <v>1234</v>
      </c>
      <c r="M197" s="1">
        <v>43643</v>
      </c>
      <c r="N197" t="s">
        <v>779</v>
      </c>
      <c r="O197" t="s">
        <v>1757</v>
      </c>
      <c r="P197">
        <v>1052</v>
      </c>
      <c r="Q197" t="s">
        <v>1758</v>
      </c>
    </row>
    <row r="198" spans="1:17" x14ac:dyDescent="0.3">
      <c r="A198" t="s">
        <v>1759</v>
      </c>
      <c r="B198" t="s">
        <v>723</v>
      </c>
      <c r="C198" t="s">
        <v>724</v>
      </c>
      <c r="D198" t="s">
        <v>725</v>
      </c>
      <c r="E198" t="s">
        <v>726</v>
      </c>
      <c r="F198" t="s">
        <v>1760</v>
      </c>
      <c r="G198">
        <v>15.178578699999999</v>
      </c>
      <c r="H198">
        <v>120.51842980000001</v>
      </c>
      <c r="I198" t="s">
        <v>727</v>
      </c>
      <c r="J198" t="s">
        <v>1761</v>
      </c>
      <c r="K198" t="s">
        <v>1762</v>
      </c>
      <c r="L198" t="s">
        <v>1763</v>
      </c>
      <c r="M198" s="1">
        <v>43806</v>
      </c>
      <c r="N198" t="s">
        <v>779</v>
      </c>
      <c r="O198" t="s">
        <v>780</v>
      </c>
      <c r="P198">
        <v>387</v>
      </c>
    </row>
    <row r="199" spans="1:17" x14ac:dyDescent="0.3">
      <c r="A199" t="s">
        <v>1764</v>
      </c>
      <c r="B199" t="s">
        <v>1765</v>
      </c>
      <c r="C199" t="s">
        <v>327</v>
      </c>
      <c r="D199" t="s">
        <v>1544</v>
      </c>
      <c r="E199" t="s">
        <v>1766</v>
      </c>
      <c r="F199" t="s">
        <v>1767</v>
      </c>
      <c r="G199">
        <v>15.178578699999999</v>
      </c>
      <c r="H199">
        <v>120.51842980000001</v>
      </c>
      <c r="I199" t="s">
        <v>1768</v>
      </c>
      <c r="J199" t="s">
        <v>1769</v>
      </c>
      <c r="K199" t="s">
        <v>1770</v>
      </c>
      <c r="L199">
        <v>1234</v>
      </c>
      <c r="M199" s="1">
        <v>43040</v>
      </c>
      <c r="N199" t="s">
        <v>398</v>
      </c>
      <c r="O199" t="s">
        <v>853</v>
      </c>
      <c r="P199">
        <v>2488</v>
      </c>
    </row>
    <row r="200" spans="1:17" x14ac:dyDescent="0.3">
      <c r="A200" t="s">
        <v>154</v>
      </c>
      <c r="B200" t="s">
        <v>155</v>
      </c>
      <c r="C200" t="s">
        <v>156</v>
      </c>
      <c r="D200" t="s">
        <v>134</v>
      </c>
      <c r="E200" t="s">
        <v>9</v>
      </c>
      <c r="F200" t="s">
        <v>157</v>
      </c>
      <c r="G200">
        <v>15.169400084146201</v>
      </c>
      <c r="H200">
        <v>120.56739807128901</v>
      </c>
      <c r="I200" t="s">
        <v>158</v>
      </c>
      <c r="J200">
        <f>-45- 499-3299</f>
        <v>-3843</v>
      </c>
      <c r="K200" t="s">
        <v>159</v>
      </c>
      <c r="L200" t="s">
        <v>160</v>
      </c>
      <c r="M200" s="1">
        <v>43024</v>
      </c>
      <c r="N200" t="s">
        <v>57</v>
      </c>
      <c r="O200" t="s">
        <v>58</v>
      </c>
      <c r="P200">
        <v>1380</v>
      </c>
    </row>
    <row r="201" spans="1:17" x14ac:dyDescent="0.3">
      <c r="A201" t="s">
        <v>1771</v>
      </c>
      <c r="B201" t="s">
        <v>1772</v>
      </c>
      <c r="C201" t="s">
        <v>1773</v>
      </c>
      <c r="D201" t="s">
        <v>1774</v>
      </c>
      <c r="E201" t="s">
        <v>1110</v>
      </c>
      <c r="F201" t="s">
        <v>1775</v>
      </c>
      <c r="G201">
        <v>15.206053618977201</v>
      </c>
      <c r="H201">
        <v>120.527122020721</v>
      </c>
      <c r="I201" t="s">
        <v>1776</v>
      </c>
      <c r="J201">
        <f>-45- 499-8004</f>
        <v>-8548</v>
      </c>
      <c r="K201" t="s">
        <v>1777</v>
      </c>
      <c r="L201">
        <v>1234</v>
      </c>
      <c r="M201" s="1">
        <v>43484</v>
      </c>
      <c r="N201" t="s">
        <v>16</v>
      </c>
      <c r="O201" t="s">
        <v>17</v>
      </c>
      <c r="P201">
        <v>1476</v>
      </c>
      <c r="Q201" t="s">
        <v>1778</v>
      </c>
    </row>
    <row r="202" spans="1:17" x14ac:dyDescent="0.3">
      <c r="A202" t="s">
        <v>1779</v>
      </c>
      <c r="B202" t="s">
        <v>1780</v>
      </c>
      <c r="C202" t="s">
        <v>1367</v>
      </c>
      <c r="D202" t="s">
        <v>1781</v>
      </c>
      <c r="E202" t="s">
        <v>1782</v>
      </c>
      <c r="F202" t="s">
        <v>1783</v>
      </c>
      <c r="G202">
        <v>15.178578699999999</v>
      </c>
      <c r="H202">
        <v>120.51842980000001</v>
      </c>
      <c r="I202" t="s">
        <v>1784</v>
      </c>
      <c r="J202" t="s">
        <v>1785</v>
      </c>
      <c r="K202" t="s">
        <v>1786</v>
      </c>
      <c r="L202">
        <v>1234</v>
      </c>
      <c r="M202" s="1">
        <v>43610</v>
      </c>
      <c r="N202" t="s">
        <v>336</v>
      </c>
      <c r="O202" t="s">
        <v>441</v>
      </c>
      <c r="P202">
        <v>2373</v>
      </c>
      <c r="Q202" t="s">
        <v>1787</v>
      </c>
    </row>
    <row r="203" spans="1:17" x14ac:dyDescent="0.3">
      <c r="A203" t="s">
        <v>1788</v>
      </c>
      <c r="B203" t="s">
        <v>1789</v>
      </c>
      <c r="C203" t="s">
        <v>1790</v>
      </c>
      <c r="D203" t="s">
        <v>326</v>
      </c>
      <c r="E203" t="s">
        <v>1791</v>
      </c>
      <c r="F203" t="s">
        <v>1792</v>
      </c>
      <c r="G203">
        <v>15.181825724275701</v>
      </c>
      <c r="H203">
        <v>120.51555633544901</v>
      </c>
      <c r="I203" t="s">
        <v>1793</v>
      </c>
      <c r="J203">
        <v>9488852862</v>
      </c>
      <c r="K203" t="s">
        <v>1794</v>
      </c>
      <c r="L203" t="s">
        <v>1795</v>
      </c>
      <c r="M203" s="1">
        <v>43002</v>
      </c>
      <c r="N203" t="s">
        <v>398</v>
      </c>
      <c r="O203" t="s">
        <v>582</v>
      </c>
      <c r="P203">
        <v>1996</v>
      </c>
    </row>
    <row r="204" spans="1:17" x14ac:dyDescent="0.3">
      <c r="A204" t="s">
        <v>1796</v>
      </c>
      <c r="B204" t="s">
        <v>1797</v>
      </c>
      <c r="C204" t="s">
        <v>1798</v>
      </c>
      <c r="D204" t="s">
        <v>1799</v>
      </c>
      <c r="E204" t="s">
        <v>1800</v>
      </c>
      <c r="F204" t="s">
        <v>1801</v>
      </c>
      <c r="G204">
        <v>15.178578699999999</v>
      </c>
      <c r="H204">
        <v>120.51842980000001</v>
      </c>
      <c r="I204" t="s">
        <v>1802</v>
      </c>
      <c r="J204" t="s">
        <v>1803</v>
      </c>
      <c r="K204" t="s">
        <v>1804</v>
      </c>
      <c r="L204">
        <v>1234</v>
      </c>
      <c r="M204" s="1">
        <v>42794</v>
      </c>
      <c r="N204" t="s">
        <v>16</v>
      </c>
      <c r="O204" t="s">
        <v>292</v>
      </c>
      <c r="P204">
        <v>1132</v>
      </c>
      <c r="Q204" t="s">
        <v>1805</v>
      </c>
    </row>
    <row r="205" spans="1:17" x14ac:dyDescent="0.3">
      <c r="A205" t="s">
        <v>1806</v>
      </c>
      <c r="B205" t="s">
        <v>1807</v>
      </c>
      <c r="C205" t="s">
        <v>1808</v>
      </c>
      <c r="D205" t="s">
        <v>1809</v>
      </c>
      <c r="E205" t="s">
        <v>1810</v>
      </c>
      <c r="I205" t="s">
        <v>1811</v>
      </c>
      <c r="J205" s="2">
        <v>639179000000</v>
      </c>
      <c r="K205" t="s">
        <v>1812</v>
      </c>
      <c r="L205">
        <v>1234</v>
      </c>
      <c r="M205" s="1">
        <v>43524</v>
      </c>
      <c r="N205" t="s">
        <v>16</v>
      </c>
      <c r="O205" t="s">
        <v>292</v>
      </c>
      <c r="P205">
        <v>1584</v>
      </c>
      <c r="Q205" t="s">
        <v>1813</v>
      </c>
    </row>
    <row r="206" spans="1:17" x14ac:dyDescent="0.3">
      <c r="A206" t="s">
        <v>1814</v>
      </c>
      <c r="B206" t="s">
        <v>1815</v>
      </c>
      <c r="C206" t="s">
        <v>1816</v>
      </c>
      <c r="D206" t="s">
        <v>1817</v>
      </c>
      <c r="E206" t="s">
        <v>477</v>
      </c>
      <c r="F206" t="s">
        <v>1818</v>
      </c>
      <c r="G206">
        <v>15.1761773259778</v>
      </c>
      <c r="H206">
        <v>120.525700449943</v>
      </c>
      <c r="I206" t="s">
        <v>1819</v>
      </c>
      <c r="J206" t="s">
        <v>1820</v>
      </c>
      <c r="K206" t="s">
        <v>1821</v>
      </c>
      <c r="L206" t="s">
        <v>1822</v>
      </c>
      <c r="M206" s="1">
        <v>43587</v>
      </c>
      <c r="N206" t="s">
        <v>16</v>
      </c>
      <c r="O206" t="s">
        <v>292</v>
      </c>
      <c r="P206">
        <v>62</v>
      </c>
    </row>
    <row r="207" spans="1:17" x14ac:dyDescent="0.3">
      <c r="A207" t="s">
        <v>1823</v>
      </c>
      <c r="B207" t="s">
        <v>1824</v>
      </c>
      <c r="C207" t="s">
        <v>1825</v>
      </c>
      <c r="D207" t="s">
        <v>1826</v>
      </c>
      <c r="E207" t="s">
        <v>1827</v>
      </c>
      <c r="F207" t="s">
        <v>1828</v>
      </c>
      <c r="G207">
        <v>15.174888165322299</v>
      </c>
      <c r="H207">
        <v>120.529407262802</v>
      </c>
      <c r="I207" t="s">
        <v>1829</v>
      </c>
      <c r="J207">
        <v>9177701144</v>
      </c>
      <c r="K207" t="s">
        <v>1830</v>
      </c>
      <c r="L207">
        <v>1234</v>
      </c>
      <c r="M207" s="1">
        <v>43069</v>
      </c>
      <c r="N207" t="s">
        <v>304</v>
      </c>
      <c r="O207" t="s">
        <v>305</v>
      </c>
      <c r="P207">
        <v>2096</v>
      </c>
    </row>
    <row r="208" spans="1:17" x14ac:dyDescent="0.3">
      <c r="A208" t="s">
        <v>1831</v>
      </c>
      <c r="B208" t="s">
        <v>1832</v>
      </c>
      <c r="C208" t="s">
        <v>1833</v>
      </c>
      <c r="D208" t="s">
        <v>1834</v>
      </c>
      <c r="E208" t="s">
        <v>1572</v>
      </c>
      <c r="F208" t="s">
        <v>1835</v>
      </c>
      <c r="G208">
        <v>15.178578699999999</v>
      </c>
      <c r="H208">
        <v>120.51842980000001</v>
      </c>
      <c r="I208" t="s">
        <v>1836</v>
      </c>
      <c r="J208" t="s">
        <v>1837</v>
      </c>
      <c r="K208" t="s">
        <v>1838</v>
      </c>
      <c r="L208">
        <v>1234</v>
      </c>
      <c r="M208" s="1">
        <v>42914</v>
      </c>
      <c r="N208" t="s">
        <v>16</v>
      </c>
      <c r="O208" t="s">
        <v>1326</v>
      </c>
      <c r="P208">
        <v>1459</v>
      </c>
    </row>
    <row r="209" spans="1:17" x14ac:dyDescent="0.3">
      <c r="A209" t="s">
        <v>1839</v>
      </c>
      <c r="B209" t="s">
        <v>1180</v>
      </c>
      <c r="C209" t="s">
        <v>1181</v>
      </c>
      <c r="D209" t="s">
        <v>1182</v>
      </c>
      <c r="E209" t="s">
        <v>1183</v>
      </c>
      <c r="F209" t="s">
        <v>1840</v>
      </c>
      <c r="G209">
        <v>15.178578699999999</v>
      </c>
      <c r="H209">
        <v>120.51842980000001</v>
      </c>
      <c r="I209" t="s">
        <v>1185</v>
      </c>
      <c r="J209" t="s">
        <v>1186</v>
      </c>
      <c r="K209" t="s">
        <v>1841</v>
      </c>
      <c r="L209">
        <v>1234</v>
      </c>
      <c r="M209" s="1">
        <v>43361</v>
      </c>
      <c r="N209" t="s">
        <v>398</v>
      </c>
      <c r="O209" t="s">
        <v>1228</v>
      </c>
      <c r="P209">
        <v>1382</v>
      </c>
    </row>
    <row r="210" spans="1:17" x14ac:dyDescent="0.3">
      <c r="A210" t="s">
        <v>1842</v>
      </c>
      <c r="B210" t="s">
        <v>1843</v>
      </c>
      <c r="C210" t="s">
        <v>1844</v>
      </c>
      <c r="D210" t="s">
        <v>1845</v>
      </c>
      <c r="E210" t="s">
        <v>1194</v>
      </c>
      <c r="F210" t="s">
        <v>1846</v>
      </c>
      <c r="G210">
        <v>15.2043970994288</v>
      </c>
      <c r="H210">
        <v>120.537657737731</v>
      </c>
      <c r="I210" t="s">
        <v>1847</v>
      </c>
      <c r="J210" t="s">
        <v>1848</v>
      </c>
      <c r="K210" t="s">
        <v>1849</v>
      </c>
      <c r="L210">
        <v>1234</v>
      </c>
      <c r="M210" s="1">
        <v>43547</v>
      </c>
      <c r="N210" t="s">
        <v>16</v>
      </c>
      <c r="O210" t="s">
        <v>292</v>
      </c>
      <c r="P210">
        <v>1374</v>
      </c>
      <c r="Q210" t="s">
        <v>1850</v>
      </c>
    </row>
    <row r="211" spans="1:17" x14ac:dyDescent="0.3">
      <c r="A211" t="s">
        <v>1851</v>
      </c>
      <c r="B211" t="s">
        <v>1852</v>
      </c>
      <c r="C211" t="s">
        <v>1853</v>
      </c>
      <c r="D211" t="s">
        <v>1854</v>
      </c>
      <c r="E211" t="s">
        <v>1855</v>
      </c>
      <c r="F211" t="s">
        <v>1856</v>
      </c>
      <c r="G211">
        <v>15.1937225894787</v>
      </c>
      <c r="H211">
        <v>120.536102056503</v>
      </c>
      <c r="I211" t="s">
        <v>1857</v>
      </c>
      <c r="J211">
        <v>9778231683</v>
      </c>
      <c r="K211" t="s">
        <v>1858</v>
      </c>
      <c r="L211">
        <v>1234</v>
      </c>
      <c r="M211" s="1">
        <v>43497</v>
      </c>
      <c r="N211" t="s">
        <v>710</v>
      </c>
      <c r="O211" t="s">
        <v>711</v>
      </c>
      <c r="P211">
        <v>2007</v>
      </c>
    </row>
    <row r="212" spans="1:17" x14ac:dyDescent="0.3">
      <c r="A212" t="s">
        <v>1859</v>
      </c>
      <c r="B212" t="s">
        <v>1860</v>
      </c>
      <c r="C212" t="s">
        <v>1861</v>
      </c>
      <c r="D212" t="s">
        <v>1425</v>
      </c>
      <c r="E212" t="s">
        <v>1862</v>
      </c>
      <c r="F212" t="s">
        <v>1863</v>
      </c>
      <c r="G212">
        <v>15.176482788594599</v>
      </c>
      <c r="H212">
        <v>120.53046941757199</v>
      </c>
      <c r="I212" t="s">
        <v>1864</v>
      </c>
      <c r="J212">
        <v>454992218</v>
      </c>
      <c r="K212" t="s">
        <v>1865</v>
      </c>
      <c r="L212">
        <v>1234</v>
      </c>
      <c r="M212" s="1">
        <v>43641</v>
      </c>
      <c r="N212" t="s">
        <v>369</v>
      </c>
      <c r="O212" t="s">
        <v>471</v>
      </c>
      <c r="P212">
        <v>1423</v>
      </c>
      <c r="Q212" t="s">
        <v>1866</v>
      </c>
    </row>
    <row r="213" spans="1:17" x14ac:dyDescent="0.3">
      <c r="A213" t="s">
        <v>1867</v>
      </c>
      <c r="B213" t="s">
        <v>1868</v>
      </c>
      <c r="C213" t="s">
        <v>1869</v>
      </c>
      <c r="D213" t="s">
        <v>1870</v>
      </c>
      <c r="E213" t="s">
        <v>735</v>
      </c>
      <c r="F213" t="s">
        <v>1871</v>
      </c>
      <c r="G213">
        <v>15.178578699999999</v>
      </c>
      <c r="H213">
        <v>120.51842980000001</v>
      </c>
      <c r="I213" t="s">
        <v>1872</v>
      </c>
      <c r="J213">
        <v>9323664886</v>
      </c>
      <c r="K213" t="s">
        <v>1873</v>
      </c>
      <c r="L213">
        <v>1234</v>
      </c>
      <c r="M213" s="1">
        <v>43351</v>
      </c>
      <c r="N213" t="s">
        <v>398</v>
      </c>
      <c r="O213" t="s">
        <v>1874</v>
      </c>
      <c r="P213">
        <v>1751</v>
      </c>
      <c r="Q213" t="s">
        <v>1875</v>
      </c>
    </row>
    <row r="214" spans="1:17" x14ac:dyDescent="0.3">
      <c r="A214" t="s">
        <v>1876</v>
      </c>
      <c r="B214" t="s">
        <v>1877</v>
      </c>
      <c r="C214" t="s">
        <v>1878</v>
      </c>
      <c r="D214" t="s">
        <v>1879</v>
      </c>
      <c r="E214" t="s">
        <v>1880</v>
      </c>
      <c r="F214" t="s">
        <v>1881</v>
      </c>
      <c r="G214">
        <v>15.178578699999999</v>
      </c>
      <c r="H214">
        <v>120.51842980000001</v>
      </c>
      <c r="I214" t="s">
        <v>1882</v>
      </c>
      <c r="J214" t="s">
        <v>1883</v>
      </c>
      <c r="K214" t="s">
        <v>1884</v>
      </c>
      <c r="L214">
        <v>1234</v>
      </c>
      <c r="M214" s="1">
        <v>42961</v>
      </c>
      <c r="N214" t="s">
        <v>931</v>
      </c>
      <c r="O214" t="s">
        <v>1885</v>
      </c>
      <c r="P214">
        <v>384</v>
      </c>
    </row>
    <row r="215" spans="1:17" x14ac:dyDescent="0.3">
      <c r="A215" t="s">
        <v>1886</v>
      </c>
      <c r="B215" t="s">
        <v>1887</v>
      </c>
      <c r="C215" t="s">
        <v>1888</v>
      </c>
      <c r="D215" t="s">
        <v>1889</v>
      </c>
      <c r="E215" t="s">
        <v>1062</v>
      </c>
      <c r="F215" t="s">
        <v>1890</v>
      </c>
      <c r="G215">
        <v>15.173724</v>
      </c>
      <c r="H215">
        <v>120.522572</v>
      </c>
      <c r="I215" t="s">
        <v>1891</v>
      </c>
      <c r="J215" t="s">
        <v>1892</v>
      </c>
      <c r="K215" t="s">
        <v>1893</v>
      </c>
      <c r="L215" t="s">
        <v>1316</v>
      </c>
      <c r="M215" s="1">
        <v>43408</v>
      </c>
      <c r="N215" t="s">
        <v>871</v>
      </c>
      <c r="O215" t="s">
        <v>1894</v>
      </c>
      <c r="P215">
        <v>518</v>
      </c>
      <c r="Q215" t="s">
        <v>1895</v>
      </c>
    </row>
    <row r="216" spans="1:17" x14ac:dyDescent="0.3">
      <c r="A216" t="s">
        <v>1896</v>
      </c>
      <c r="B216" t="s">
        <v>1897</v>
      </c>
      <c r="C216" t="s">
        <v>1898</v>
      </c>
      <c r="D216" t="s">
        <v>539</v>
      </c>
      <c r="E216" t="s">
        <v>672</v>
      </c>
      <c r="F216" t="s">
        <v>1899</v>
      </c>
      <c r="G216">
        <v>15.178885055470801</v>
      </c>
      <c r="H216">
        <v>120.573191642761</v>
      </c>
      <c r="I216" t="s">
        <v>1900</v>
      </c>
      <c r="J216" t="s">
        <v>1901</v>
      </c>
      <c r="K216" t="s">
        <v>1902</v>
      </c>
      <c r="L216" t="s">
        <v>1903</v>
      </c>
      <c r="M216" s="1">
        <v>43763</v>
      </c>
      <c r="N216" t="s">
        <v>931</v>
      </c>
      <c r="O216" t="s">
        <v>1904</v>
      </c>
      <c r="P216">
        <v>1115</v>
      </c>
      <c r="Q216" t="s">
        <v>1905</v>
      </c>
    </row>
    <row r="217" spans="1:17" x14ac:dyDescent="0.3">
      <c r="A217" t="s">
        <v>1906</v>
      </c>
      <c r="B217" t="s">
        <v>1907</v>
      </c>
      <c r="C217" t="s">
        <v>1908</v>
      </c>
      <c r="D217" t="s">
        <v>1909</v>
      </c>
      <c r="E217" t="s">
        <v>1194</v>
      </c>
      <c r="F217" t="s">
        <v>1910</v>
      </c>
      <c r="G217">
        <v>15.1786158372666</v>
      </c>
      <c r="H217">
        <v>120.518367290496</v>
      </c>
      <c r="I217" t="s">
        <v>1911</v>
      </c>
      <c r="J217">
        <v>9354070907</v>
      </c>
      <c r="K217" t="s">
        <v>1912</v>
      </c>
      <c r="L217">
        <v>1234</v>
      </c>
      <c r="M217" s="1">
        <v>42929</v>
      </c>
      <c r="N217" t="s">
        <v>398</v>
      </c>
      <c r="O217" t="s">
        <v>582</v>
      </c>
      <c r="P217">
        <v>1932</v>
      </c>
    </row>
    <row r="218" spans="1:17" x14ac:dyDescent="0.3">
      <c r="A218" t="s">
        <v>1913</v>
      </c>
      <c r="B218" t="s">
        <v>559</v>
      </c>
      <c r="C218" t="s">
        <v>1914</v>
      </c>
      <c r="D218" t="s">
        <v>1915</v>
      </c>
      <c r="E218" t="s">
        <v>1916</v>
      </c>
      <c r="F218" t="s">
        <v>1917</v>
      </c>
      <c r="G218">
        <v>15.185149459077101</v>
      </c>
      <c r="H218">
        <v>120.543483495712</v>
      </c>
      <c r="I218" t="s">
        <v>1918</v>
      </c>
      <c r="J218">
        <v>9062067396</v>
      </c>
      <c r="K218" t="s">
        <v>1919</v>
      </c>
      <c r="L218" t="s">
        <v>1920</v>
      </c>
      <c r="M218" s="1">
        <v>43331</v>
      </c>
      <c r="N218" t="s">
        <v>398</v>
      </c>
      <c r="O218" t="s">
        <v>1921</v>
      </c>
      <c r="P218">
        <v>2180</v>
      </c>
      <c r="Q218" t="s">
        <v>1922</v>
      </c>
    </row>
    <row r="219" spans="1:17" x14ac:dyDescent="0.3">
      <c r="A219" t="s">
        <v>1923</v>
      </c>
      <c r="B219" t="s">
        <v>351</v>
      </c>
      <c r="C219" t="s">
        <v>1924</v>
      </c>
      <c r="D219" t="s">
        <v>1925</v>
      </c>
      <c r="E219" t="s">
        <v>1926</v>
      </c>
      <c r="F219" t="s">
        <v>1927</v>
      </c>
      <c r="G219">
        <v>15.178578699999999</v>
      </c>
      <c r="H219">
        <v>120.51842980000001</v>
      </c>
      <c r="I219" t="s">
        <v>1928</v>
      </c>
      <c r="J219" t="s">
        <v>1929</v>
      </c>
      <c r="K219" t="s">
        <v>1930</v>
      </c>
      <c r="L219" t="s">
        <v>1931</v>
      </c>
      <c r="M219" s="1">
        <v>43597</v>
      </c>
      <c r="N219" t="s">
        <v>710</v>
      </c>
      <c r="O219" t="s">
        <v>1932</v>
      </c>
      <c r="P219">
        <v>835</v>
      </c>
      <c r="Q219" t="s">
        <v>1933</v>
      </c>
    </row>
    <row r="220" spans="1:17" x14ac:dyDescent="0.3">
      <c r="A220" t="s">
        <v>1934</v>
      </c>
      <c r="B220" t="s">
        <v>1935</v>
      </c>
      <c r="C220" t="s">
        <v>1936</v>
      </c>
      <c r="E220" t="s">
        <v>1937</v>
      </c>
      <c r="F220" t="s">
        <v>1938</v>
      </c>
      <c r="G220">
        <v>15.178578699999999</v>
      </c>
      <c r="H220">
        <v>120.51842980000001</v>
      </c>
      <c r="I220" t="s">
        <v>1939</v>
      </c>
      <c r="J220">
        <v>9338236133</v>
      </c>
      <c r="K220" t="s">
        <v>1940</v>
      </c>
      <c r="L220">
        <v>1234</v>
      </c>
      <c r="M220" s="1">
        <v>43360</v>
      </c>
      <c r="N220" t="s">
        <v>779</v>
      </c>
      <c r="O220" t="s">
        <v>780</v>
      </c>
      <c r="P220">
        <v>2200</v>
      </c>
    </row>
    <row r="221" spans="1:17" x14ac:dyDescent="0.3">
      <c r="A221" t="s">
        <v>1941</v>
      </c>
      <c r="B221" t="s">
        <v>1942</v>
      </c>
      <c r="C221" t="s">
        <v>1943</v>
      </c>
      <c r="D221" t="s">
        <v>1944</v>
      </c>
      <c r="E221" t="s">
        <v>1311</v>
      </c>
      <c r="I221" t="s">
        <v>1945</v>
      </c>
      <c r="J221">
        <v>9369795968</v>
      </c>
      <c r="K221" t="s">
        <v>1946</v>
      </c>
      <c r="L221">
        <v>1234</v>
      </c>
      <c r="M221" s="1">
        <v>43496</v>
      </c>
      <c r="N221" t="s">
        <v>16</v>
      </c>
      <c r="O221" t="s">
        <v>17</v>
      </c>
      <c r="P221">
        <v>1446</v>
      </c>
      <c r="Q221" t="s">
        <v>1947</v>
      </c>
    </row>
    <row r="222" spans="1:17" x14ac:dyDescent="0.3">
      <c r="A222" t="s">
        <v>1948</v>
      </c>
      <c r="B222" t="s">
        <v>1949</v>
      </c>
      <c r="C222" t="s">
        <v>1950</v>
      </c>
      <c r="D222" t="s">
        <v>1951</v>
      </c>
      <c r="E222" t="s">
        <v>717</v>
      </c>
      <c r="F222" t="s">
        <v>1952</v>
      </c>
      <c r="G222">
        <v>15.178578699999999</v>
      </c>
      <c r="H222">
        <v>120.51842980000001</v>
      </c>
      <c r="I222" t="s">
        <v>1953</v>
      </c>
      <c r="J222" t="s">
        <v>1954</v>
      </c>
      <c r="K222" t="s">
        <v>1955</v>
      </c>
      <c r="L222">
        <v>1234</v>
      </c>
      <c r="M222" s="1">
        <v>43890</v>
      </c>
      <c r="N222" t="s">
        <v>398</v>
      </c>
      <c r="O222" t="s">
        <v>399</v>
      </c>
      <c r="P222">
        <v>1496</v>
      </c>
    </row>
    <row r="223" spans="1:17" x14ac:dyDescent="0.3">
      <c r="A223" t="s">
        <v>1956</v>
      </c>
      <c r="B223" t="s">
        <v>559</v>
      </c>
      <c r="C223" t="s">
        <v>1957</v>
      </c>
      <c r="D223" t="s">
        <v>1958</v>
      </c>
      <c r="E223" t="s">
        <v>957</v>
      </c>
      <c r="F223" t="s">
        <v>1959</v>
      </c>
      <c r="G223">
        <v>15.178578699999999</v>
      </c>
      <c r="H223">
        <v>120.51842980000001</v>
      </c>
      <c r="I223" t="s">
        <v>1960</v>
      </c>
      <c r="J223" t="s">
        <v>1961</v>
      </c>
      <c r="K223" t="s">
        <v>1962</v>
      </c>
      <c r="L223" t="s">
        <v>1963</v>
      </c>
      <c r="M223" s="1">
        <v>43465</v>
      </c>
      <c r="N223" t="s">
        <v>16</v>
      </c>
      <c r="O223" t="s">
        <v>412</v>
      </c>
      <c r="P223">
        <v>67</v>
      </c>
      <c r="Q223" t="s">
        <v>1964</v>
      </c>
    </row>
    <row r="224" spans="1:17" x14ac:dyDescent="0.3">
      <c r="A224" t="s">
        <v>1965</v>
      </c>
      <c r="B224" t="s">
        <v>1966</v>
      </c>
      <c r="C224" t="s">
        <v>1967</v>
      </c>
      <c r="D224" t="s">
        <v>1968</v>
      </c>
      <c r="E224" t="s">
        <v>1969</v>
      </c>
      <c r="F224" t="s">
        <v>1970</v>
      </c>
      <c r="G224">
        <v>15.175778670711701</v>
      </c>
      <c r="H224">
        <v>120.527143478393</v>
      </c>
      <c r="I224" t="s">
        <v>1971</v>
      </c>
      <c r="J224">
        <v>9175501499</v>
      </c>
      <c r="K224" t="s">
        <v>1972</v>
      </c>
      <c r="L224" t="s">
        <v>1973</v>
      </c>
      <c r="M224" s="1">
        <v>43555</v>
      </c>
      <c r="N224" t="s">
        <v>336</v>
      </c>
      <c r="O224" t="s">
        <v>441</v>
      </c>
      <c r="P224">
        <v>1508</v>
      </c>
    </row>
    <row r="225" spans="1:17" x14ac:dyDescent="0.3">
      <c r="A225" t="s">
        <v>1974</v>
      </c>
      <c r="B225" t="s">
        <v>1145</v>
      </c>
      <c r="C225" t="s">
        <v>1975</v>
      </c>
      <c r="D225" t="s">
        <v>1976</v>
      </c>
      <c r="E225" t="s">
        <v>867</v>
      </c>
      <c r="F225" t="s">
        <v>1977</v>
      </c>
      <c r="I225" t="s">
        <v>1978</v>
      </c>
      <c r="J225" t="s">
        <v>1979</v>
      </c>
      <c r="K225" t="s">
        <v>1980</v>
      </c>
      <c r="L225" t="s">
        <v>1981</v>
      </c>
      <c r="M225" s="1">
        <v>43506</v>
      </c>
      <c r="N225" t="s">
        <v>931</v>
      </c>
      <c r="P225">
        <v>2486</v>
      </c>
    </row>
    <row r="226" spans="1:17" x14ac:dyDescent="0.3">
      <c r="A226" t="s">
        <v>1982</v>
      </c>
      <c r="B226" t="s">
        <v>1983</v>
      </c>
      <c r="C226" t="s">
        <v>902</v>
      </c>
      <c r="D226" t="s">
        <v>1984</v>
      </c>
      <c r="E226" t="s">
        <v>1985</v>
      </c>
      <c r="F226" t="s">
        <v>1986</v>
      </c>
      <c r="G226">
        <v>15.178578699999999</v>
      </c>
      <c r="H226">
        <v>120.51842980000001</v>
      </c>
      <c r="I226" t="s">
        <v>1987</v>
      </c>
      <c r="J226" t="s">
        <v>1988</v>
      </c>
      <c r="K226" t="s">
        <v>1989</v>
      </c>
      <c r="L226" t="s">
        <v>1990</v>
      </c>
      <c r="M226" s="1">
        <v>43434</v>
      </c>
      <c r="N226" t="s">
        <v>369</v>
      </c>
      <c r="O226" t="s">
        <v>1991</v>
      </c>
      <c r="P226">
        <v>2159</v>
      </c>
      <c r="Q226" t="s">
        <v>1992</v>
      </c>
    </row>
    <row r="227" spans="1:17" x14ac:dyDescent="0.3">
      <c r="A227" t="s">
        <v>1993</v>
      </c>
      <c r="B227" t="s">
        <v>1994</v>
      </c>
      <c r="C227" t="s">
        <v>1995</v>
      </c>
      <c r="E227" t="s">
        <v>1996</v>
      </c>
      <c r="F227" t="s">
        <v>1997</v>
      </c>
      <c r="G227">
        <v>15.1821570646725</v>
      </c>
      <c r="H227">
        <v>120.527186393737</v>
      </c>
      <c r="I227" t="s">
        <v>1998</v>
      </c>
      <c r="J227">
        <v>9943060317</v>
      </c>
      <c r="K227" t="s">
        <v>1999</v>
      </c>
      <c r="L227">
        <v>1234</v>
      </c>
      <c r="M227" s="1">
        <v>43601</v>
      </c>
      <c r="N227" t="s">
        <v>398</v>
      </c>
      <c r="O227" t="s">
        <v>582</v>
      </c>
      <c r="P227">
        <v>2325</v>
      </c>
    </row>
    <row r="228" spans="1:17" x14ac:dyDescent="0.3">
      <c r="A228" t="s">
        <v>2000</v>
      </c>
      <c r="B228" t="s">
        <v>2001</v>
      </c>
      <c r="C228" t="s">
        <v>2002</v>
      </c>
      <c r="D228" t="s">
        <v>2003</v>
      </c>
      <c r="E228" t="s">
        <v>698</v>
      </c>
      <c r="F228" t="s">
        <v>2004</v>
      </c>
      <c r="G228">
        <v>15.1691360313635</v>
      </c>
      <c r="H228">
        <v>120.57476341724301</v>
      </c>
      <c r="I228" t="s">
        <v>2005</v>
      </c>
      <c r="J228" t="s">
        <v>2006</v>
      </c>
      <c r="K228" t="s">
        <v>2007</v>
      </c>
      <c r="L228" t="s">
        <v>2008</v>
      </c>
      <c r="M228" s="1">
        <v>42917</v>
      </c>
      <c r="N228" t="s">
        <v>16</v>
      </c>
      <c r="O228" t="s">
        <v>292</v>
      </c>
      <c r="P228">
        <v>1350</v>
      </c>
    </row>
    <row r="229" spans="1:17" x14ac:dyDescent="0.3">
      <c r="A229" t="s">
        <v>2009</v>
      </c>
      <c r="B229" t="s">
        <v>2010</v>
      </c>
      <c r="C229" t="s">
        <v>2011</v>
      </c>
      <c r="D229" t="s">
        <v>134</v>
      </c>
      <c r="E229" t="s">
        <v>849</v>
      </c>
      <c r="F229" t="s">
        <v>2012</v>
      </c>
      <c r="G229">
        <v>15.1906474849362</v>
      </c>
      <c r="H229">
        <v>120.535082817077</v>
      </c>
      <c r="I229" t="s">
        <v>2013</v>
      </c>
      <c r="J229" t="s">
        <v>2014</v>
      </c>
      <c r="K229" t="s">
        <v>2015</v>
      </c>
      <c r="L229" t="s">
        <v>2016</v>
      </c>
      <c r="M229" s="1">
        <v>43821</v>
      </c>
      <c r="N229" t="s">
        <v>16</v>
      </c>
      <c r="O229" t="s">
        <v>2017</v>
      </c>
      <c r="P229">
        <v>71</v>
      </c>
      <c r="Q229" t="s">
        <v>2018</v>
      </c>
    </row>
    <row r="230" spans="1:17" x14ac:dyDescent="0.3">
      <c r="A230" t="s">
        <v>2019</v>
      </c>
      <c r="B230" t="s">
        <v>200</v>
      </c>
      <c r="C230" t="s">
        <v>2020</v>
      </c>
      <c r="D230" t="s">
        <v>2021</v>
      </c>
      <c r="E230" t="s">
        <v>2022</v>
      </c>
      <c r="F230" t="s">
        <v>2023</v>
      </c>
      <c r="G230">
        <v>15.178578699999999</v>
      </c>
      <c r="H230">
        <v>120.51842980000001</v>
      </c>
      <c r="I230" t="s">
        <v>2024</v>
      </c>
      <c r="J230">
        <v>9471865728</v>
      </c>
      <c r="K230" t="s">
        <v>2025</v>
      </c>
      <c r="L230">
        <v>1234</v>
      </c>
      <c r="M230" s="1">
        <v>42825</v>
      </c>
      <c r="N230" t="s">
        <v>398</v>
      </c>
      <c r="O230" t="s">
        <v>685</v>
      </c>
      <c r="P230">
        <v>1691</v>
      </c>
    </row>
    <row r="231" spans="1:17" x14ac:dyDescent="0.3">
      <c r="A231" t="s">
        <v>2026</v>
      </c>
      <c r="B231" t="s">
        <v>2027</v>
      </c>
      <c r="C231" t="s">
        <v>2028</v>
      </c>
      <c r="D231" t="s">
        <v>2029</v>
      </c>
      <c r="E231" t="s">
        <v>2030</v>
      </c>
      <c r="F231" t="s">
        <v>2031</v>
      </c>
      <c r="G231">
        <v>15.1716367533064</v>
      </c>
      <c r="H231">
        <v>120.527508258819</v>
      </c>
      <c r="I231" t="s">
        <v>2032</v>
      </c>
      <c r="J231">
        <v>9175211703</v>
      </c>
      <c r="K231" t="s">
        <v>2033</v>
      </c>
      <c r="L231" t="s">
        <v>2034</v>
      </c>
      <c r="M231" s="1">
        <v>43159</v>
      </c>
      <c r="N231" t="s">
        <v>369</v>
      </c>
      <c r="O231" t="s">
        <v>370</v>
      </c>
      <c r="P231">
        <v>2349</v>
      </c>
      <c r="Q231" t="s">
        <v>2035</v>
      </c>
    </row>
    <row r="232" spans="1:17" x14ac:dyDescent="0.3">
      <c r="A232" t="s">
        <v>2036</v>
      </c>
      <c r="B232" t="s">
        <v>2037</v>
      </c>
      <c r="C232" t="s">
        <v>2038</v>
      </c>
      <c r="D232" t="s">
        <v>2039</v>
      </c>
      <c r="E232" t="s">
        <v>77</v>
      </c>
      <c r="F232" t="s">
        <v>2040</v>
      </c>
      <c r="G232">
        <v>15.173454029566001</v>
      </c>
      <c r="H232">
        <v>120.52781403064699</v>
      </c>
      <c r="I232" t="s">
        <v>2041</v>
      </c>
      <c r="J232">
        <v>9176358698</v>
      </c>
      <c r="K232" t="s">
        <v>2042</v>
      </c>
      <c r="L232" t="s">
        <v>2043</v>
      </c>
      <c r="M232" s="1">
        <v>43373</v>
      </c>
      <c r="N232" t="s">
        <v>369</v>
      </c>
      <c r="O232" t="s">
        <v>629</v>
      </c>
      <c r="P232">
        <v>1129</v>
      </c>
      <c r="Q232" t="s">
        <v>2044</v>
      </c>
    </row>
    <row r="233" spans="1:17" x14ac:dyDescent="0.3">
      <c r="A233" t="s">
        <v>2045</v>
      </c>
      <c r="B233" t="s">
        <v>2046</v>
      </c>
      <c r="C233" t="s">
        <v>2047</v>
      </c>
      <c r="D233" t="s">
        <v>326</v>
      </c>
      <c r="E233" t="s">
        <v>2048</v>
      </c>
      <c r="F233" t="s">
        <v>2049</v>
      </c>
      <c r="G233">
        <v>15.1756751237663</v>
      </c>
      <c r="H233">
        <v>120.527272224426</v>
      </c>
      <c r="I233" t="s">
        <v>2050</v>
      </c>
      <c r="J233">
        <v>9175643607</v>
      </c>
      <c r="K233" t="s">
        <v>2051</v>
      </c>
      <c r="L233" t="s">
        <v>2052</v>
      </c>
      <c r="M233" s="1">
        <v>42886</v>
      </c>
      <c r="N233" t="s">
        <v>16</v>
      </c>
      <c r="O233" t="s">
        <v>17</v>
      </c>
      <c r="P233">
        <v>1362</v>
      </c>
      <c r="Q233" t="s">
        <v>2053</v>
      </c>
    </row>
    <row r="234" spans="1:17" x14ac:dyDescent="0.3">
      <c r="A234" t="s">
        <v>2054</v>
      </c>
      <c r="B234" t="s">
        <v>974</v>
      </c>
      <c r="C234" t="s">
        <v>2055</v>
      </c>
      <c r="D234" t="s">
        <v>2056</v>
      </c>
      <c r="E234" t="s">
        <v>2057</v>
      </c>
      <c r="F234" t="s">
        <v>2058</v>
      </c>
      <c r="G234">
        <v>15.178578699999999</v>
      </c>
      <c r="H234">
        <v>120.51842980000001</v>
      </c>
      <c r="I234" t="s">
        <v>2059</v>
      </c>
      <c r="J234" t="s">
        <v>2060</v>
      </c>
      <c r="K234" t="s">
        <v>2061</v>
      </c>
      <c r="L234" t="s">
        <v>2062</v>
      </c>
      <c r="M234" s="1">
        <v>42839</v>
      </c>
      <c r="N234" t="s">
        <v>1150</v>
      </c>
      <c r="O234" t="s">
        <v>515</v>
      </c>
      <c r="P234">
        <v>1879</v>
      </c>
      <c r="Q234" t="s">
        <v>2063</v>
      </c>
    </row>
    <row r="235" spans="1:17" x14ac:dyDescent="0.3">
      <c r="A235" t="s">
        <v>2064</v>
      </c>
      <c r="B235" t="s">
        <v>2065</v>
      </c>
      <c r="C235" t="s">
        <v>2066</v>
      </c>
      <c r="D235" t="s">
        <v>1544</v>
      </c>
      <c r="E235" t="s">
        <v>793</v>
      </c>
      <c r="F235" t="s">
        <v>2067</v>
      </c>
      <c r="G235">
        <v>15.178578699999999</v>
      </c>
      <c r="H235">
        <v>120.51842980000001</v>
      </c>
      <c r="I235" t="s">
        <v>2068</v>
      </c>
      <c r="J235" t="s">
        <v>2069</v>
      </c>
      <c r="K235" t="s">
        <v>2070</v>
      </c>
      <c r="L235">
        <v>326</v>
      </c>
      <c r="M235" s="1">
        <v>43524</v>
      </c>
      <c r="N235" t="s">
        <v>369</v>
      </c>
      <c r="O235" t="s">
        <v>83</v>
      </c>
      <c r="P235">
        <v>1604</v>
      </c>
      <c r="Q235" t="s">
        <v>2071</v>
      </c>
    </row>
    <row r="236" spans="1:17" x14ac:dyDescent="0.3">
      <c r="A236" t="s">
        <v>2072</v>
      </c>
      <c r="B236" t="s">
        <v>2073</v>
      </c>
      <c r="C236" t="s">
        <v>2074</v>
      </c>
      <c r="D236" t="s">
        <v>2075</v>
      </c>
      <c r="E236" t="s">
        <v>735</v>
      </c>
      <c r="F236" t="s">
        <v>2076</v>
      </c>
      <c r="G236">
        <v>15.178578699999999</v>
      </c>
      <c r="H236">
        <v>120.51842980000001</v>
      </c>
      <c r="I236" t="s">
        <v>2077</v>
      </c>
      <c r="J236">
        <v>9089320812</v>
      </c>
      <c r="K236" t="s">
        <v>2078</v>
      </c>
      <c r="L236">
        <v>1234</v>
      </c>
      <c r="M236" s="1">
        <v>42735</v>
      </c>
      <c r="N236" t="s">
        <v>336</v>
      </c>
      <c r="O236" t="s">
        <v>441</v>
      </c>
      <c r="P236">
        <v>1412</v>
      </c>
    </row>
    <row r="237" spans="1:17" x14ac:dyDescent="0.3">
      <c r="A237" t="s">
        <v>2079</v>
      </c>
      <c r="B237" t="s">
        <v>2080</v>
      </c>
      <c r="C237" t="s">
        <v>2081</v>
      </c>
      <c r="D237" t="s">
        <v>1817</v>
      </c>
      <c r="E237" t="s">
        <v>1121</v>
      </c>
      <c r="F237" t="s">
        <v>2082</v>
      </c>
      <c r="G237">
        <v>15.178578699999999</v>
      </c>
      <c r="H237">
        <v>120.51842980000001</v>
      </c>
      <c r="I237" t="s">
        <v>2083</v>
      </c>
      <c r="J237">
        <v>9364264596</v>
      </c>
      <c r="K237" t="s">
        <v>2084</v>
      </c>
      <c r="L237">
        <v>1234</v>
      </c>
      <c r="M237" s="1">
        <v>43749</v>
      </c>
      <c r="N237" t="s">
        <v>16</v>
      </c>
      <c r="O237" t="s">
        <v>292</v>
      </c>
      <c r="P237">
        <v>1197</v>
      </c>
      <c r="Q237" t="s">
        <v>2085</v>
      </c>
    </row>
    <row r="238" spans="1:17" x14ac:dyDescent="0.3">
      <c r="A238" t="s">
        <v>2086</v>
      </c>
      <c r="B238" t="s">
        <v>2087</v>
      </c>
      <c r="C238" t="s">
        <v>2088</v>
      </c>
      <c r="D238" t="s">
        <v>2089</v>
      </c>
      <c r="E238" t="s">
        <v>2090</v>
      </c>
      <c r="F238" t="s">
        <v>2091</v>
      </c>
      <c r="G238">
        <v>15.178578699999999</v>
      </c>
      <c r="H238">
        <v>120.51842980000001</v>
      </c>
      <c r="I238" t="s">
        <v>2092</v>
      </c>
      <c r="J238">
        <f>-45- 499-1683</f>
        <v>-2227</v>
      </c>
      <c r="K238" t="s">
        <v>2093</v>
      </c>
      <c r="L238" t="s">
        <v>2094</v>
      </c>
      <c r="M238" s="1">
        <v>43496</v>
      </c>
      <c r="N238" t="s">
        <v>16</v>
      </c>
      <c r="O238" t="s">
        <v>292</v>
      </c>
      <c r="P238">
        <v>1477</v>
      </c>
      <c r="Q238" t="s">
        <v>2095</v>
      </c>
    </row>
    <row r="239" spans="1:17" x14ac:dyDescent="0.3">
      <c r="A239" t="s">
        <v>2096</v>
      </c>
      <c r="B239" t="s">
        <v>2097</v>
      </c>
      <c r="C239" t="s">
        <v>2098</v>
      </c>
      <c r="D239" t="s">
        <v>2099</v>
      </c>
      <c r="E239" t="s">
        <v>329</v>
      </c>
      <c r="I239" t="s">
        <v>2100</v>
      </c>
      <c r="J239">
        <v>9052149225</v>
      </c>
      <c r="K239" t="s">
        <v>2101</v>
      </c>
      <c r="L239" t="s">
        <v>2102</v>
      </c>
      <c r="M239" s="1">
        <v>43532</v>
      </c>
      <c r="N239" t="s">
        <v>398</v>
      </c>
      <c r="O239" t="s">
        <v>582</v>
      </c>
      <c r="P239">
        <v>2311</v>
      </c>
    </row>
    <row r="240" spans="1:17" x14ac:dyDescent="0.3">
      <c r="A240" t="s">
        <v>2103</v>
      </c>
      <c r="B240" t="s">
        <v>2104</v>
      </c>
      <c r="C240" t="s">
        <v>2105</v>
      </c>
      <c r="D240" t="s">
        <v>2106</v>
      </c>
      <c r="E240" t="s">
        <v>2107</v>
      </c>
      <c r="F240" t="s">
        <v>2108</v>
      </c>
      <c r="G240">
        <v>15.187106399951499</v>
      </c>
      <c r="H240">
        <v>120.548923015594</v>
      </c>
      <c r="I240" t="s">
        <v>2109</v>
      </c>
      <c r="J240" t="s">
        <v>2110</v>
      </c>
      <c r="K240" t="s">
        <v>2111</v>
      </c>
      <c r="L240">
        <v>1234</v>
      </c>
      <c r="M240" s="1">
        <v>42883</v>
      </c>
      <c r="N240" t="s">
        <v>871</v>
      </c>
      <c r="O240" t="s">
        <v>1628</v>
      </c>
      <c r="P240">
        <v>1504</v>
      </c>
      <c r="Q240" t="s">
        <v>2112</v>
      </c>
    </row>
    <row r="241" spans="1:17" x14ac:dyDescent="0.3">
      <c r="A241" t="s">
        <v>2113</v>
      </c>
      <c r="B241" t="s">
        <v>2114</v>
      </c>
      <c r="C241" t="s">
        <v>2115</v>
      </c>
      <c r="D241" t="s">
        <v>2116</v>
      </c>
      <c r="E241" t="s">
        <v>1080</v>
      </c>
      <c r="F241" t="s">
        <v>2117</v>
      </c>
      <c r="G241">
        <v>15.178578699999999</v>
      </c>
      <c r="H241">
        <v>120.51842980000001</v>
      </c>
      <c r="I241" t="s">
        <v>2118</v>
      </c>
      <c r="J241">
        <v>9176531076</v>
      </c>
      <c r="K241" t="s">
        <v>2119</v>
      </c>
      <c r="L241" t="s">
        <v>2120</v>
      </c>
      <c r="M241" s="1">
        <v>43663</v>
      </c>
      <c r="N241" t="s">
        <v>398</v>
      </c>
      <c r="O241" t="s">
        <v>582</v>
      </c>
      <c r="P241">
        <v>2453</v>
      </c>
    </row>
    <row r="242" spans="1:17" x14ac:dyDescent="0.3">
      <c r="A242" t="s">
        <v>2121</v>
      </c>
      <c r="B242" t="s">
        <v>2122</v>
      </c>
      <c r="C242" t="s">
        <v>2123</v>
      </c>
      <c r="D242" t="s">
        <v>2124</v>
      </c>
      <c r="E242" t="s">
        <v>477</v>
      </c>
      <c r="F242" t="s">
        <v>2125</v>
      </c>
      <c r="G242">
        <v>15.178578699999999</v>
      </c>
      <c r="H242">
        <v>120.51842980000001</v>
      </c>
      <c r="I242" t="s">
        <v>2126</v>
      </c>
      <c r="J242" t="s">
        <v>2127</v>
      </c>
      <c r="K242" t="s">
        <v>2128</v>
      </c>
      <c r="L242">
        <v>1234</v>
      </c>
      <c r="M242" s="1">
        <v>43235</v>
      </c>
      <c r="N242" t="s">
        <v>2129</v>
      </c>
      <c r="O242" t="s">
        <v>2129</v>
      </c>
      <c r="P242">
        <v>968</v>
      </c>
      <c r="Q242" t="s">
        <v>2130</v>
      </c>
    </row>
    <row r="243" spans="1:17" x14ac:dyDescent="0.3">
      <c r="A243" t="s">
        <v>2131</v>
      </c>
      <c r="B243" t="s">
        <v>2132</v>
      </c>
      <c r="C243" t="s">
        <v>2133</v>
      </c>
      <c r="D243" t="s">
        <v>2134</v>
      </c>
      <c r="E243" t="s">
        <v>262</v>
      </c>
      <c r="F243" t="s">
        <v>2135</v>
      </c>
      <c r="G243">
        <v>15.178578699999999</v>
      </c>
      <c r="H243">
        <v>120.51842980000001</v>
      </c>
      <c r="I243" t="s">
        <v>2136</v>
      </c>
      <c r="J243" t="s">
        <v>2137</v>
      </c>
      <c r="K243" t="s">
        <v>2138</v>
      </c>
      <c r="L243" t="s">
        <v>2139</v>
      </c>
      <c r="M243" s="1">
        <v>43465</v>
      </c>
      <c r="N243" t="s">
        <v>16</v>
      </c>
      <c r="O243" t="s">
        <v>412</v>
      </c>
      <c r="P243">
        <v>77</v>
      </c>
      <c r="Q243" t="s">
        <v>2140</v>
      </c>
    </row>
    <row r="244" spans="1:17" x14ac:dyDescent="0.3">
      <c r="A244" t="s">
        <v>2141</v>
      </c>
      <c r="B244" t="s">
        <v>1442</v>
      </c>
      <c r="C244" t="s">
        <v>2142</v>
      </c>
      <c r="D244" t="s">
        <v>2143</v>
      </c>
      <c r="E244" t="s">
        <v>1311</v>
      </c>
      <c r="F244" t="s">
        <v>2144</v>
      </c>
      <c r="G244">
        <v>15.178578699999999</v>
      </c>
      <c r="H244">
        <v>120.51842980000001</v>
      </c>
      <c r="I244" t="s">
        <v>2145</v>
      </c>
      <c r="J244" t="s">
        <v>2146</v>
      </c>
      <c r="K244" t="s">
        <v>2147</v>
      </c>
      <c r="L244">
        <v>1234</v>
      </c>
      <c r="M244" s="1">
        <v>42973</v>
      </c>
      <c r="N244" t="s">
        <v>336</v>
      </c>
      <c r="O244" t="s">
        <v>441</v>
      </c>
      <c r="P244">
        <v>2026</v>
      </c>
      <c r="Q244" t="s">
        <v>2148</v>
      </c>
    </row>
    <row r="245" spans="1:17" x14ac:dyDescent="0.3">
      <c r="A245" t="s">
        <v>2149</v>
      </c>
      <c r="B245" t="s">
        <v>1852</v>
      </c>
      <c r="C245" t="s">
        <v>2150</v>
      </c>
      <c r="D245" t="s">
        <v>326</v>
      </c>
      <c r="E245" t="s">
        <v>2151</v>
      </c>
      <c r="I245" t="s">
        <v>2152</v>
      </c>
      <c r="J245" t="s">
        <v>2153</v>
      </c>
      <c r="K245" t="s">
        <v>2154</v>
      </c>
      <c r="L245" t="s">
        <v>2155</v>
      </c>
      <c r="M245" s="1">
        <v>43159</v>
      </c>
      <c r="N245" t="s">
        <v>16</v>
      </c>
      <c r="O245" t="s">
        <v>292</v>
      </c>
      <c r="P245">
        <v>1131</v>
      </c>
      <c r="Q245" t="s">
        <v>2156</v>
      </c>
    </row>
    <row r="246" spans="1:17" x14ac:dyDescent="0.3">
      <c r="A246" t="s">
        <v>2157</v>
      </c>
      <c r="B246" t="s">
        <v>476</v>
      </c>
      <c r="C246" t="s">
        <v>2158</v>
      </c>
      <c r="D246" t="s">
        <v>2159</v>
      </c>
      <c r="E246" t="s">
        <v>2160</v>
      </c>
      <c r="F246" t="s">
        <v>2161</v>
      </c>
      <c r="G246">
        <v>15.178578699999999</v>
      </c>
      <c r="H246">
        <v>120.51842980000001</v>
      </c>
      <c r="I246" t="s">
        <v>2162</v>
      </c>
      <c r="J246" t="s">
        <v>2163</v>
      </c>
      <c r="K246" t="s">
        <v>2164</v>
      </c>
      <c r="L246">
        <v>1234</v>
      </c>
      <c r="M246" s="1">
        <v>42855</v>
      </c>
      <c r="N246" t="s">
        <v>369</v>
      </c>
      <c r="O246" t="s">
        <v>370</v>
      </c>
      <c r="P246">
        <v>1859</v>
      </c>
    </row>
    <row r="247" spans="1:17" x14ac:dyDescent="0.3">
      <c r="A247" t="s">
        <v>2165</v>
      </c>
      <c r="B247" t="s">
        <v>326</v>
      </c>
      <c r="C247" t="s">
        <v>2166</v>
      </c>
      <c r="D247" t="s">
        <v>1182</v>
      </c>
      <c r="E247" t="s">
        <v>2167</v>
      </c>
      <c r="F247" t="s">
        <v>2168</v>
      </c>
      <c r="G247">
        <v>15.178578699999999</v>
      </c>
      <c r="H247">
        <v>120.51842980000001</v>
      </c>
      <c r="I247" t="s">
        <v>2169</v>
      </c>
      <c r="J247" t="s">
        <v>2170</v>
      </c>
      <c r="K247" t="s">
        <v>2171</v>
      </c>
      <c r="L247" t="s">
        <v>2172</v>
      </c>
      <c r="M247" s="1">
        <v>43921</v>
      </c>
      <c r="N247" t="s">
        <v>398</v>
      </c>
      <c r="O247" t="s">
        <v>399</v>
      </c>
      <c r="P247">
        <v>1627</v>
      </c>
      <c r="Q247" t="s">
        <v>2173</v>
      </c>
    </row>
    <row r="248" spans="1:17" x14ac:dyDescent="0.3">
      <c r="A248" t="s">
        <v>2174</v>
      </c>
      <c r="B248" t="s">
        <v>2175</v>
      </c>
      <c r="C248" t="s">
        <v>2176</v>
      </c>
      <c r="D248" t="s">
        <v>585</v>
      </c>
      <c r="E248" t="s">
        <v>1110</v>
      </c>
      <c r="F248" t="s">
        <v>2177</v>
      </c>
      <c r="G248">
        <v>15.178578699999999</v>
      </c>
      <c r="H248">
        <v>120.51842980000001</v>
      </c>
      <c r="I248" t="s">
        <v>2178</v>
      </c>
      <c r="J248">
        <v>9173162706</v>
      </c>
      <c r="K248" t="s">
        <v>2179</v>
      </c>
      <c r="L248" t="s">
        <v>2180</v>
      </c>
      <c r="M248" s="1">
        <v>43100</v>
      </c>
      <c r="N248" t="s">
        <v>369</v>
      </c>
      <c r="O248" t="s">
        <v>2181</v>
      </c>
      <c r="P248">
        <v>902</v>
      </c>
    </row>
    <row r="249" spans="1:17" x14ac:dyDescent="0.3">
      <c r="A249" t="s">
        <v>2182</v>
      </c>
      <c r="B249" t="s">
        <v>2183</v>
      </c>
      <c r="C249" t="s">
        <v>2184</v>
      </c>
      <c r="D249" t="s">
        <v>1709</v>
      </c>
      <c r="E249" t="s">
        <v>2185</v>
      </c>
      <c r="F249" t="s">
        <v>2186</v>
      </c>
      <c r="G249">
        <v>15.178139527295301</v>
      </c>
      <c r="H249">
        <v>120.520920753479</v>
      </c>
      <c r="I249" t="s">
        <v>2187</v>
      </c>
      <c r="J249">
        <v>9189038984</v>
      </c>
      <c r="K249" t="s">
        <v>2188</v>
      </c>
      <c r="L249">
        <v>1234</v>
      </c>
      <c r="M249" s="1">
        <v>42612</v>
      </c>
      <c r="N249" t="s">
        <v>871</v>
      </c>
      <c r="O249" t="s">
        <v>458</v>
      </c>
      <c r="P249">
        <v>1199</v>
      </c>
    </row>
    <row r="250" spans="1:17" x14ac:dyDescent="0.3">
      <c r="A250" t="s">
        <v>2189</v>
      </c>
      <c r="B250" t="s">
        <v>2190</v>
      </c>
      <c r="C250" t="s">
        <v>2191</v>
      </c>
      <c r="D250" t="s">
        <v>2192</v>
      </c>
      <c r="E250" t="s">
        <v>2193</v>
      </c>
      <c r="F250" t="s">
        <v>2194</v>
      </c>
      <c r="G250">
        <v>15.1946337229581</v>
      </c>
      <c r="H250">
        <v>120.536220073699</v>
      </c>
      <c r="I250" t="s">
        <v>2195</v>
      </c>
      <c r="J250">
        <v>9620669814</v>
      </c>
      <c r="K250" t="s">
        <v>2196</v>
      </c>
      <c r="L250">
        <v>1234</v>
      </c>
      <c r="M250" s="1">
        <v>42756</v>
      </c>
      <c r="N250" t="s">
        <v>710</v>
      </c>
      <c r="O250" t="s">
        <v>1932</v>
      </c>
      <c r="P250">
        <v>1316</v>
      </c>
      <c r="Q250" t="s">
        <v>2197</v>
      </c>
    </row>
    <row r="251" spans="1:17" x14ac:dyDescent="0.3">
      <c r="A251" t="s">
        <v>2198</v>
      </c>
      <c r="B251" t="s">
        <v>1983</v>
      </c>
      <c r="C251" t="s">
        <v>2199</v>
      </c>
      <c r="D251" t="s">
        <v>2200</v>
      </c>
      <c r="E251" t="s">
        <v>2201</v>
      </c>
      <c r="I251" t="s">
        <v>2202</v>
      </c>
      <c r="J251" t="s">
        <v>2203</v>
      </c>
      <c r="K251" t="s">
        <v>2204</v>
      </c>
      <c r="L251" t="s">
        <v>778</v>
      </c>
      <c r="M251" s="1">
        <v>43617</v>
      </c>
      <c r="N251" t="s">
        <v>336</v>
      </c>
      <c r="O251" t="s">
        <v>515</v>
      </c>
      <c r="P251">
        <v>1175</v>
      </c>
    </row>
    <row r="252" spans="1:17" x14ac:dyDescent="0.3">
      <c r="A252" t="s">
        <v>2205</v>
      </c>
      <c r="B252" t="s">
        <v>2206</v>
      </c>
      <c r="C252" t="s">
        <v>123</v>
      </c>
      <c r="D252" t="s">
        <v>2207</v>
      </c>
      <c r="E252" t="s">
        <v>1276</v>
      </c>
      <c r="F252" t="s">
        <v>2208</v>
      </c>
      <c r="G252">
        <v>15.178578699999999</v>
      </c>
      <c r="H252">
        <v>120.51842980000001</v>
      </c>
      <c r="I252" t="s">
        <v>2209</v>
      </c>
      <c r="J252">
        <v>9175110930</v>
      </c>
      <c r="K252" t="s">
        <v>2210</v>
      </c>
      <c r="L252" t="s">
        <v>2211</v>
      </c>
      <c r="M252" s="1">
        <v>42815</v>
      </c>
      <c r="N252" t="s">
        <v>398</v>
      </c>
      <c r="O252" t="s">
        <v>853</v>
      </c>
      <c r="P252">
        <v>2136</v>
      </c>
    </row>
    <row r="253" spans="1:17" x14ac:dyDescent="0.3">
      <c r="A253" t="s">
        <v>2212</v>
      </c>
      <c r="B253" t="s">
        <v>2213</v>
      </c>
      <c r="C253" t="s">
        <v>2214</v>
      </c>
      <c r="D253" t="s">
        <v>2215</v>
      </c>
      <c r="E253" t="s">
        <v>2216</v>
      </c>
      <c r="F253" t="s">
        <v>2217</v>
      </c>
      <c r="G253">
        <v>15.178578699999999</v>
      </c>
      <c r="H253">
        <v>120.51842980000001</v>
      </c>
      <c r="I253" t="s">
        <v>2218</v>
      </c>
      <c r="J253">
        <v>9989641184</v>
      </c>
      <c r="K253" t="s">
        <v>2219</v>
      </c>
      <c r="L253">
        <v>1234</v>
      </c>
      <c r="M253" s="1">
        <v>42947</v>
      </c>
      <c r="N253" t="s">
        <v>304</v>
      </c>
      <c r="O253" t="s">
        <v>305</v>
      </c>
      <c r="P253">
        <v>1808</v>
      </c>
    </row>
    <row r="254" spans="1:17" x14ac:dyDescent="0.3">
      <c r="A254" t="s">
        <v>2220</v>
      </c>
      <c r="B254" t="s">
        <v>2221</v>
      </c>
      <c r="C254" t="s">
        <v>2222</v>
      </c>
      <c r="D254" t="s">
        <v>2223</v>
      </c>
      <c r="E254" t="s">
        <v>2224</v>
      </c>
      <c r="F254" t="s">
        <v>2225</v>
      </c>
      <c r="G254">
        <v>15.1731278529268</v>
      </c>
      <c r="H254">
        <v>120.52963256835901</v>
      </c>
      <c r="I254" t="s">
        <v>2226</v>
      </c>
      <c r="J254">
        <v>9176508089</v>
      </c>
      <c r="K254" t="s">
        <v>2227</v>
      </c>
      <c r="L254" t="s">
        <v>2228</v>
      </c>
      <c r="M254" s="1">
        <v>42886</v>
      </c>
      <c r="N254" t="s">
        <v>871</v>
      </c>
      <c r="O254" t="s">
        <v>2229</v>
      </c>
      <c r="P254">
        <v>1210</v>
      </c>
      <c r="Q254" t="s">
        <v>2230</v>
      </c>
    </row>
    <row r="255" spans="1:17" x14ac:dyDescent="0.3">
      <c r="A255" t="s">
        <v>2231</v>
      </c>
      <c r="B255" t="s">
        <v>2232</v>
      </c>
      <c r="C255" t="s">
        <v>2233</v>
      </c>
      <c r="D255" t="s">
        <v>2234</v>
      </c>
      <c r="E255" t="s">
        <v>2235</v>
      </c>
      <c r="F255" t="s">
        <v>2236</v>
      </c>
      <c r="G255">
        <v>15.2000849109406</v>
      </c>
      <c r="H255">
        <v>120.54207265377001</v>
      </c>
      <c r="I255" t="s">
        <v>2237</v>
      </c>
      <c r="J255" t="s">
        <v>2238</v>
      </c>
      <c r="K255" t="s">
        <v>2239</v>
      </c>
      <c r="L255">
        <v>22023</v>
      </c>
      <c r="M255" s="1">
        <v>43677</v>
      </c>
      <c r="N255" t="s">
        <v>16</v>
      </c>
      <c r="O255" t="s">
        <v>17</v>
      </c>
      <c r="P255">
        <v>1411</v>
      </c>
      <c r="Q255" t="s">
        <v>2240</v>
      </c>
    </row>
    <row r="256" spans="1:17" x14ac:dyDescent="0.3">
      <c r="A256" t="s">
        <v>2241</v>
      </c>
      <c r="K256" t="s">
        <v>2242</v>
      </c>
      <c r="L256">
        <v>1234</v>
      </c>
      <c r="M256" s="1">
        <v>43159</v>
      </c>
      <c r="N256" t="s">
        <v>398</v>
      </c>
      <c r="O256" t="s">
        <v>752</v>
      </c>
      <c r="P256">
        <v>1723</v>
      </c>
    </row>
    <row r="257" spans="1:17" x14ac:dyDescent="0.3">
      <c r="A257" t="s">
        <v>2243</v>
      </c>
      <c r="B257" t="s">
        <v>2244</v>
      </c>
      <c r="C257" t="s">
        <v>2245</v>
      </c>
      <c r="D257" t="s">
        <v>1571</v>
      </c>
      <c r="E257" t="s">
        <v>9</v>
      </c>
      <c r="F257" t="s">
        <v>2246</v>
      </c>
      <c r="G257">
        <v>15.178578699999999</v>
      </c>
      <c r="H257">
        <v>120.51842980000001</v>
      </c>
      <c r="I257" t="s">
        <v>2247</v>
      </c>
      <c r="J257">
        <v>9360969175</v>
      </c>
      <c r="K257" t="s">
        <v>2248</v>
      </c>
      <c r="L257" t="s">
        <v>2249</v>
      </c>
      <c r="M257" s="1">
        <v>43385</v>
      </c>
      <c r="N257" t="s">
        <v>779</v>
      </c>
      <c r="O257" t="s">
        <v>780</v>
      </c>
      <c r="P257">
        <v>1034</v>
      </c>
      <c r="Q257" t="s">
        <v>2250</v>
      </c>
    </row>
    <row r="258" spans="1:17" x14ac:dyDescent="0.3">
      <c r="A258" t="s">
        <v>2251</v>
      </c>
      <c r="B258" t="s">
        <v>2046</v>
      </c>
      <c r="C258" t="s">
        <v>123</v>
      </c>
      <c r="D258" t="s">
        <v>2252</v>
      </c>
      <c r="E258" t="s">
        <v>2253</v>
      </c>
      <c r="F258" t="s">
        <v>2254</v>
      </c>
      <c r="G258">
        <v>15.178578699999999</v>
      </c>
      <c r="H258">
        <v>120.51842980000001</v>
      </c>
      <c r="I258" t="s">
        <v>2255</v>
      </c>
      <c r="J258" t="s">
        <v>2256</v>
      </c>
      <c r="K258" t="s">
        <v>2257</v>
      </c>
      <c r="L258">
        <v>1234</v>
      </c>
      <c r="M258" s="1">
        <v>43190</v>
      </c>
      <c r="N258" t="s">
        <v>336</v>
      </c>
      <c r="O258" t="s">
        <v>515</v>
      </c>
      <c r="P258">
        <v>1172</v>
      </c>
    </row>
    <row r="259" spans="1:17" x14ac:dyDescent="0.3">
      <c r="A259" t="s">
        <v>2258</v>
      </c>
      <c r="B259" t="s">
        <v>2259</v>
      </c>
      <c r="C259" t="s">
        <v>2260</v>
      </c>
      <c r="D259" t="s">
        <v>2261</v>
      </c>
      <c r="E259" t="s">
        <v>2262</v>
      </c>
      <c r="F259" t="s">
        <v>2263</v>
      </c>
      <c r="G259">
        <v>15.178578699999999</v>
      </c>
      <c r="H259">
        <v>120.51842980000001</v>
      </c>
      <c r="I259" t="s">
        <v>2264</v>
      </c>
      <c r="J259" t="s">
        <v>2265</v>
      </c>
      <c r="K259" t="s">
        <v>2266</v>
      </c>
      <c r="L259" t="s">
        <v>2267</v>
      </c>
      <c r="M259" s="1">
        <v>43039</v>
      </c>
      <c r="N259" t="s">
        <v>336</v>
      </c>
      <c r="O259" t="s">
        <v>515</v>
      </c>
      <c r="P259">
        <v>2035</v>
      </c>
      <c r="Q259" t="s">
        <v>2268</v>
      </c>
    </row>
    <row r="260" spans="1:17" x14ac:dyDescent="0.3">
      <c r="A260" t="s">
        <v>2269</v>
      </c>
      <c r="B260" t="s">
        <v>1633</v>
      </c>
      <c r="C260" t="s">
        <v>2270</v>
      </c>
      <c r="D260" t="s">
        <v>2271</v>
      </c>
      <c r="E260" t="s">
        <v>329</v>
      </c>
      <c r="I260" t="s">
        <v>2272</v>
      </c>
      <c r="J260" t="s">
        <v>2273</v>
      </c>
      <c r="K260" t="s">
        <v>2274</v>
      </c>
      <c r="L260">
        <v>1234</v>
      </c>
      <c r="M260" s="1">
        <v>42855</v>
      </c>
      <c r="N260" t="s">
        <v>16</v>
      </c>
      <c r="O260" t="s">
        <v>292</v>
      </c>
      <c r="P260">
        <v>2388</v>
      </c>
    </row>
    <row r="261" spans="1:17" x14ac:dyDescent="0.3">
      <c r="A261" t="s">
        <v>2275</v>
      </c>
      <c r="B261" t="s">
        <v>2276</v>
      </c>
      <c r="C261" t="s">
        <v>2277</v>
      </c>
      <c r="D261" t="s">
        <v>1265</v>
      </c>
      <c r="E261" t="s">
        <v>2278</v>
      </c>
      <c r="F261" t="s">
        <v>2279</v>
      </c>
      <c r="G261">
        <v>15.178578699999999</v>
      </c>
      <c r="H261">
        <v>120.51842980000001</v>
      </c>
      <c r="I261" t="s">
        <v>2280</v>
      </c>
      <c r="J261">
        <v>9562706128</v>
      </c>
      <c r="K261" t="s">
        <v>2281</v>
      </c>
      <c r="L261">
        <v>1234</v>
      </c>
      <c r="M261" s="1">
        <v>43370</v>
      </c>
      <c r="N261" t="s">
        <v>931</v>
      </c>
      <c r="O261" t="s">
        <v>2282</v>
      </c>
      <c r="P261">
        <v>2207</v>
      </c>
    </row>
    <row r="262" spans="1:17" x14ac:dyDescent="0.3">
      <c r="A262" t="s">
        <v>2283</v>
      </c>
      <c r="B262" t="s">
        <v>2284</v>
      </c>
      <c r="C262" t="s">
        <v>2285</v>
      </c>
      <c r="D262" t="s">
        <v>2286</v>
      </c>
      <c r="E262" t="s">
        <v>329</v>
      </c>
      <c r="F262" t="s">
        <v>2287</v>
      </c>
      <c r="G262">
        <v>15.178578699999999</v>
      </c>
      <c r="H262">
        <v>120.51842980000001</v>
      </c>
      <c r="I262" t="s">
        <v>2288</v>
      </c>
      <c r="J262">
        <v>9364483609</v>
      </c>
      <c r="K262" t="s">
        <v>2289</v>
      </c>
      <c r="L262">
        <v>1234</v>
      </c>
      <c r="M262" s="1">
        <v>43477</v>
      </c>
      <c r="N262" t="s">
        <v>779</v>
      </c>
      <c r="O262" t="s">
        <v>780</v>
      </c>
      <c r="P262">
        <v>1288</v>
      </c>
    </row>
    <row r="263" spans="1:17" x14ac:dyDescent="0.3">
      <c r="A263" t="s">
        <v>2290</v>
      </c>
      <c r="K263" t="s">
        <v>2291</v>
      </c>
      <c r="L263">
        <v>1234</v>
      </c>
      <c r="M263" s="1">
        <v>42682</v>
      </c>
      <c r="N263" t="s">
        <v>398</v>
      </c>
      <c r="O263" t="s">
        <v>752</v>
      </c>
      <c r="P263">
        <v>2287</v>
      </c>
    </row>
    <row r="264" spans="1:17" x14ac:dyDescent="0.3">
      <c r="A264" t="s">
        <v>2292</v>
      </c>
      <c r="B264" t="s">
        <v>2293</v>
      </c>
      <c r="C264" t="s">
        <v>2294</v>
      </c>
      <c r="D264" t="s">
        <v>2295</v>
      </c>
      <c r="E264" t="s">
        <v>2296</v>
      </c>
      <c r="F264" t="s">
        <v>2297</v>
      </c>
      <c r="G264">
        <v>15.178578699999999</v>
      </c>
      <c r="H264">
        <v>120.51842980000001</v>
      </c>
      <c r="I264" t="s">
        <v>2298</v>
      </c>
      <c r="J264">
        <v>9178128972</v>
      </c>
      <c r="K264" t="s">
        <v>2299</v>
      </c>
      <c r="L264">
        <v>1234</v>
      </c>
      <c r="M264" s="1">
        <v>43205</v>
      </c>
      <c r="N264" t="s">
        <v>304</v>
      </c>
      <c r="O264" t="s">
        <v>323</v>
      </c>
      <c r="P264">
        <v>1140</v>
      </c>
      <c r="Q264" t="s">
        <v>2300</v>
      </c>
    </row>
    <row r="265" spans="1:17" x14ac:dyDescent="0.3">
      <c r="A265" t="s">
        <v>2301</v>
      </c>
      <c r="B265" t="s">
        <v>2302</v>
      </c>
      <c r="C265" t="s">
        <v>2303</v>
      </c>
      <c r="D265" t="s">
        <v>2304</v>
      </c>
      <c r="E265" t="s">
        <v>1276</v>
      </c>
      <c r="F265" t="s">
        <v>2305</v>
      </c>
      <c r="G265">
        <v>15.178578699999999</v>
      </c>
      <c r="H265">
        <v>120.51842980000001</v>
      </c>
      <c r="I265" t="s">
        <v>2306</v>
      </c>
      <c r="J265">
        <v>9324516344</v>
      </c>
      <c r="K265" t="s">
        <v>2307</v>
      </c>
      <c r="L265">
        <v>1234</v>
      </c>
      <c r="M265" s="1">
        <v>42878</v>
      </c>
      <c r="N265" t="s">
        <v>398</v>
      </c>
      <c r="O265" t="s">
        <v>685</v>
      </c>
      <c r="P265">
        <v>2415</v>
      </c>
    </row>
    <row r="266" spans="1:17" x14ac:dyDescent="0.3">
      <c r="A266" t="s">
        <v>2308</v>
      </c>
      <c r="B266" t="s">
        <v>2309</v>
      </c>
      <c r="C266" t="s">
        <v>2310</v>
      </c>
      <c r="D266" t="s">
        <v>2311</v>
      </c>
      <c r="E266" t="s">
        <v>2312</v>
      </c>
      <c r="F266" t="s">
        <v>2313</v>
      </c>
      <c r="G266">
        <v>15.178578699999999</v>
      </c>
      <c r="H266">
        <v>120.51842980000001</v>
      </c>
      <c r="I266" t="s">
        <v>2314</v>
      </c>
      <c r="J266">
        <v>9956753841</v>
      </c>
      <c r="K266" t="s">
        <v>2315</v>
      </c>
      <c r="L266" t="s">
        <v>2316</v>
      </c>
      <c r="M266" s="1">
        <v>43159</v>
      </c>
      <c r="N266" t="s">
        <v>336</v>
      </c>
      <c r="O266" t="s">
        <v>337</v>
      </c>
      <c r="P266">
        <v>1851</v>
      </c>
      <c r="Q266" t="s">
        <v>2317</v>
      </c>
    </row>
    <row r="267" spans="1:17" x14ac:dyDescent="0.3">
      <c r="A267" t="s">
        <v>2318</v>
      </c>
      <c r="B267" t="s">
        <v>2319</v>
      </c>
      <c r="C267" t="s">
        <v>2320</v>
      </c>
      <c r="D267" t="s">
        <v>2321</v>
      </c>
      <c r="E267" t="s">
        <v>2322</v>
      </c>
      <c r="F267" t="s">
        <v>2323</v>
      </c>
      <c r="G267">
        <v>15.178578699999999</v>
      </c>
      <c r="H267">
        <v>120.51842980000001</v>
      </c>
      <c r="I267" t="s">
        <v>2324</v>
      </c>
      <c r="J267" t="s">
        <v>2325</v>
      </c>
      <c r="K267" t="s">
        <v>2326</v>
      </c>
      <c r="L267">
        <v>1234</v>
      </c>
      <c r="M267" s="1">
        <v>42794</v>
      </c>
      <c r="N267" t="s">
        <v>336</v>
      </c>
      <c r="O267" t="s">
        <v>515</v>
      </c>
      <c r="P267">
        <v>701</v>
      </c>
    </row>
    <row r="268" spans="1:17" x14ac:dyDescent="0.3">
      <c r="A268" t="s">
        <v>2327</v>
      </c>
      <c r="B268" t="s">
        <v>585</v>
      </c>
      <c r="C268" t="s">
        <v>2328</v>
      </c>
      <c r="D268" t="s">
        <v>2329</v>
      </c>
      <c r="E268" t="s">
        <v>286</v>
      </c>
      <c r="F268" t="s">
        <v>2330</v>
      </c>
      <c r="G268">
        <v>15.178578699999999</v>
      </c>
      <c r="H268">
        <v>120.51842980000001</v>
      </c>
      <c r="I268" t="s">
        <v>2331</v>
      </c>
      <c r="J268">
        <v>9198729910</v>
      </c>
      <c r="K268" t="s">
        <v>2332</v>
      </c>
      <c r="L268">
        <v>1234</v>
      </c>
      <c r="M268" s="1">
        <v>42185</v>
      </c>
      <c r="N268" t="s">
        <v>398</v>
      </c>
      <c r="O268" t="s">
        <v>685</v>
      </c>
      <c r="P268">
        <v>1706</v>
      </c>
    </row>
    <row r="269" spans="1:17" x14ac:dyDescent="0.3">
      <c r="A269" t="s">
        <v>2333</v>
      </c>
      <c r="B269" t="s">
        <v>2334</v>
      </c>
      <c r="C269" t="s">
        <v>2335</v>
      </c>
      <c r="D269" t="s">
        <v>2336</v>
      </c>
      <c r="E269" t="s">
        <v>2337</v>
      </c>
      <c r="F269" t="s">
        <v>2338</v>
      </c>
      <c r="G269">
        <v>15.178578699999999</v>
      </c>
      <c r="H269">
        <v>120.51842980000001</v>
      </c>
      <c r="I269" t="s">
        <v>2339</v>
      </c>
      <c r="J269" t="s">
        <v>2340</v>
      </c>
      <c r="K269" t="s">
        <v>2341</v>
      </c>
      <c r="L269">
        <v>1234</v>
      </c>
      <c r="M269" s="1">
        <v>43757</v>
      </c>
      <c r="N269" t="s">
        <v>779</v>
      </c>
      <c r="O269" t="s">
        <v>1178</v>
      </c>
      <c r="P269">
        <v>797</v>
      </c>
      <c r="Q269" t="s">
        <v>2342</v>
      </c>
    </row>
    <row r="270" spans="1:17" x14ac:dyDescent="0.3">
      <c r="A270" t="s">
        <v>2343</v>
      </c>
      <c r="B270" t="s">
        <v>2344</v>
      </c>
      <c r="C270" t="s">
        <v>2345</v>
      </c>
      <c r="D270" t="s">
        <v>2346</v>
      </c>
      <c r="E270" t="s">
        <v>286</v>
      </c>
      <c r="F270" t="s">
        <v>2347</v>
      </c>
      <c r="G270">
        <v>15.178578699999999</v>
      </c>
      <c r="H270">
        <v>120.51842980000001</v>
      </c>
      <c r="I270" t="s">
        <v>2348</v>
      </c>
      <c r="J270">
        <v>9179698724</v>
      </c>
      <c r="K270" t="s">
        <v>2349</v>
      </c>
      <c r="L270">
        <v>1234</v>
      </c>
      <c r="M270" s="1">
        <v>43039</v>
      </c>
      <c r="N270" t="s">
        <v>779</v>
      </c>
      <c r="O270" t="s">
        <v>2350</v>
      </c>
      <c r="P270">
        <v>1941</v>
      </c>
    </row>
    <row r="271" spans="1:17" x14ac:dyDescent="0.3">
      <c r="A271" t="s">
        <v>2351</v>
      </c>
      <c r="B271" t="s">
        <v>2352</v>
      </c>
      <c r="C271" t="s">
        <v>2353</v>
      </c>
      <c r="D271" t="s">
        <v>2354</v>
      </c>
      <c r="E271" t="s">
        <v>672</v>
      </c>
      <c r="F271" t="s">
        <v>2355</v>
      </c>
      <c r="G271">
        <v>15.1958036954051</v>
      </c>
      <c r="H271">
        <v>120.54231405258101</v>
      </c>
      <c r="I271" t="s">
        <v>2356</v>
      </c>
      <c r="J271" t="s">
        <v>2357</v>
      </c>
      <c r="K271" t="s">
        <v>2358</v>
      </c>
      <c r="L271" t="s">
        <v>2359</v>
      </c>
      <c r="M271" s="1">
        <v>43100</v>
      </c>
      <c r="N271" t="s">
        <v>304</v>
      </c>
      <c r="O271" t="s">
        <v>305</v>
      </c>
      <c r="P271">
        <v>1007</v>
      </c>
    </row>
    <row r="272" spans="1:17" x14ac:dyDescent="0.3">
      <c r="A272" t="s">
        <v>2360</v>
      </c>
      <c r="B272" t="s">
        <v>2352</v>
      </c>
      <c r="C272" t="s">
        <v>2353</v>
      </c>
      <c r="D272" t="s">
        <v>2354</v>
      </c>
      <c r="E272" t="s">
        <v>672</v>
      </c>
      <c r="F272" t="s">
        <v>2361</v>
      </c>
      <c r="G272">
        <v>15.1953274242186</v>
      </c>
      <c r="H272">
        <v>120.542550086975</v>
      </c>
      <c r="I272" t="s">
        <v>2356</v>
      </c>
      <c r="J272" t="s">
        <v>2362</v>
      </c>
      <c r="K272" t="s">
        <v>2363</v>
      </c>
      <c r="L272" t="s">
        <v>2359</v>
      </c>
      <c r="M272" s="1">
        <v>43100</v>
      </c>
      <c r="N272" t="s">
        <v>304</v>
      </c>
      <c r="O272" t="s">
        <v>323</v>
      </c>
      <c r="P272">
        <v>1003</v>
      </c>
    </row>
    <row r="273" spans="1:17" x14ac:dyDescent="0.3">
      <c r="A273" t="s">
        <v>2364</v>
      </c>
      <c r="B273" t="s">
        <v>2365</v>
      </c>
      <c r="C273" t="s">
        <v>2366</v>
      </c>
      <c r="D273" t="s">
        <v>415</v>
      </c>
      <c r="E273" t="s">
        <v>1146</v>
      </c>
      <c r="I273" t="s">
        <v>2367</v>
      </c>
      <c r="J273">
        <v>9434053170</v>
      </c>
      <c r="K273" t="s">
        <v>2368</v>
      </c>
      <c r="L273" t="s">
        <v>2369</v>
      </c>
      <c r="M273" s="1">
        <v>43567</v>
      </c>
      <c r="N273" t="s">
        <v>931</v>
      </c>
      <c r="P273">
        <v>87</v>
      </c>
    </row>
    <row r="274" spans="1:17" x14ac:dyDescent="0.3">
      <c r="A274" t="s">
        <v>2370</v>
      </c>
      <c r="B274" t="s">
        <v>2122</v>
      </c>
      <c r="C274" t="s">
        <v>2371</v>
      </c>
      <c r="D274" t="s">
        <v>2372</v>
      </c>
      <c r="E274" t="s">
        <v>342</v>
      </c>
      <c r="F274" t="s">
        <v>2373</v>
      </c>
      <c r="G274">
        <v>15.178578699999999</v>
      </c>
      <c r="H274">
        <v>120.51842980000001</v>
      </c>
      <c r="I274" t="s">
        <v>2374</v>
      </c>
      <c r="J274">
        <v>454584309</v>
      </c>
      <c r="K274" t="s">
        <v>2375</v>
      </c>
      <c r="L274">
        <v>1234</v>
      </c>
      <c r="M274" s="1">
        <v>42704</v>
      </c>
      <c r="N274" t="s">
        <v>398</v>
      </c>
      <c r="O274" t="s">
        <v>685</v>
      </c>
      <c r="P274">
        <v>1940</v>
      </c>
      <c r="Q274" t="s">
        <v>2376</v>
      </c>
    </row>
    <row r="275" spans="1:17" x14ac:dyDescent="0.3">
      <c r="A275" t="s">
        <v>2377</v>
      </c>
      <c r="B275" t="s">
        <v>2378</v>
      </c>
      <c r="C275" t="s">
        <v>2379</v>
      </c>
      <c r="D275" t="s">
        <v>2380</v>
      </c>
      <c r="E275" t="s">
        <v>1276</v>
      </c>
      <c r="F275" t="s">
        <v>2381</v>
      </c>
      <c r="G275">
        <v>15.178578699999999</v>
      </c>
      <c r="H275">
        <v>120.51842980000001</v>
      </c>
      <c r="I275" t="s">
        <v>2382</v>
      </c>
      <c r="J275" t="s">
        <v>2383</v>
      </c>
      <c r="K275" t="s">
        <v>2384</v>
      </c>
      <c r="L275">
        <v>1234</v>
      </c>
      <c r="M275" s="1">
        <v>43496</v>
      </c>
      <c r="N275" t="s">
        <v>398</v>
      </c>
      <c r="O275" t="s">
        <v>582</v>
      </c>
      <c r="P275">
        <v>1560</v>
      </c>
      <c r="Q275" t="s">
        <v>2385</v>
      </c>
    </row>
    <row r="276" spans="1:17" x14ac:dyDescent="0.3">
      <c r="A276" t="s">
        <v>2386</v>
      </c>
      <c r="B276" t="s">
        <v>2387</v>
      </c>
      <c r="C276" t="s">
        <v>2388</v>
      </c>
      <c r="D276" t="s">
        <v>2389</v>
      </c>
      <c r="E276" t="s">
        <v>2390</v>
      </c>
      <c r="F276" t="s">
        <v>2391</v>
      </c>
      <c r="G276">
        <v>15.177290450334599</v>
      </c>
      <c r="H276">
        <v>120.525577068328</v>
      </c>
      <c r="I276" t="s">
        <v>2392</v>
      </c>
      <c r="J276" t="s">
        <v>2393</v>
      </c>
      <c r="K276" t="s">
        <v>2394</v>
      </c>
      <c r="L276" t="s">
        <v>2395</v>
      </c>
      <c r="M276" s="1">
        <v>43251</v>
      </c>
      <c r="N276" t="s">
        <v>369</v>
      </c>
      <c r="O276" t="s">
        <v>1932</v>
      </c>
      <c r="P276">
        <v>1619</v>
      </c>
      <c r="Q276" t="s">
        <v>2396</v>
      </c>
    </row>
    <row r="277" spans="1:17" x14ac:dyDescent="0.3">
      <c r="A277" t="s">
        <v>2397</v>
      </c>
      <c r="B277" t="s">
        <v>2398</v>
      </c>
      <c r="C277" t="s">
        <v>2399</v>
      </c>
      <c r="D277" t="s">
        <v>2400</v>
      </c>
      <c r="E277" t="s">
        <v>698</v>
      </c>
      <c r="F277" t="s">
        <v>2401</v>
      </c>
      <c r="G277">
        <v>15.1739976561789</v>
      </c>
      <c r="H277">
        <v>120.53044795989901</v>
      </c>
      <c r="I277" t="s">
        <v>2402</v>
      </c>
      <c r="J277">
        <v>9499940194</v>
      </c>
      <c r="K277" t="s">
        <v>2403</v>
      </c>
      <c r="L277" t="s">
        <v>2404</v>
      </c>
      <c r="M277" s="1">
        <v>43008</v>
      </c>
      <c r="N277" t="s">
        <v>369</v>
      </c>
      <c r="O277" t="s">
        <v>370</v>
      </c>
      <c r="P277">
        <v>1971</v>
      </c>
      <c r="Q277" t="s">
        <v>2405</v>
      </c>
    </row>
    <row r="278" spans="1:17" x14ac:dyDescent="0.3">
      <c r="A278" t="s">
        <v>2406</v>
      </c>
      <c r="B278" t="s">
        <v>2407</v>
      </c>
      <c r="C278" t="s">
        <v>2408</v>
      </c>
      <c r="D278" t="s">
        <v>2409</v>
      </c>
      <c r="E278" t="s">
        <v>867</v>
      </c>
      <c r="F278" t="s">
        <v>2410</v>
      </c>
      <c r="G278">
        <v>15.178578699999999</v>
      </c>
      <c r="H278">
        <v>120.51842980000001</v>
      </c>
      <c r="I278" t="s">
        <v>2411</v>
      </c>
      <c r="J278">
        <v>9272294452</v>
      </c>
      <c r="K278" t="s">
        <v>2412</v>
      </c>
      <c r="L278" t="s">
        <v>2413</v>
      </c>
      <c r="M278" s="1">
        <v>43720</v>
      </c>
      <c r="N278" t="s">
        <v>779</v>
      </c>
      <c r="O278" t="s">
        <v>2414</v>
      </c>
      <c r="P278">
        <v>1450</v>
      </c>
      <c r="Q278" t="s">
        <v>2415</v>
      </c>
    </row>
    <row r="279" spans="1:17" x14ac:dyDescent="0.3">
      <c r="A279" t="s">
        <v>2416</v>
      </c>
      <c r="B279" t="s">
        <v>2417</v>
      </c>
      <c r="C279" t="s">
        <v>2418</v>
      </c>
      <c r="D279" t="s">
        <v>2419</v>
      </c>
      <c r="E279" t="s">
        <v>2420</v>
      </c>
      <c r="F279" t="s">
        <v>2421</v>
      </c>
      <c r="G279">
        <v>15.173831979645101</v>
      </c>
      <c r="H279">
        <v>120.522701740264</v>
      </c>
      <c r="I279" t="s">
        <v>2422</v>
      </c>
      <c r="J279" t="s">
        <v>2423</v>
      </c>
      <c r="K279" t="s">
        <v>2424</v>
      </c>
      <c r="L279" t="s">
        <v>2425</v>
      </c>
      <c r="M279" s="1">
        <v>42853</v>
      </c>
      <c r="N279" t="s">
        <v>304</v>
      </c>
      <c r="O279" t="s">
        <v>305</v>
      </c>
      <c r="P279">
        <v>1657</v>
      </c>
      <c r="Q279" t="s">
        <v>2426</v>
      </c>
    </row>
    <row r="280" spans="1:17" x14ac:dyDescent="0.3">
      <c r="A280" t="s">
        <v>2427</v>
      </c>
      <c r="B280" t="s">
        <v>2428</v>
      </c>
      <c r="C280" t="s">
        <v>2429</v>
      </c>
      <c r="D280" t="s">
        <v>2430</v>
      </c>
      <c r="E280" t="s">
        <v>2431</v>
      </c>
      <c r="F280" t="s">
        <v>2432</v>
      </c>
      <c r="G280">
        <v>15.178578699999999</v>
      </c>
      <c r="H280">
        <v>120.51842980000001</v>
      </c>
      <c r="I280" t="s">
        <v>2433</v>
      </c>
      <c r="J280">
        <v>9153251035</v>
      </c>
      <c r="K280" t="s">
        <v>2434</v>
      </c>
      <c r="L280">
        <v>1234</v>
      </c>
      <c r="M280" s="1">
        <v>42521</v>
      </c>
      <c r="N280" t="s">
        <v>398</v>
      </c>
      <c r="O280" t="s">
        <v>2435</v>
      </c>
      <c r="P280">
        <v>1285</v>
      </c>
    </row>
    <row r="281" spans="1:17" x14ac:dyDescent="0.3">
      <c r="A281" t="s">
        <v>2436</v>
      </c>
      <c r="B281" t="s">
        <v>2232</v>
      </c>
      <c r="C281" t="s">
        <v>2437</v>
      </c>
      <c r="D281" t="s">
        <v>2438</v>
      </c>
      <c r="E281" t="s">
        <v>1311</v>
      </c>
      <c r="F281" t="s">
        <v>2439</v>
      </c>
      <c r="G281">
        <v>15.178578699999999</v>
      </c>
      <c r="H281">
        <v>120.51842980000001</v>
      </c>
      <c r="I281" t="s">
        <v>2440</v>
      </c>
      <c r="J281" t="s">
        <v>2441</v>
      </c>
      <c r="K281" t="s">
        <v>2442</v>
      </c>
      <c r="L281">
        <v>601123</v>
      </c>
      <c r="M281" s="1">
        <v>43008</v>
      </c>
      <c r="N281" t="s">
        <v>336</v>
      </c>
      <c r="O281" t="s">
        <v>441</v>
      </c>
      <c r="P281">
        <v>2470</v>
      </c>
    </row>
    <row r="282" spans="1:17" x14ac:dyDescent="0.3">
      <c r="A282" t="s">
        <v>2443</v>
      </c>
      <c r="B282" t="s">
        <v>2444</v>
      </c>
      <c r="C282" t="s">
        <v>2445</v>
      </c>
      <c r="D282" t="s">
        <v>2446</v>
      </c>
      <c r="E282" t="s">
        <v>2447</v>
      </c>
      <c r="F282" t="s">
        <v>2448</v>
      </c>
      <c r="G282">
        <v>15.178578699999999</v>
      </c>
      <c r="H282">
        <v>120.51842980000001</v>
      </c>
      <c r="I282" t="s">
        <v>2449</v>
      </c>
      <c r="J282" t="s">
        <v>2450</v>
      </c>
      <c r="K282" t="s">
        <v>2451</v>
      </c>
      <c r="L282">
        <v>1234</v>
      </c>
      <c r="M282" s="1">
        <v>42916</v>
      </c>
      <c r="N282" t="s">
        <v>369</v>
      </c>
      <c r="O282" t="s">
        <v>370</v>
      </c>
      <c r="P282">
        <v>2120</v>
      </c>
    </row>
    <row r="283" spans="1:17" x14ac:dyDescent="0.3">
      <c r="A283" t="s">
        <v>2452</v>
      </c>
      <c r="B283" t="s">
        <v>2453</v>
      </c>
      <c r="C283" t="s">
        <v>2454</v>
      </c>
      <c r="D283" t="s">
        <v>2455</v>
      </c>
      <c r="E283" t="s">
        <v>1862</v>
      </c>
      <c r="F283" t="s">
        <v>2456</v>
      </c>
      <c r="G283">
        <v>15.178578699999999</v>
      </c>
      <c r="H283">
        <v>120.51842980000001</v>
      </c>
      <c r="I283" t="s">
        <v>2457</v>
      </c>
      <c r="J283" t="s">
        <v>2458</v>
      </c>
      <c r="K283" t="s">
        <v>2459</v>
      </c>
      <c r="L283">
        <v>1234</v>
      </c>
      <c r="M283" s="1">
        <v>43544</v>
      </c>
      <c r="N283" t="s">
        <v>336</v>
      </c>
      <c r="O283" t="s">
        <v>515</v>
      </c>
      <c r="P283">
        <v>2322</v>
      </c>
    </row>
    <row r="284" spans="1:17" x14ac:dyDescent="0.3">
      <c r="A284" t="s">
        <v>2460</v>
      </c>
      <c r="B284" t="s">
        <v>2461</v>
      </c>
      <c r="C284" t="s">
        <v>2462</v>
      </c>
      <c r="D284" t="s">
        <v>2463</v>
      </c>
      <c r="E284" t="s">
        <v>672</v>
      </c>
      <c r="F284" t="s">
        <v>2464</v>
      </c>
      <c r="G284">
        <v>15.178578699999999</v>
      </c>
      <c r="H284">
        <v>120.51842980000001</v>
      </c>
      <c r="I284" t="s">
        <v>2465</v>
      </c>
      <c r="J284" t="s">
        <v>2466</v>
      </c>
      <c r="K284" t="s">
        <v>2467</v>
      </c>
      <c r="L284">
        <v>1234</v>
      </c>
      <c r="M284" s="1">
        <v>43580</v>
      </c>
      <c r="N284" t="s">
        <v>1326</v>
      </c>
      <c r="O284" t="s">
        <v>2468</v>
      </c>
      <c r="P284">
        <v>1379</v>
      </c>
      <c r="Q284" t="s">
        <v>2469</v>
      </c>
    </row>
    <row r="285" spans="1:17" x14ac:dyDescent="0.3">
      <c r="A285" t="s">
        <v>2470</v>
      </c>
      <c r="B285" t="s">
        <v>2471</v>
      </c>
      <c r="C285" t="s">
        <v>2472</v>
      </c>
      <c r="D285" t="s">
        <v>177</v>
      </c>
      <c r="E285" t="s">
        <v>2473</v>
      </c>
      <c r="F285" t="s">
        <v>2474</v>
      </c>
      <c r="G285">
        <v>15.178578699999999</v>
      </c>
      <c r="H285">
        <v>120.51842980000001</v>
      </c>
      <c r="I285" t="s">
        <v>2475</v>
      </c>
      <c r="J285">
        <v>9258166280</v>
      </c>
      <c r="K285" t="s">
        <v>2476</v>
      </c>
      <c r="L285" t="s">
        <v>2477</v>
      </c>
      <c r="M285" s="1">
        <v>43322</v>
      </c>
      <c r="N285" t="s">
        <v>16</v>
      </c>
      <c r="O285" t="s">
        <v>292</v>
      </c>
      <c r="P285">
        <v>1767</v>
      </c>
      <c r="Q285" t="s">
        <v>2478</v>
      </c>
    </row>
    <row r="286" spans="1:17" x14ac:dyDescent="0.3">
      <c r="A286" t="s">
        <v>2479</v>
      </c>
      <c r="B286" t="s">
        <v>2480</v>
      </c>
      <c r="C286" t="s">
        <v>2481</v>
      </c>
      <c r="D286" t="s">
        <v>1571</v>
      </c>
      <c r="E286" t="s">
        <v>2482</v>
      </c>
      <c r="F286" t="s">
        <v>2483</v>
      </c>
      <c r="G286">
        <v>15.178578699999999</v>
      </c>
      <c r="H286">
        <v>120.51842980000001</v>
      </c>
      <c r="I286" t="s">
        <v>2484</v>
      </c>
      <c r="J286">
        <v>9175810523</v>
      </c>
      <c r="K286" t="s">
        <v>2485</v>
      </c>
      <c r="L286" t="s">
        <v>2486</v>
      </c>
      <c r="M286" s="1">
        <v>42947</v>
      </c>
      <c r="N286" t="s">
        <v>304</v>
      </c>
      <c r="O286" t="s">
        <v>323</v>
      </c>
      <c r="P286">
        <v>1949</v>
      </c>
    </row>
    <row r="287" spans="1:17" x14ac:dyDescent="0.3">
      <c r="A287" t="s">
        <v>2487</v>
      </c>
      <c r="B287" t="s">
        <v>2488</v>
      </c>
      <c r="C287" t="s">
        <v>2489</v>
      </c>
      <c r="D287" t="s">
        <v>2490</v>
      </c>
      <c r="E287" t="s">
        <v>2491</v>
      </c>
      <c r="F287" t="s">
        <v>2492</v>
      </c>
      <c r="G287">
        <v>15.1839587189795</v>
      </c>
      <c r="H287">
        <v>120.537571907043</v>
      </c>
      <c r="I287" t="s">
        <v>2493</v>
      </c>
      <c r="J287">
        <v>454990395</v>
      </c>
      <c r="K287" t="s">
        <v>2494</v>
      </c>
      <c r="L287">
        <v>1234</v>
      </c>
      <c r="M287" s="1">
        <v>43656</v>
      </c>
      <c r="N287" t="s">
        <v>16</v>
      </c>
      <c r="O287" t="s">
        <v>412</v>
      </c>
      <c r="P287">
        <v>1336</v>
      </c>
      <c r="Q287" t="s">
        <v>2495</v>
      </c>
    </row>
    <row r="288" spans="1:17" x14ac:dyDescent="0.3">
      <c r="A288" t="s">
        <v>2496</v>
      </c>
      <c r="B288" t="s">
        <v>2497</v>
      </c>
      <c r="C288" t="s">
        <v>2498</v>
      </c>
      <c r="D288" t="s">
        <v>2499</v>
      </c>
      <c r="E288" t="s">
        <v>2500</v>
      </c>
      <c r="F288" t="s">
        <v>2501</v>
      </c>
      <c r="G288">
        <v>15.178578699999999</v>
      </c>
      <c r="H288">
        <v>120.51842980000001</v>
      </c>
      <c r="I288" t="s">
        <v>2502</v>
      </c>
      <c r="J288" t="s">
        <v>2503</v>
      </c>
      <c r="K288" t="s">
        <v>2504</v>
      </c>
      <c r="L288" t="s">
        <v>2505</v>
      </c>
      <c r="M288" s="1">
        <v>43086</v>
      </c>
      <c r="N288" t="s">
        <v>398</v>
      </c>
      <c r="O288" t="s">
        <v>582</v>
      </c>
      <c r="P288">
        <v>2019</v>
      </c>
    </row>
    <row r="289" spans="1:17" x14ac:dyDescent="0.3">
      <c r="A289" t="s">
        <v>2506</v>
      </c>
      <c r="B289" t="s">
        <v>2507</v>
      </c>
      <c r="C289" t="s">
        <v>2508</v>
      </c>
      <c r="D289" t="s">
        <v>2509</v>
      </c>
      <c r="E289" t="s">
        <v>2510</v>
      </c>
      <c r="F289" t="s">
        <v>2511</v>
      </c>
      <c r="G289">
        <v>15.178578699999999</v>
      </c>
      <c r="H289">
        <v>120.51842980000001</v>
      </c>
      <c r="I289" t="s">
        <v>2512</v>
      </c>
      <c r="J289">
        <f>-2- 749-6147</f>
        <v>-6898</v>
      </c>
      <c r="K289" t="s">
        <v>2513</v>
      </c>
      <c r="L289">
        <v>1234</v>
      </c>
      <c r="M289" s="1">
        <v>43769</v>
      </c>
      <c r="N289" t="s">
        <v>398</v>
      </c>
      <c r="O289" t="s">
        <v>399</v>
      </c>
      <c r="P289">
        <v>2249</v>
      </c>
    </row>
    <row r="290" spans="1:17" x14ac:dyDescent="0.3">
      <c r="A290" t="s">
        <v>2514</v>
      </c>
      <c r="B290" t="s">
        <v>2515</v>
      </c>
      <c r="C290" t="s">
        <v>2516</v>
      </c>
      <c r="D290" t="s">
        <v>2517</v>
      </c>
      <c r="E290" t="s">
        <v>2518</v>
      </c>
      <c r="F290" t="s">
        <v>2519</v>
      </c>
      <c r="G290">
        <v>15.173086433635</v>
      </c>
      <c r="H290">
        <v>120.53109169006299</v>
      </c>
      <c r="I290" t="s">
        <v>2520</v>
      </c>
      <c r="J290">
        <v>9998847063</v>
      </c>
      <c r="K290" t="s">
        <v>2521</v>
      </c>
      <c r="L290" t="s">
        <v>2522</v>
      </c>
      <c r="M290" s="1">
        <v>43114</v>
      </c>
      <c r="N290" t="s">
        <v>369</v>
      </c>
      <c r="O290" t="s">
        <v>83</v>
      </c>
      <c r="P290">
        <v>2369</v>
      </c>
    </row>
    <row r="291" spans="1:17" x14ac:dyDescent="0.3">
      <c r="A291" t="s">
        <v>2523</v>
      </c>
      <c r="B291" t="s">
        <v>1780</v>
      </c>
      <c r="C291" t="s">
        <v>1367</v>
      </c>
      <c r="D291" t="s">
        <v>1781</v>
      </c>
      <c r="E291" t="s">
        <v>1782</v>
      </c>
      <c r="F291" t="s">
        <v>2524</v>
      </c>
      <c r="G291">
        <v>15.178578699999999</v>
      </c>
      <c r="H291">
        <v>120.51842980000001</v>
      </c>
      <c r="I291" t="s">
        <v>1784</v>
      </c>
      <c r="J291">
        <v>9188542964</v>
      </c>
      <c r="K291" t="s">
        <v>2525</v>
      </c>
      <c r="L291" t="s">
        <v>2526</v>
      </c>
      <c r="M291" s="1">
        <v>43370</v>
      </c>
      <c r="N291" t="s">
        <v>336</v>
      </c>
      <c r="O291" t="s">
        <v>441</v>
      </c>
      <c r="P291">
        <v>2220</v>
      </c>
      <c r="Q291" t="s">
        <v>2527</v>
      </c>
    </row>
    <row r="292" spans="1:17" x14ac:dyDescent="0.3">
      <c r="A292" t="s">
        <v>2528</v>
      </c>
      <c r="B292" t="s">
        <v>2529</v>
      </c>
      <c r="C292" t="s">
        <v>2530</v>
      </c>
      <c r="D292" t="s">
        <v>1182</v>
      </c>
      <c r="E292" t="s">
        <v>975</v>
      </c>
      <c r="F292" t="s">
        <v>2531</v>
      </c>
      <c r="G292">
        <v>15.1799205069041</v>
      </c>
      <c r="H292">
        <v>120.51890373229899</v>
      </c>
      <c r="I292" t="s">
        <v>2532</v>
      </c>
      <c r="J292" t="s">
        <v>2533</v>
      </c>
      <c r="K292" t="s">
        <v>2534</v>
      </c>
      <c r="L292" t="s">
        <v>2535</v>
      </c>
      <c r="M292" s="1">
        <v>52523</v>
      </c>
      <c r="N292" t="s">
        <v>931</v>
      </c>
      <c r="O292" t="s">
        <v>1628</v>
      </c>
      <c r="P292">
        <v>100</v>
      </c>
    </row>
    <row r="293" spans="1:17" x14ac:dyDescent="0.3">
      <c r="A293" t="s">
        <v>2536</v>
      </c>
      <c r="B293" t="s">
        <v>2537</v>
      </c>
      <c r="C293" t="s">
        <v>2538</v>
      </c>
      <c r="D293" t="s">
        <v>2539</v>
      </c>
      <c r="E293" t="s">
        <v>2540</v>
      </c>
      <c r="F293" t="s">
        <v>2541</v>
      </c>
      <c r="G293">
        <v>15.1923455280025</v>
      </c>
      <c r="H293">
        <v>120.528988838195</v>
      </c>
      <c r="I293" t="s">
        <v>2542</v>
      </c>
      <c r="J293">
        <v>-639088140467</v>
      </c>
      <c r="K293" t="s">
        <v>2543</v>
      </c>
      <c r="L293" t="s">
        <v>2544</v>
      </c>
      <c r="M293" s="1">
        <v>43628</v>
      </c>
      <c r="N293" t="s">
        <v>931</v>
      </c>
      <c r="O293" t="s">
        <v>16</v>
      </c>
      <c r="P293">
        <v>971</v>
      </c>
      <c r="Q293" t="s">
        <v>2545</v>
      </c>
    </row>
    <row r="294" spans="1:17" x14ac:dyDescent="0.3">
      <c r="A294" t="s">
        <v>2546</v>
      </c>
      <c r="B294" t="s">
        <v>2547</v>
      </c>
      <c r="C294" t="s">
        <v>2548</v>
      </c>
      <c r="D294" t="s">
        <v>2549</v>
      </c>
      <c r="E294" t="s">
        <v>2550</v>
      </c>
      <c r="F294" t="s">
        <v>2551</v>
      </c>
      <c r="G294">
        <v>15.178578699999999</v>
      </c>
      <c r="H294">
        <v>120.51842980000001</v>
      </c>
      <c r="I294" t="s">
        <v>2552</v>
      </c>
      <c r="J294">
        <v>9608410282</v>
      </c>
      <c r="K294" t="s">
        <v>2553</v>
      </c>
      <c r="L294">
        <v>1234</v>
      </c>
      <c r="M294" s="1">
        <v>42954</v>
      </c>
      <c r="N294" t="s">
        <v>336</v>
      </c>
      <c r="O294" t="s">
        <v>441</v>
      </c>
      <c r="P294">
        <v>2516</v>
      </c>
    </row>
    <row r="295" spans="1:17" x14ac:dyDescent="0.3">
      <c r="A295" t="s">
        <v>2554</v>
      </c>
      <c r="B295" t="s">
        <v>1180</v>
      </c>
      <c r="C295" t="s">
        <v>1181</v>
      </c>
      <c r="D295" t="s">
        <v>1182</v>
      </c>
      <c r="E295" t="s">
        <v>1183</v>
      </c>
      <c r="F295" t="s">
        <v>2555</v>
      </c>
      <c r="G295">
        <v>15.178578699999999</v>
      </c>
      <c r="H295">
        <v>120.51842980000001</v>
      </c>
      <c r="I295" t="s">
        <v>1185</v>
      </c>
      <c r="J295" t="s">
        <v>1186</v>
      </c>
      <c r="K295" t="s">
        <v>2556</v>
      </c>
      <c r="L295">
        <v>1234</v>
      </c>
      <c r="M295" s="1">
        <v>42766</v>
      </c>
      <c r="N295" t="s">
        <v>398</v>
      </c>
      <c r="O295" t="s">
        <v>1228</v>
      </c>
      <c r="P295">
        <v>1294</v>
      </c>
      <c r="Q295" t="s">
        <v>2557</v>
      </c>
    </row>
    <row r="296" spans="1:17" x14ac:dyDescent="0.3">
      <c r="A296" t="s">
        <v>2558</v>
      </c>
      <c r="B296" t="s">
        <v>2559</v>
      </c>
      <c r="C296" t="s">
        <v>2560</v>
      </c>
      <c r="D296" t="s">
        <v>2561</v>
      </c>
      <c r="E296" t="s">
        <v>2562</v>
      </c>
      <c r="F296" t="s">
        <v>2563</v>
      </c>
      <c r="G296">
        <v>15.178578699999999</v>
      </c>
      <c r="H296">
        <v>120.51842980000001</v>
      </c>
      <c r="I296" t="s">
        <v>2564</v>
      </c>
      <c r="J296" t="s">
        <v>2565</v>
      </c>
      <c r="K296" t="s">
        <v>2566</v>
      </c>
      <c r="L296">
        <v>1234</v>
      </c>
      <c r="M296" s="1">
        <v>42735</v>
      </c>
      <c r="N296" t="s">
        <v>336</v>
      </c>
      <c r="O296" t="s">
        <v>515</v>
      </c>
      <c r="P296">
        <v>746</v>
      </c>
    </row>
    <row r="297" spans="1:17" x14ac:dyDescent="0.3">
      <c r="A297" t="s">
        <v>2567</v>
      </c>
      <c r="B297" t="s">
        <v>2568</v>
      </c>
      <c r="C297" t="s">
        <v>2294</v>
      </c>
      <c r="D297" t="s">
        <v>2569</v>
      </c>
      <c r="E297" t="s">
        <v>1062</v>
      </c>
      <c r="F297" t="s">
        <v>2570</v>
      </c>
      <c r="G297">
        <v>15.1734177877421</v>
      </c>
      <c r="H297">
        <v>120.535597801208</v>
      </c>
      <c r="I297" t="s">
        <v>2571</v>
      </c>
      <c r="J297">
        <v>9274862597</v>
      </c>
      <c r="K297" t="s">
        <v>2572</v>
      </c>
      <c r="L297">
        <v>1234</v>
      </c>
      <c r="M297" s="1">
        <v>43343</v>
      </c>
      <c r="N297" t="s">
        <v>336</v>
      </c>
      <c r="O297" t="s">
        <v>515</v>
      </c>
      <c r="P297">
        <v>2002</v>
      </c>
      <c r="Q297" t="s">
        <v>2573</v>
      </c>
    </row>
    <row r="298" spans="1:17" x14ac:dyDescent="0.3">
      <c r="A298" t="s">
        <v>2574</v>
      </c>
      <c r="B298" t="s">
        <v>944</v>
      </c>
      <c r="C298" t="s">
        <v>2575</v>
      </c>
      <c r="D298" t="s">
        <v>2576</v>
      </c>
      <c r="E298" t="s">
        <v>477</v>
      </c>
      <c r="F298" t="s">
        <v>2577</v>
      </c>
      <c r="G298">
        <v>15.1903782817318</v>
      </c>
      <c r="H298">
        <v>120.535329580306</v>
      </c>
      <c r="I298" t="s">
        <v>2578</v>
      </c>
      <c r="J298">
        <v>5996650</v>
      </c>
      <c r="K298" t="s">
        <v>2579</v>
      </c>
      <c r="L298">
        <v>1234</v>
      </c>
      <c r="M298" s="1">
        <v>43745</v>
      </c>
      <c r="N298" t="s">
        <v>16</v>
      </c>
      <c r="O298" t="s">
        <v>292</v>
      </c>
      <c r="P298">
        <v>104</v>
      </c>
      <c r="Q298" t="s">
        <v>2580</v>
      </c>
    </row>
    <row r="299" spans="1:17" x14ac:dyDescent="0.3">
      <c r="A299" t="s">
        <v>2581</v>
      </c>
      <c r="B299" t="s">
        <v>2582</v>
      </c>
      <c r="C299" t="s">
        <v>2583</v>
      </c>
      <c r="D299" t="s">
        <v>2584</v>
      </c>
      <c r="E299" t="s">
        <v>2585</v>
      </c>
      <c r="I299" t="s">
        <v>2586</v>
      </c>
      <c r="J299">
        <v>9150980932</v>
      </c>
      <c r="K299" t="s">
        <v>2587</v>
      </c>
      <c r="L299">
        <v>1234</v>
      </c>
      <c r="M299" s="1">
        <v>42841</v>
      </c>
      <c r="N299" t="s">
        <v>398</v>
      </c>
      <c r="O299" t="s">
        <v>752</v>
      </c>
      <c r="P299">
        <v>2381</v>
      </c>
    </row>
    <row r="300" spans="1:17" x14ac:dyDescent="0.3">
      <c r="A300" t="s">
        <v>2588</v>
      </c>
      <c r="B300" t="s">
        <v>2589</v>
      </c>
      <c r="C300" t="s">
        <v>2590</v>
      </c>
      <c r="D300" t="s">
        <v>2591</v>
      </c>
      <c r="E300" t="s">
        <v>2022</v>
      </c>
      <c r="F300" t="s">
        <v>2592</v>
      </c>
      <c r="G300">
        <v>15.178578699999999</v>
      </c>
      <c r="H300">
        <v>120.51842980000001</v>
      </c>
      <c r="I300" t="s">
        <v>2593</v>
      </c>
      <c r="J300">
        <v>9989000724</v>
      </c>
      <c r="K300" t="s">
        <v>2594</v>
      </c>
      <c r="L300" t="s">
        <v>2595</v>
      </c>
      <c r="M300" s="1">
        <v>42825</v>
      </c>
      <c r="N300" t="s">
        <v>398</v>
      </c>
      <c r="O300" t="s">
        <v>685</v>
      </c>
      <c r="P300">
        <v>1293</v>
      </c>
      <c r="Q300" t="s">
        <v>2596</v>
      </c>
    </row>
    <row r="301" spans="1:17" x14ac:dyDescent="0.3">
      <c r="A301" t="s">
        <v>2597</v>
      </c>
      <c r="B301" t="s">
        <v>2598</v>
      </c>
      <c r="C301" t="s">
        <v>2599</v>
      </c>
      <c r="D301" t="s">
        <v>2600</v>
      </c>
      <c r="E301" t="s">
        <v>2601</v>
      </c>
      <c r="F301" t="s">
        <v>2602</v>
      </c>
      <c r="G301">
        <v>15.178578699999999</v>
      </c>
      <c r="H301">
        <v>120.51842980000001</v>
      </c>
      <c r="I301" t="s">
        <v>2603</v>
      </c>
      <c r="J301">
        <v>9562683128</v>
      </c>
      <c r="K301" t="s">
        <v>2604</v>
      </c>
      <c r="L301" t="s">
        <v>2605</v>
      </c>
      <c r="M301" s="1">
        <v>42772</v>
      </c>
      <c r="N301" t="s">
        <v>398</v>
      </c>
      <c r="O301" t="s">
        <v>582</v>
      </c>
      <c r="P301">
        <v>1830</v>
      </c>
      <c r="Q301" t="s">
        <v>2606</v>
      </c>
    </row>
    <row r="302" spans="1:17" x14ac:dyDescent="0.3">
      <c r="A302" t="s">
        <v>2607</v>
      </c>
      <c r="B302" t="s">
        <v>2608</v>
      </c>
      <c r="C302" t="s">
        <v>2609</v>
      </c>
      <c r="D302" t="s">
        <v>2610</v>
      </c>
      <c r="E302" t="s">
        <v>2611</v>
      </c>
      <c r="F302" t="s">
        <v>2612</v>
      </c>
      <c r="G302">
        <v>15.1769694569359</v>
      </c>
      <c r="H302">
        <v>120.527797937393</v>
      </c>
      <c r="I302" t="s">
        <v>2613</v>
      </c>
      <c r="J302">
        <v>454992125</v>
      </c>
      <c r="K302" t="s">
        <v>2614</v>
      </c>
      <c r="L302">
        <v>1234</v>
      </c>
      <c r="M302" s="1">
        <v>43524</v>
      </c>
      <c r="N302" t="s">
        <v>2615</v>
      </c>
      <c r="O302" t="s">
        <v>789</v>
      </c>
      <c r="P302">
        <v>1330</v>
      </c>
      <c r="Q302" t="s">
        <v>2616</v>
      </c>
    </row>
    <row r="303" spans="1:17" x14ac:dyDescent="0.3">
      <c r="A303" t="s">
        <v>2617</v>
      </c>
      <c r="B303" t="s">
        <v>1852</v>
      </c>
      <c r="C303" t="s">
        <v>2618</v>
      </c>
      <c r="D303" t="s">
        <v>2619</v>
      </c>
      <c r="E303" t="s">
        <v>2620</v>
      </c>
      <c r="F303" t="s">
        <v>2621</v>
      </c>
      <c r="G303">
        <v>15.1729621757109</v>
      </c>
      <c r="H303">
        <v>120.532636642456</v>
      </c>
      <c r="I303" t="s">
        <v>2622</v>
      </c>
      <c r="J303" t="s">
        <v>2623</v>
      </c>
      <c r="K303" t="s">
        <v>2624</v>
      </c>
      <c r="L303">
        <v>1234</v>
      </c>
      <c r="M303" s="1">
        <v>43131</v>
      </c>
      <c r="N303" t="s">
        <v>304</v>
      </c>
      <c r="O303" t="s">
        <v>323</v>
      </c>
      <c r="P303">
        <v>1349</v>
      </c>
    </row>
    <row r="304" spans="1:17" x14ac:dyDescent="0.3">
      <c r="A304" t="s">
        <v>2625</v>
      </c>
      <c r="B304" t="s">
        <v>2626</v>
      </c>
      <c r="C304" t="s">
        <v>2627</v>
      </c>
      <c r="D304" t="s">
        <v>1425</v>
      </c>
      <c r="E304" t="s">
        <v>2628</v>
      </c>
      <c r="F304" t="s">
        <v>2629</v>
      </c>
      <c r="G304">
        <v>15.178578699999999</v>
      </c>
      <c r="H304">
        <v>120.51842980000001</v>
      </c>
      <c r="I304" t="s">
        <v>2630</v>
      </c>
      <c r="J304">
        <v>9209003959</v>
      </c>
      <c r="K304" t="s">
        <v>2631</v>
      </c>
      <c r="L304" t="s">
        <v>2632</v>
      </c>
      <c r="M304" s="1">
        <v>43404</v>
      </c>
      <c r="N304" t="s">
        <v>369</v>
      </c>
      <c r="O304" t="s">
        <v>370</v>
      </c>
      <c r="P304">
        <v>1759</v>
      </c>
      <c r="Q304" t="s">
        <v>2633</v>
      </c>
    </row>
    <row r="305" spans="1:17" x14ac:dyDescent="0.3">
      <c r="A305" t="s">
        <v>2634</v>
      </c>
      <c r="B305" t="s">
        <v>2635</v>
      </c>
      <c r="C305" t="s">
        <v>2636</v>
      </c>
      <c r="D305" t="s">
        <v>1571</v>
      </c>
      <c r="E305" t="s">
        <v>201</v>
      </c>
      <c r="F305" t="s">
        <v>2637</v>
      </c>
      <c r="G305">
        <v>15.173117498104601</v>
      </c>
      <c r="H305">
        <v>120.525040626525</v>
      </c>
      <c r="I305" t="s">
        <v>2638</v>
      </c>
      <c r="J305">
        <v>9228160018</v>
      </c>
      <c r="K305" t="s">
        <v>2639</v>
      </c>
      <c r="L305" t="s">
        <v>2640</v>
      </c>
      <c r="M305" s="1">
        <v>43510</v>
      </c>
      <c r="N305" t="s">
        <v>16</v>
      </c>
      <c r="O305" t="s">
        <v>2641</v>
      </c>
      <c r="P305">
        <v>110</v>
      </c>
      <c r="Q305" t="s">
        <v>2642</v>
      </c>
    </row>
    <row r="306" spans="1:17" x14ac:dyDescent="0.3">
      <c r="A306" t="s">
        <v>2643</v>
      </c>
      <c r="B306" t="s">
        <v>944</v>
      </c>
      <c r="C306" t="s">
        <v>2644</v>
      </c>
      <c r="D306" t="s">
        <v>2645</v>
      </c>
      <c r="E306" t="s">
        <v>2540</v>
      </c>
      <c r="F306" t="s">
        <v>2646</v>
      </c>
      <c r="G306">
        <v>15.1780773998286</v>
      </c>
      <c r="H306">
        <v>120.52888691425299</v>
      </c>
      <c r="I306" t="s">
        <v>2647</v>
      </c>
      <c r="J306" t="s">
        <v>2648</v>
      </c>
      <c r="K306" t="s">
        <v>2649</v>
      </c>
      <c r="L306" t="s">
        <v>1296</v>
      </c>
      <c r="M306" s="1">
        <v>43373</v>
      </c>
      <c r="N306" t="s">
        <v>336</v>
      </c>
      <c r="O306" t="s">
        <v>515</v>
      </c>
      <c r="P306">
        <v>2352</v>
      </c>
      <c r="Q306" t="s">
        <v>2650</v>
      </c>
    </row>
    <row r="307" spans="1:17" x14ac:dyDescent="0.3">
      <c r="A307" t="s">
        <v>2651</v>
      </c>
      <c r="B307" t="s">
        <v>1068</v>
      </c>
      <c r="C307" t="s">
        <v>2652</v>
      </c>
      <c r="D307" t="s">
        <v>2653</v>
      </c>
      <c r="E307" t="s">
        <v>275</v>
      </c>
      <c r="F307" t="s">
        <v>2654</v>
      </c>
      <c r="G307">
        <v>15.195482730158499</v>
      </c>
      <c r="H307">
        <v>120.528903007507</v>
      </c>
      <c r="I307" t="s">
        <v>2655</v>
      </c>
      <c r="J307">
        <v>9663703013</v>
      </c>
      <c r="K307" t="s">
        <v>2656</v>
      </c>
      <c r="L307" t="s">
        <v>2657</v>
      </c>
      <c r="M307" s="1">
        <v>42528</v>
      </c>
      <c r="N307" t="s">
        <v>398</v>
      </c>
      <c r="O307" t="s">
        <v>1161</v>
      </c>
      <c r="P307">
        <v>314</v>
      </c>
    </row>
    <row r="308" spans="1:17" x14ac:dyDescent="0.3">
      <c r="A308" t="s">
        <v>2658</v>
      </c>
      <c r="B308" t="s">
        <v>2659</v>
      </c>
      <c r="C308" t="s">
        <v>2660</v>
      </c>
      <c r="D308" t="s">
        <v>124</v>
      </c>
      <c r="E308" t="s">
        <v>1529</v>
      </c>
      <c r="F308" t="s">
        <v>2661</v>
      </c>
      <c r="G308">
        <v>15.178578699999999</v>
      </c>
      <c r="H308">
        <v>120.51842980000001</v>
      </c>
      <c r="I308" t="s">
        <v>2662</v>
      </c>
      <c r="J308">
        <v>9190628002</v>
      </c>
      <c r="K308" t="s">
        <v>2663</v>
      </c>
      <c r="L308">
        <v>1234</v>
      </c>
      <c r="M308" s="1">
        <v>42808</v>
      </c>
      <c r="N308" t="s">
        <v>871</v>
      </c>
      <c r="O308" t="s">
        <v>458</v>
      </c>
      <c r="P308">
        <v>1501</v>
      </c>
    </row>
    <row r="309" spans="1:17" x14ac:dyDescent="0.3">
      <c r="A309" t="s">
        <v>2664</v>
      </c>
      <c r="B309" t="s">
        <v>88</v>
      </c>
      <c r="C309" t="s">
        <v>2665</v>
      </c>
      <c r="D309" t="s">
        <v>2666</v>
      </c>
      <c r="E309" t="s">
        <v>1393</v>
      </c>
      <c r="F309" t="s">
        <v>2667</v>
      </c>
      <c r="G309">
        <v>15.1741115587206</v>
      </c>
      <c r="H309">
        <v>120.535050630569</v>
      </c>
      <c r="I309" t="s">
        <v>2668</v>
      </c>
      <c r="J309" t="s">
        <v>2669</v>
      </c>
      <c r="K309" t="s">
        <v>2670</v>
      </c>
      <c r="L309">
        <v>1234</v>
      </c>
      <c r="M309" s="1">
        <v>43654</v>
      </c>
      <c r="N309" t="s">
        <v>710</v>
      </c>
      <c r="O309" t="s">
        <v>789</v>
      </c>
      <c r="P309">
        <v>802</v>
      </c>
    </row>
    <row r="310" spans="1:17" x14ac:dyDescent="0.3">
      <c r="A310" t="s">
        <v>2671</v>
      </c>
      <c r="B310" t="s">
        <v>2672</v>
      </c>
      <c r="C310" t="s">
        <v>2673</v>
      </c>
      <c r="D310" t="s">
        <v>1433</v>
      </c>
      <c r="E310" t="s">
        <v>2674</v>
      </c>
      <c r="F310" t="s">
        <v>2675</v>
      </c>
      <c r="G310">
        <v>15.178578699999999</v>
      </c>
      <c r="H310">
        <v>120.51842980000001</v>
      </c>
      <c r="I310" t="s">
        <v>2676</v>
      </c>
      <c r="J310">
        <f>-45- 499-8184</f>
        <v>-8728</v>
      </c>
      <c r="K310" t="s">
        <v>2677</v>
      </c>
      <c r="L310">
        <v>1234</v>
      </c>
      <c r="M310" s="1">
        <v>42985</v>
      </c>
      <c r="N310" t="s">
        <v>871</v>
      </c>
      <c r="O310" t="s">
        <v>1115</v>
      </c>
      <c r="P310">
        <v>1251</v>
      </c>
      <c r="Q310" t="s">
        <v>2678</v>
      </c>
    </row>
    <row r="311" spans="1:17" x14ac:dyDescent="0.3">
      <c r="A311" t="s">
        <v>2679</v>
      </c>
      <c r="B311" t="s">
        <v>2680</v>
      </c>
      <c r="C311" t="s">
        <v>2681</v>
      </c>
      <c r="D311" t="s">
        <v>2682</v>
      </c>
      <c r="E311" t="s">
        <v>1062</v>
      </c>
      <c r="F311" t="s">
        <v>2683</v>
      </c>
      <c r="G311">
        <v>15.1976673549285</v>
      </c>
      <c r="H311">
        <v>120.532743930816</v>
      </c>
      <c r="I311" t="s">
        <v>2684</v>
      </c>
      <c r="J311" t="s">
        <v>2685</v>
      </c>
      <c r="K311" t="s">
        <v>2686</v>
      </c>
      <c r="L311" t="s">
        <v>2687</v>
      </c>
      <c r="M311" s="1">
        <v>43406</v>
      </c>
      <c r="N311" t="s">
        <v>16</v>
      </c>
      <c r="O311" t="s">
        <v>2468</v>
      </c>
      <c r="P311">
        <v>2127</v>
      </c>
      <c r="Q311" t="s">
        <v>2688</v>
      </c>
    </row>
    <row r="312" spans="1:17" x14ac:dyDescent="0.3">
      <c r="A312" t="s">
        <v>2689</v>
      </c>
      <c r="B312" t="s">
        <v>2690</v>
      </c>
      <c r="C312" t="s">
        <v>2691</v>
      </c>
      <c r="D312" t="s">
        <v>2692</v>
      </c>
      <c r="E312" t="s">
        <v>2693</v>
      </c>
      <c r="F312" t="s">
        <v>2694</v>
      </c>
      <c r="G312">
        <v>15.178578699999999</v>
      </c>
      <c r="H312">
        <v>120.51842980000001</v>
      </c>
      <c r="I312" t="s">
        <v>2695</v>
      </c>
      <c r="J312">
        <v>9285590572</v>
      </c>
      <c r="K312" t="s">
        <v>2696</v>
      </c>
      <c r="L312" t="s">
        <v>2697</v>
      </c>
      <c r="M312" s="1">
        <v>43585</v>
      </c>
      <c r="N312" t="s">
        <v>369</v>
      </c>
      <c r="O312" t="s">
        <v>370</v>
      </c>
      <c r="P312">
        <v>1069</v>
      </c>
      <c r="Q312" t="s">
        <v>2698</v>
      </c>
    </row>
    <row r="313" spans="1:17" x14ac:dyDescent="0.3">
      <c r="A313" t="s">
        <v>2699</v>
      </c>
      <c r="B313" t="s">
        <v>2700</v>
      </c>
      <c r="C313" t="s">
        <v>783</v>
      </c>
      <c r="D313" t="s">
        <v>2701</v>
      </c>
      <c r="E313" t="s">
        <v>2702</v>
      </c>
      <c r="F313" t="s">
        <v>2703</v>
      </c>
      <c r="G313">
        <v>15.178578699999999</v>
      </c>
      <c r="H313">
        <v>120.51842980000001</v>
      </c>
      <c r="I313" t="s">
        <v>2704</v>
      </c>
      <c r="J313" t="s">
        <v>2705</v>
      </c>
      <c r="K313" t="s">
        <v>2706</v>
      </c>
      <c r="L313">
        <v>1234</v>
      </c>
      <c r="M313" s="1">
        <v>43616</v>
      </c>
      <c r="N313" t="s">
        <v>779</v>
      </c>
      <c r="O313" t="s">
        <v>780</v>
      </c>
      <c r="P313">
        <v>2390</v>
      </c>
    </row>
    <row r="314" spans="1:17" x14ac:dyDescent="0.3">
      <c r="A314" t="s">
        <v>2707</v>
      </c>
      <c r="B314" t="s">
        <v>2461</v>
      </c>
      <c r="C314" t="s">
        <v>2708</v>
      </c>
      <c r="D314" t="s">
        <v>2709</v>
      </c>
      <c r="E314" t="s">
        <v>2710</v>
      </c>
      <c r="F314" t="s">
        <v>2711</v>
      </c>
      <c r="G314">
        <v>15.178578699999999</v>
      </c>
      <c r="H314">
        <v>120.51842980000001</v>
      </c>
      <c r="I314" t="s">
        <v>2712</v>
      </c>
      <c r="J314" t="s">
        <v>2713</v>
      </c>
      <c r="K314" t="s">
        <v>2714</v>
      </c>
      <c r="L314">
        <v>1234</v>
      </c>
      <c r="M314" s="1">
        <v>43720</v>
      </c>
      <c r="N314" t="s">
        <v>16</v>
      </c>
      <c r="O314" t="s">
        <v>292</v>
      </c>
      <c r="P314">
        <v>2432</v>
      </c>
    </row>
    <row r="315" spans="1:17" x14ac:dyDescent="0.3">
      <c r="A315" t="s">
        <v>2715</v>
      </c>
      <c r="B315" t="s">
        <v>2716</v>
      </c>
      <c r="C315" t="s">
        <v>2717</v>
      </c>
      <c r="D315" t="s">
        <v>2718</v>
      </c>
      <c r="E315" t="s">
        <v>2518</v>
      </c>
      <c r="F315" t="s">
        <v>2719</v>
      </c>
      <c r="G315">
        <v>15.173687012571399</v>
      </c>
      <c r="H315">
        <v>120.52685379981899</v>
      </c>
      <c r="I315" t="s">
        <v>2720</v>
      </c>
      <c r="J315">
        <v>9060361543</v>
      </c>
      <c r="K315" t="s">
        <v>2721</v>
      </c>
      <c r="L315" t="s">
        <v>2722</v>
      </c>
      <c r="M315" s="1">
        <v>43454</v>
      </c>
      <c r="N315" t="s">
        <v>369</v>
      </c>
      <c r="O315" t="s">
        <v>2723</v>
      </c>
      <c r="P315">
        <v>1465</v>
      </c>
      <c r="Q315" t="s">
        <v>2724</v>
      </c>
    </row>
    <row r="316" spans="1:17" x14ac:dyDescent="0.3">
      <c r="A316" t="s">
        <v>2725</v>
      </c>
      <c r="B316" t="s">
        <v>2726</v>
      </c>
      <c r="C316" t="s">
        <v>2727</v>
      </c>
      <c r="D316" t="s">
        <v>2728</v>
      </c>
      <c r="E316" t="s">
        <v>1121</v>
      </c>
      <c r="F316" t="s">
        <v>2729</v>
      </c>
      <c r="G316">
        <v>15.17399</v>
      </c>
      <c r="H316">
        <v>120.535391</v>
      </c>
      <c r="I316" t="s">
        <v>2730</v>
      </c>
      <c r="J316">
        <v>9175284600</v>
      </c>
      <c r="K316" t="s">
        <v>2731</v>
      </c>
      <c r="L316" t="s">
        <v>2732</v>
      </c>
      <c r="M316" s="1">
        <v>43677</v>
      </c>
      <c r="N316" t="s">
        <v>336</v>
      </c>
      <c r="O316" t="s">
        <v>441</v>
      </c>
      <c r="P316">
        <v>2424</v>
      </c>
    </row>
    <row r="317" spans="1:17" x14ac:dyDescent="0.3">
      <c r="A317" t="s">
        <v>2733</v>
      </c>
      <c r="B317" t="s">
        <v>2734</v>
      </c>
      <c r="C317" t="s">
        <v>2735</v>
      </c>
      <c r="D317" t="s">
        <v>2736</v>
      </c>
      <c r="E317" t="s">
        <v>1194</v>
      </c>
      <c r="F317" t="s">
        <v>2737</v>
      </c>
      <c r="G317">
        <v>15.178578699999999</v>
      </c>
      <c r="H317">
        <v>120.51842980000001</v>
      </c>
      <c r="I317" t="s">
        <v>2738</v>
      </c>
      <c r="J317">
        <v>9559043972</v>
      </c>
      <c r="K317" t="s">
        <v>2739</v>
      </c>
      <c r="L317" t="s">
        <v>2740</v>
      </c>
      <c r="M317" s="1">
        <v>43741</v>
      </c>
      <c r="N317" t="s">
        <v>931</v>
      </c>
      <c r="O317" t="s">
        <v>1628</v>
      </c>
      <c r="P317">
        <v>1566</v>
      </c>
    </row>
    <row r="318" spans="1:17" x14ac:dyDescent="0.3">
      <c r="A318" t="s">
        <v>2741</v>
      </c>
      <c r="B318" t="s">
        <v>2742</v>
      </c>
      <c r="C318" t="s">
        <v>2743</v>
      </c>
      <c r="D318" t="s">
        <v>539</v>
      </c>
      <c r="E318" t="s">
        <v>2744</v>
      </c>
      <c r="F318" t="s">
        <v>2745</v>
      </c>
      <c r="G318">
        <v>15.1748260368992</v>
      </c>
      <c r="H318">
        <v>120.528216361999</v>
      </c>
      <c r="I318" t="s">
        <v>2746</v>
      </c>
      <c r="J318">
        <v>9190807995</v>
      </c>
      <c r="K318" t="s">
        <v>2747</v>
      </c>
      <c r="L318">
        <v>1234</v>
      </c>
      <c r="M318" s="1">
        <v>43343</v>
      </c>
      <c r="N318" t="s">
        <v>336</v>
      </c>
      <c r="O318" t="s">
        <v>515</v>
      </c>
      <c r="P318">
        <v>804</v>
      </c>
    </row>
    <row r="319" spans="1:17" x14ac:dyDescent="0.3">
      <c r="A319" t="s">
        <v>2748</v>
      </c>
      <c r="B319" t="s">
        <v>2716</v>
      </c>
      <c r="C319" t="s">
        <v>2749</v>
      </c>
      <c r="D319" t="s">
        <v>2750</v>
      </c>
      <c r="E319" t="s">
        <v>2751</v>
      </c>
      <c r="F319" t="s">
        <v>2752</v>
      </c>
      <c r="G319">
        <v>15.1736352385924</v>
      </c>
      <c r="H319">
        <v>120.531397461891</v>
      </c>
      <c r="I319" t="s">
        <v>2753</v>
      </c>
      <c r="J319">
        <v>9650556062</v>
      </c>
      <c r="K319" t="s">
        <v>2754</v>
      </c>
      <c r="L319">
        <v>1234</v>
      </c>
      <c r="M319" s="1">
        <v>43799</v>
      </c>
      <c r="N319" t="s">
        <v>2755</v>
      </c>
      <c r="O319" t="s">
        <v>2755</v>
      </c>
      <c r="P319">
        <v>1789</v>
      </c>
      <c r="Q319" t="s">
        <v>2756</v>
      </c>
    </row>
    <row r="320" spans="1:17" x14ac:dyDescent="0.3">
      <c r="A320" t="s">
        <v>2757</v>
      </c>
      <c r="B320" t="s">
        <v>2758</v>
      </c>
      <c r="C320" t="s">
        <v>2759</v>
      </c>
      <c r="D320" t="s">
        <v>2760</v>
      </c>
      <c r="E320" t="s">
        <v>2761</v>
      </c>
      <c r="F320" t="s">
        <v>2762</v>
      </c>
      <c r="G320">
        <v>15.1710982980797</v>
      </c>
      <c r="H320">
        <v>120.528913736343</v>
      </c>
      <c r="I320" t="s">
        <v>2763</v>
      </c>
      <c r="J320" t="s">
        <v>2764</v>
      </c>
      <c r="K320" t="s">
        <v>2765</v>
      </c>
      <c r="L320">
        <v>1234</v>
      </c>
      <c r="M320" s="1">
        <v>42978</v>
      </c>
      <c r="N320" t="s">
        <v>336</v>
      </c>
      <c r="O320" t="s">
        <v>441</v>
      </c>
      <c r="P320">
        <v>2446</v>
      </c>
      <c r="Q320" t="s">
        <v>2766</v>
      </c>
    </row>
    <row r="321" spans="1:17" x14ac:dyDescent="0.3">
      <c r="A321" t="s">
        <v>2767</v>
      </c>
      <c r="K321" t="s">
        <v>2768</v>
      </c>
      <c r="L321">
        <v>1234</v>
      </c>
      <c r="M321" s="1">
        <v>42705</v>
      </c>
      <c r="N321" t="s">
        <v>398</v>
      </c>
      <c r="O321" t="s">
        <v>853</v>
      </c>
      <c r="P321">
        <v>2367</v>
      </c>
    </row>
    <row r="322" spans="1:17" x14ac:dyDescent="0.3">
      <c r="A322" t="s">
        <v>2769</v>
      </c>
      <c r="B322" t="s">
        <v>2770</v>
      </c>
      <c r="C322" t="s">
        <v>1291</v>
      </c>
      <c r="D322" t="s">
        <v>2771</v>
      </c>
      <c r="E322" t="s">
        <v>135</v>
      </c>
      <c r="F322" t="s">
        <v>2772</v>
      </c>
      <c r="G322">
        <v>15.178578699999999</v>
      </c>
      <c r="H322">
        <v>120.51842980000001</v>
      </c>
      <c r="I322" t="s">
        <v>2773</v>
      </c>
      <c r="J322" t="s">
        <v>2774</v>
      </c>
      <c r="K322" t="s">
        <v>2775</v>
      </c>
      <c r="L322">
        <v>1234</v>
      </c>
      <c r="M322" s="1">
        <v>42977</v>
      </c>
      <c r="N322" t="s">
        <v>871</v>
      </c>
      <c r="O322" t="s">
        <v>1115</v>
      </c>
      <c r="P322">
        <v>2117</v>
      </c>
    </row>
    <row r="323" spans="1:17" x14ac:dyDescent="0.3">
      <c r="A323" t="s">
        <v>2776</v>
      </c>
      <c r="K323" t="s">
        <v>2777</v>
      </c>
      <c r="L323" t="s">
        <v>2778</v>
      </c>
      <c r="M323" s="1">
        <v>43190</v>
      </c>
      <c r="N323" t="s">
        <v>336</v>
      </c>
      <c r="O323" t="s">
        <v>441</v>
      </c>
      <c r="P323">
        <v>2110</v>
      </c>
    </row>
    <row r="324" spans="1:17" x14ac:dyDescent="0.3">
      <c r="A324" t="s">
        <v>2779</v>
      </c>
      <c r="B324" t="s">
        <v>805</v>
      </c>
      <c r="C324" t="s">
        <v>2780</v>
      </c>
      <c r="D324" t="s">
        <v>2781</v>
      </c>
      <c r="E324" t="s">
        <v>2782</v>
      </c>
      <c r="I324" t="s">
        <v>2783</v>
      </c>
      <c r="J324" t="s">
        <v>2784</v>
      </c>
      <c r="K324" t="s">
        <v>2785</v>
      </c>
      <c r="L324" t="s">
        <v>2786</v>
      </c>
      <c r="M324" s="1">
        <v>43519</v>
      </c>
      <c r="N324" t="s">
        <v>931</v>
      </c>
      <c r="P324">
        <v>1351</v>
      </c>
      <c r="Q324" t="s">
        <v>2787</v>
      </c>
    </row>
    <row r="325" spans="1:17" x14ac:dyDescent="0.3">
      <c r="A325" t="s">
        <v>2788</v>
      </c>
      <c r="B325" t="s">
        <v>2075</v>
      </c>
      <c r="C325" t="s">
        <v>2789</v>
      </c>
      <c r="D325" t="s">
        <v>2790</v>
      </c>
      <c r="E325" t="s">
        <v>2791</v>
      </c>
      <c r="F325" t="s">
        <v>2792</v>
      </c>
      <c r="G325">
        <v>15.178578699999999</v>
      </c>
      <c r="H325">
        <v>120.51842980000001</v>
      </c>
      <c r="I325" t="s">
        <v>2793</v>
      </c>
      <c r="J325">
        <v>9190674870</v>
      </c>
      <c r="K325" t="s">
        <v>2794</v>
      </c>
      <c r="L325">
        <v>1234</v>
      </c>
      <c r="M325" s="1">
        <v>43251</v>
      </c>
      <c r="N325" t="s">
        <v>304</v>
      </c>
      <c r="O325" t="s">
        <v>305</v>
      </c>
      <c r="P325">
        <v>1099</v>
      </c>
    </row>
    <row r="326" spans="1:17" x14ac:dyDescent="0.3">
      <c r="A326" t="s">
        <v>2795</v>
      </c>
      <c r="B326" t="s">
        <v>1440</v>
      </c>
      <c r="C326" t="s">
        <v>2796</v>
      </c>
      <c r="D326" t="s">
        <v>1555</v>
      </c>
      <c r="E326" t="s">
        <v>2797</v>
      </c>
      <c r="F326" t="s">
        <v>2798</v>
      </c>
      <c r="G326">
        <v>15.2083313121007</v>
      </c>
      <c r="H326">
        <v>120.479164123535</v>
      </c>
      <c r="I326" t="s">
        <v>2799</v>
      </c>
      <c r="J326">
        <v>9334666777</v>
      </c>
      <c r="K326" t="s">
        <v>2800</v>
      </c>
      <c r="L326">
        <v>796807</v>
      </c>
      <c r="M326" s="1">
        <v>42978</v>
      </c>
      <c r="N326" t="s">
        <v>336</v>
      </c>
      <c r="O326" t="s">
        <v>515</v>
      </c>
      <c r="P326">
        <v>2484</v>
      </c>
    </row>
    <row r="327" spans="1:17" x14ac:dyDescent="0.3">
      <c r="A327" t="s">
        <v>2801</v>
      </c>
      <c r="B327" t="s">
        <v>2802</v>
      </c>
      <c r="C327" t="s">
        <v>2803</v>
      </c>
      <c r="D327" t="s">
        <v>2804</v>
      </c>
      <c r="E327" t="s">
        <v>1110</v>
      </c>
      <c r="F327" t="s">
        <v>2805</v>
      </c>
      <c r="G327">
        <v>15.178578699999999</v>
      </c>
      <c r="H327">
        <v>120.51842980000001</v>
      </c>
      <c r="I327" t="s">
        <v>2806</v>
      </c>
      <c r="J327">
        <v>9985683988</v>
      </c>
      <c r="K327" t="s">
        <v>2807</v>
      </c>
      <c r="L327" t="s">
        <v>2808</v>
      </c>
      <c r="M327" s="1">
        <v>43396</v>
      </c>
      <c r="N327" t="s">
        <v>369</v>
      </c>
      <c r="O327" t="s">
        <v>2809</v>
      </c>
      <c r="P327">
        <v>2412</v>
      </c>
      <c r="Q327" t="s">
        <v>2810</v>
      </c>
    </row>
    <row r="328" spans="1:17" x14ac:dyDescent="0.3">
      <c r="A328" t="s">
        <v>2811</v>
      </c>
      <c r="K328" t="s">
        <v>2812</v>
      </c>
      <c r="L328">
        <v>1234</v>
      </c>
      <c r="M328" s="1">
        <v>42766</v>
      </c>
      <c r="N328" t="s">
        <v>369</v>
      </c>
      <c r="O328" t="s">
        <v>447</v>
      </c>
      <c r="P328">
        <v>2368</v>
      </c>
    </row>
    <row r="329" spans="1:17" x14ac:dyDescent="0.3">
      <c r="A329" t="s">
        <v>2813</v>
      </c>
      <c r="B329" t="s">
        <v>2814</v>
      </c>
      <c r="C329" t="s">
        <v>2815</v>
      </c>
      <c r="D329" t="s">
        <v>2816</v>
      </c>
      <c r="E329" t="s">
        <v>2817</v>
      </c>
      <c r="F329" t="s">
        <v>2818</v>
      </c>
      <c r="G329">
        <v>15.169731444034101</v>
      </c>
      <c r="H329">
        <v>120.540103912353</v>
      </c>
      <c r="I329" t="s">
        <v>2819</v>
      </c>
      <c r="J329">
        <v>9237227565</v>
      </c>
      <c r="K329" t="s">
        <v>2820</v>
      </c>
      <c r="L329">
        <v>1234</v>
      </c>
      <c r="M329" s="1">
        <v>43732</v>
      </c>
      <c r="N329" t="s">
        <v>931</v>
      </c>
      <c r="O329" t="s">
        <v>2821</v>
      </c>
      <c r="P329">
        <v>1173</v>
      </c>
    </row>
    <row r="330" spans="1:17" x14ac:dyDescent="0.3">
      <c r="A330" t="s">
        <v>2822</v>
      </c>
      <c r="B330" t="s">
        <v>2626</v>
      </c>
      <c r="C330" t="s">
        <v>2823</v>
      </c>
      <c r="D330" t="s">
        <v>2824</v>
      </c>
      <c r="E330" t="s">
        <v>793</v>
      </c>
      <c r="F330" t="s">
        <v>2825</v>
      </c>
      <c r="G330">
        <v>15.177062648618</v>
      </c>
      <c r="H330">
        <v>120.513668060302</v>
      </c>
      <c r="I330" t="s">
        <v>2826</v>
      </c>
      <c r="J330" t="s">
        <v>2827</v>
      </c>
      <c r="K330" t="s">
        <v>2828</v>
      </c>
      <c r="L330" t="s">
        <v>2829</v>
      </c>
      <c r="M330" s="1">
        <v>43334</v>
      </c>
      <c r="N330" t="s">
        <v>779</v>
      </c>
      <c r="O330" t="s">
        <v>2414</v>
      </c>
      <c r="P330">
        <v>1274</v>
      </c>
      <c r="Q330" t="s">
        <v>2830</v>
      </c>
    </row>
    <row r="331" spans="1:17" x14ac:dyDescent="0.3">
      <c r="A331" t="s">
        <v>2831</v>
      </c>
      <c r="B331" t="s">
        <v>2832</v>
      </c>
      <c r="C331" t="s">
        <v>2833</v>
      </c>
      <c r="D331" t="s">
        <v>1817</v>
      </c>
      <c r="E331" t="s">
        <v>77</v>
      </c>
      <c r="F331" t="s">
        <v>2834</v>
      </c>
      <c r="G331">
        <v>15.178578699999999</v>
      </c>
      <c r="H331">
        <v>120.51842980000001</v>
      </c>
      <c r="I331" t="s">
        <v>2835</v>
      </c>
      <c r="J331">
        <v>9176344673</v>
      </c>
      <c r="K331" t="s">
        <v>2836</v>
      </c>
      <c r="L331">
        <v>1234</v>
      </c>
      <c r="M331" s="1">
        <v>43343</v>
      </c>
      <c r="N331" t="s">
        <v>16</v>
      </c>
      <c r="O331" t="s">
        <v>292</v>
      </c>
      <c r="P331">
        <v>2400</v>
      </c>
      <c r="Q331" t="s">
        <v>2837</v>
      </c>
    </row>
    <row r="332" spans="1:17" x14ac:dyDescent="0.3">
      <c r="A332" t="s">
        <v>2838</v>
      </c>
      <c r="B332" t="s">
        <v>1145</v>
      </c>
      <c r="C332" t="s">
        <v>2839</v>
      </c>
      <c r="D332" t="s">
        <v>2840</v>
      </c>
      <c r="E332" t="s">
        <v>2841</v>
      </c>
      <c r="F332" t="s">
        <v>2842</v>
      </c>
      <c r="G332">
        <v>15.178578699999999</v>
      </c>
      <c r="H332">
        <v>120.51842980000001</v>
      </c>
      <c r="I332" t="s">
        <v>2843</v>
      </c>
      <c r="J332" t="s">
        <v>2844</v>
      </c>
      <c r="K332" t="s">
        <v>2845</v>
      </c>
      <c r="L332">
        <v>1234</v>
      </c>
      <c r="M332" s="1">
        <v>43527</v>
      </c>
      <c r="N332" t="s">
        <v>398</v>
      </c>
      <c r="O332" t="s">
        <v>582</v>
      </c>
      <c r="P332">
        <v>1361</v>
      </c>
    </row>
    <row r="333" spans="1:17" x14ac:dyDescent="0.3">
      <c r="A333" t="s">
        <v>2846</v>
      </c>
      <c r="B333" t="s">
        <v>2847</v>
      </c>
      <c r="C333" t="s">
        <v>2848</v>
      </c>
      <c r="D333" t="s">
        <v>2849</v>
      </c>
      <c r="E333" t="s">
        <v>2850</v>
      </c>
      <c r="F333" t="s">
        <v>2851</v>
      </c>
      <c r="G333">
        <v>15.178578699999999</v>
      </c>
      <c r="H333">
        <v>120.51842980000001</v>
      </c>
      <c r="I333" t="s">
        <v>2852</v>
      </c>
      <c r="J333" t="s">
        <v>2853</v>
      </c>
      <c r="K333" t="s">
        <v>2854</v>
      </c>
      <c r="L333" t="s">
        <v>2855</v>
      </c>
      <c r="M333" s="1">
        <v>42725</v>
      </c>
      <c r="N333" t="s">
        <v>16</v>
      </c>
      <c r="O333" t="s">
        <v>292</v>
      </c>
      <c r="P333">
        <v>807</v>
      </c>
      <c r="Q333" t="s">
        <v>2856</v>
      </c>
    </row>
    <row r="334" spans="1:17" x14ac:dyDescent="0.3">
      <c r="A334" t="s">
        <v>2857</v>
      </c>
      <c r="B334" t="s">
        <v>2858</v>
      </c>
      <c r="C334" t="s">
        <v>2859</v>
      </c>
      <c r="D334" t="s">
        <v>2860</v>
      </c>
      <c r="E334" t="s">
        <v>2030</v>
      </c>
      <c r="F334" t="s">
        <v>2861</v>
      </c>
      <c r="G334">
        <v>15.1747017799982</v>
      </c>
      <c r="H334">
        <v>120.53300142288199</v>
      </c>
      <c r="I334" t="s">
        <v>2862</v>
      </c>
      <c r="J334">
        <v>9778271126</v>
      </c>
      <c r="K334" t="s">
        <v>2863</v>
      </c>
      <c r="L334" t="s">
        <v>2864</v>
      </c>
      <c r="M334" s="1">
        <v>43039</v>
      </c>
      <c r="N334" t="s">
        <v>369</v>
      </c>
      <c r="O334" t="s">
        <v>370</v>
      </c>
      <c r="P334">
        <v>2487</v>
      </c>
      <c r="Q334" t="s">
        <v>2865</v>
      </c>
    </row>
    <row r="335" spans="1:17" x14ac:dyDescent="0.3">
      <c r="A335" t="s">
        <v>2866</v>
      </c>
      <c r="B335" t="s">
        <v>2867</v>
      </c>
      <c r="C335" t="s">
        <v>2868</v>
      </c>
      <c r="D335" t="s">
        <v>2869</v>
      </c>
      <c r="E335" t="s">
        <v>2870</v>
      </c>
      <c r="F335" t="s">
        <v>2871</v>
      </c>
      <c r="I335" t="s">
        <v>2872</v>
      </c>
      <c r="J335" t="s">
        <v>2873</v>
      </c>
      <c r="K335" t="s">
        <v>2874</v>
      </c>
      <c r="L335">
        <v>1234</v>
      </c>
      <c r="M335" s="1">
        <v>43496</v>
      </c>
      <c r="N335" t="s">
        <v>693</v>
      </c>
      <c r="O335" t="s">
        <v>2875</v>
      </c>
      <c r="P335">
        <v>426</v>
      </c>
      <c r="Q335" t="s">
        <v>2876</v>
      </c>
    </row>
    <row r="336" spans="1:17" x14ac:dyDescent="0.3">
      <c r="A336" t="s">
        <v>2877</v>
      </c>
      <c r="B336" t="s">
        <v>946</v>
      </c>
      <c r="C336" t="s">
        <v>2878</v>
      </c>
      <c r="D336" t="s">
        <v>1907</v>
      </c>
      <c r="E336" t="s">
        <v>2322</v>
      </c>
      <c r="F336" t="s">
        <v>2879</v>
      </c>
      <c r="G336">
        <v>15.177321514186</v>
      </c>
      <c r="H336">
        <v>120.52711665630299</v>
      </c>
      <c r="I336" t="s">
        <v>2880</v>
      </c>
      <c r="J336">
        <v>9178263383</v>
      </c>
      <c r="K336" t="s">
        <v>2881</v>
      </c>
      <c r="L336">
        <v>1234</v>
      </c>
      <c r="M336" s="1">
        <v>43496</v>
      </c>
      <c r="N336" t="s">
        <v>336</v>
      </c>
      <c r="O336" t="s">
        <v>515</v>
      </c>
      <c r="P336">
        <v>1614</v>
      </c>
    </row>
    <row r="337" spans="1:17" x14ac:dyDescent="0.3">
      <c r="A337" t="s">
        <v>2882</v>
      </c>
      <c r="B337" t="s">
        <v>2883</v>
      </c>
      <c r="C337" t="s">
        <v>2884</v>
      </c>
      <c r="D337" t="s">
        <v>2885</v>
      </c>
      <c r="E337" t="s">
        <v>286</v>
      </c>
      <c r="F337" t="s">
        <v>2886</v>
      </c>
      <c r="G337">
        <v>15.178578699999999</v>
      </c>
      <c r="H337">
        <v>120.51842980000001</v>
      </c>
      <c r="I337" t="s">
        <v>2887</v>
      </c>
      <c r="J337" t="s">
        <v>2888</v>
      </c>
      <c r="K337" t="s">
        <v>2889</v>
      </c>
      <c r="L337">
        <v>1234</v>
      </c>
      <c r="M337" s="1">
        <v>43227</v>
      </c>
      <c r="N337" t="s">
        <v>398</v>
      </c>
      <c r="O337" t="s">
        <v>582</v>
      </c>
      <c r="P337">
        <v>1672</v>
      </c>
    </row>
    <row r="338" spans="1:17" x14ac:dyDescent="0.3">
      <c r="A338" t="s">
        <v>2890</v>
      </c>
      <c r="B338" t="s">
        <v>426</v>
      </c>
      <c r="C338" t="s">
        <v>2891</v>
      </c>
      <c r="D338" t="s">
        <v>2892</v>
      </c>
      <c r="E338" t="s">
        <v>286</v>
      </c>
      <c r="F338" t="s">
        <v>2893</v>
      </c>
      <c r="G338">
        <v>15.1736041741989</v>
      </c>
      <c r="H338">
        <v>120.530426502227</v>
      </c>
      <c r="I338" t="s">
        <v>2894</v>
      </c>
      <c r="J338" t="s">
        <v>2895</v>
      </c>
      <c r="K338" t="s">
        <v>2896</v>
      </c>
      <c r="L338" t="s">
        <v>2897</v>
      </c>
      <c r="M338" s="1">
        <v>43083</v>
      </c>
      <c r="N338" t="s">
        <v>369</v>
      </c>
      <c r="O338" t="s">
        <v>83</v>
      </c>
      <c r="P338">
        <v>2059</v>
      </c>
      <c r="Q338" t="s">
        <v>2898</v>
      </c>
    </row>
    <row r="339" spans="1:17" x14ac:dyDescent="0.3">
      <c r="A339" t="s">
        <v>2899</v>
      </c>
      <c r="B339" t="s">
        <v>2900</v>
      </c>
      <c r="C339" t="s">
        <v>2901</v>
      </c>
      <c r="D339" t="s">
        <v>2902</v>
      </c>
      <c r="E339" t="s">
        <v>2903</v>
      </c>
      <c r="F339" t="s">
        <v>2904</v>
      </c>
      <c r="G339">
        <v>15.177062648618</v>
      </c>
      <c r="H339">
        <v>120.529482364654</v>
      </c>
      <c r="I339" t="s">
        <v>2905</v>
      </c>
      <c r="J339" t="s">
        <v>2906</v>
      </c>
      <c r="K339" t="s">
        <v>2907</v>
      </c>
      <c r="L339">
        <v>1234</v>
      </c>
      <c r="M339" s="1">
        <v>43434</v>
      </c>
      <c r="N339" t="s">
        <v>369</v>
      </c>
      <c r="O339" t="s">
        <v>370</v>
      </c>
      <c r="P339">
        <v>2286</v>
      </c>
      <c r="Q339" t="s">
        <v>2908</v>
      </c>
    </row>
    <row r="340" spans="1:17" x14ac:dyDescent="0.3">
      <c r="A340" t="s">
        <v>2909</v>
      </c>
      <c r="B340" t="s">
        <v>2910</v>
      </c>
      <c r="C340" t="s">
        <v>1052</v>
      </c>
      <c r="D340" t="s">
        <v>2911</v>
      </c>
      <c r="E340" t="s">
        <v>1572</v>
      </c>
      <c r="F340" t="s">
        <v>2912</v>
      </c>
      <c r="G340">
        <v>15.181908559423601</v>
      </c>
      <c r="H340">
        <v>120.53001880645699</v>
      </c>
      <c r="I340" t="s">
        <v>2913</v>
      </c>
      <c r="J340">
        <v>9295485947</v>
      </c>
      <c r="K340" t="s">
        <v>2914</v>
      </c>
      <c r="L340" t="s">
        <v>2915</v>
      </c>
      <c r="M340" s="1">
        <v>43623</v>
      </c>
      <c r="N340" t="s">
        <v>710</v>
      </c>
      <c r="O340" t="s">
        <v>2916</v>
      </c>
      <c r="P340">
        <v>2440</v>
      </c>
      <c r="Q340" t="s">
        <v>2917</v>
      </c>
    </row>
    <row r="341" spans="1:17" x14ac:dyDescent="0.3">
      <c r="A341" t="s">
        <v>2918</v>
      </c>
      <c r="B341" t="s">
        <v>2919</v>
      </c>
      <c r="C341" t="s">
        <v>2920</v>
      </c>
      <c r="D341" t="s">
        <v>1128</v>
      </c>
      <c r="E341" t="s">
        <v>1110</v>
      </c>
      <c r="F341" t="s">
        <v>2921</v>
      </c>
      <c r="G341">
        <v>15.177352578032799</v>
      </c>
      <c r="H341">
        <v>120.51212310791</v>
      </c>
      <c r="I341" t="s">
        <v>2922</v>
      </c>
      <c r="J341" t="s">
        <v>2923</v>
      </c>
      <c r="K341" t="s">
        <v>2924</v>
      </c>
      <c r="L341" t="s">
        <v>2925</v>
      </c>
      <c r="M341" s="1">
        <v>42968</v>
      </c>
      <c r="N341" t="s">
        <v>16</v>
      </c>
      <c r="O341" t="s">
        <v>292</v>
      </c>
      <c r="P341">
        <v>124</v>
      </c>
      <c r="Q341" t="s">
        <v>2926</v>
      </c>
    </row>
    <row r="342" spans="1:17" x14ac:dyDescent="0.3">
      <c r="A342" t="s">
        <v>2927</v>
      </c>
      <c r="B342" t="s">
        <v>2928</v>
      </c>
      <c r="C342" t="s">
        <v>2929</v>
      </c>
      <c r="D342" t="s">
        <v>2930</v>
      </c>
      <c r="E342" t="s">
        <v>1110</v>
      </c>
      <c r="F342" t="s">
        <v>2931</v>
      </c>
      <c r="G342">
        <v>15.177932435668399</v>
      </c>
      <c r="H342">
        <v>120.572987794876</v>
      </c>
      <c r="I342" t="s">
        <v>2932</v>
      </c>
      <c r="J342">
        <v>9158165151</v>
      </c>
      <c r="K342" t="s">
        <v>2933</v>
      </c>
      <c r="L342" t="s">
        <v>2934</v>
      </c>
      <c r="M342" s="1">
        <v>43100</v>
      </c>
      <c r="N342" t="s">
        <v>369</v>
      </c>
      <c r="O342" t="s">
        <v>370</v>
      </c>
      <c r="P342">
        <v>1037</v>
      </c>
    </row>
    <row r="343" spans="1:17" x14ac:dyDescent="0.3">
      <c r="A343" t="s">
        <v>2935</v>
      </c>
      <c r="B343" t="s">
        <v>2936</v>
      </c>
      <c r="C343" t="s">
        <v>2937</v>
      </c>
      <c r="D343" t="s">
        <v>2938</v>
      </c>
      <c r="E343" t="s">
        <v>2939</v>
      </c>
      <c r="F343" t="s">
        <v>2940</v>
      </c>
      <c r="G343">
        <v>15.178578699999999</v>
      </c>
      <c r="H343">
        <v>120.51842980000001</v>
      </c>
      <c r="I343" t="s">
        <v>2941</v>
      </c>
      <c r="J343" t="s">
        <v>2942</v>
      </c>
      <c r="K343" t="s">
        <v>2943</v>
      </c>
      <c r="L343" t="s">
        <v>2944</v>
      </c>
      <c r="M343" s="1">
        <v>42886</v>
      </c>
      <c r="N343" t="s">
        <v>336</v>
      </c>
      <c r="O343" t="s">
        <v>515</v>
      </c>
      <c r="P343">
        <v>1664</v>
      </c>
      <c r="Q343" t="s">
        <v>2945</v>
      </c>
    </row>
    <row r="344" spans="1:17" x14ac:dyDescent="0.3">
      <c r="A344" t="s">
        <v>2946</v>
      </c>
      <c r="B344" t="s">
        <v>1907</v>
      </c>
      <c r="C344" t="s">
        <v>2947</v>
      </c>
      <c r="D344" t="s">
        <v>603</v>
      </c>
      <c r="E344" t="s">
        <v>342</v>
      </c>
      <c r="F344" t="s">
        <v>2948</v>
      </c>
      <c r="G344">
        <v>15.197688062164101</v>
      </c>
      <c r="H344">
        <v>120.533645153045</v>
      </c>
      <c r="I344" t="s">
        <v>2949</v>
      </c>
      <c r="J344" t="s">
        <v>2950</v>
      </c>
      <c r="K344" t="s">
        <v>2951</v>
      </c>
      <c r="L344">
        <v>1234</v>
      </c>
      <c r="M344" s="1">
        <v>43755</v>
      </c>
      <c r="N344" t="s">
        <v>336</v>
      </c>
      <c r="O344" t="s">
        <v>2952</v>
      </c>
      <c r="P344">
        <v>539</v>
      </c>
    </row>
    <row r="345" spans="1:17" x14ac:dyDescent="0.3">
      <c r="A345" t="s">
        <v>2953</v>
      </c>
      <c r="B345" t="s">
        <v>2701</v>
      </c>
      <c r="C345" t="s">
        <v>2954</v>
      </c>
      <c r="D345" t="s">
        <v>603</v>
      </c>
      <c r="E345" t="s">
        <v>2955</v>
      </c>
      <c r="F345" t="s">
        <v>2956</v>
      </c>
      <c r="G345">
        <v>15.178578699999999</v>
      </c>
      <c r="H345">
        <v>120.51842980000001</v>
      </c>
      <c r="I345" t="s">
        <v>2957</v>
      </c>
      <c r="J345" t="s">
        <v>2958</v>
      </c>
      <c r="K345" t="s">
        <v>2959</v>
      </c>
      <c r="L345">
        <v>1234</v>
      </c>
      <c r="M345" s="1">
        <v>42900</v>
      </c>
      <c r="N345" t="s">
        <v>304</v>
      </c>
      <c r="O345" t="s">
        <v>323</v>
      </c>
      <c r="P345">
        <v>1663</v>
      </c>
    </row>
    <row r="346" spans="1:17" x14ac:dyDescent="0.3">
      <c r="A346" t="s">
        <v>2960</v>
      </c>
      <c r="B346" t="s">
        <v>2961</v>
      </c>
      <c r="C346" t="s">
        <v>2962</v>
      </c>
      <c r="D346" t="s">
        <v>2963</v>
      </c>
      <c r="E346" t="s">
        <v>2964</v>
      </c>
      <c r="F346" t="s">
        <v>2965</v>
      </c>
      <c r="G346">
        <v>15.177518251805401</v>
      </c>
      <c r="H346">
        <v>120.526773333549</v>
      </c>
      <c r="I346" t="s">
        <v>2966</v>
      </c>
      <c r="J346">
        <v>923167631</v>
      </c>
      <c r="K346" t="s">
        <v>2967</v>
      </c>
      <c r="L346">
        <v>1234</v>
      </c>
      <c r="M346" s="1">
        <v>43069</v>
      </c>
      <c r="N346" t="s">
        <v>398</v>
      </c>
      <c r="O346" t="s">
        <v>853</v>
      </c>
      <c r="P346">
        <v>1224</v>
      </c>
    </row>
    <row r="347" spans="1:17" x14ac:dyDescent="0.3">
      <c r="A347" t="s">
        <v>2968</v>
      </c>
      <c r="B347" t="s">
        <v>2969</v>
      </c>
      <c r="C347" t="s">
        <v>2970</v>
      </c>
      <c r="D347" t="s">
        <v>247</v>
      </c>
      <c r="E347" t="s">
        <v>1339</v>
      </c>
      <c r="F347" t="s">
        <v>2971</v>
      </c>
      <c r="G347">
        <v>15.178578699999999</v>
      </c>
      <c r="H347">
        <v>120.51842980000001</v>
      </c>
      <c r="I347" t="s">
        <v>2972</v>
      </c>
      <c r="J347">
        <v>9091594973</v>
      </c>
      <c r="K347" t="s">
        <v>2973</v>
      </c>
      <c r="L347">
        <v>1234</v>
      </c>
      <c r="M347" s="1">
        <v>43513</v>
      </c>
      <c r="N347" t="s">
        <v>398</v>
      </c>
      <c r="O347" t="s">
        <v>582</v>
      </c>
      <c r="P347">
        <v>2321</v>
      </c>
    </row>
    <row r="348" spans="1:17" x14ac:dyDescent="0.3">
      <c r="A348" t="s">
        <v>2974</v>
      </c>
      <c r="B348" t="s">
        <v>2975</v>
      </c>
      <c r="C348" t="s">
        <v>2976</v>
      </c>
      <c r="D348" t="s">
        <v>756</v>
      </c>
      <c r="E348" t="s">
        <v>2977</v>
      </c>
      <c r="F348" t="s">
        <v>2978</v>
      </c>
      <c r="G348">
        <v>15.192552605490301</v>
      </c>
      <c r="H348">
        <v>120.52888154983501</v>
      </c>
      <c r="I348" t="s">
        <v>2979</v>
      </c>
      <c r="J348">
        <v>9452508955</v>
      </c>
      <c r="K348" t="s">
        <v>2980</v>
      </c>
      <c r="L348" t="s">
        <v>2981</v>
      </c>
      <c r="M348" s="1">
        <v>42978</v>
      </c>
      <c r="N348" t="s">
        <v>2982</v>
      </c>
      <c r="O348" t="s">
        <v>2952</v>
      </c>
      <c r="P348">
        <v>2441</v>
      </c>
    </row>
    <row r="349" spans="1:17" x14ac:dyDescent="0.3">
      <c r="A349" t="s">
        <v>2983</v>
      </c>
      <c r="B349" t="s">
        <v>486</v>
      </c>
      <c r="C349" t="s">
        <v>2984</v>
      </c>
      <c r="D349" t="s">
        <v>2985</v>
      </c>
      <c r="E349" t="s">
        <v>2986</v>
      </c>
      <c r="I349" t="s">
        <v>2987</v>
      </c>
      <c r="J349" t="s">
        <v>2988</v>
      </c>
      <c r="K349" t="s">
        <v>2989</v>
      </c>
      <c r="L349" t="s">
        <v>2990</v>
      </c>
      <c r="M349" s="1">
        <v>42979</v>
      </c>
      <c r="N349" t="s">
        <v>336</v>
      </c>
      <c r="O349" t="s">
        <v>337</v>
      </c>
      <c r="P349">
        <v>1097</v>
      </c>
    </row>
    <row r="350" spans="1:17" x14ac:dyDescent="0.3">
      <c r="A350" t="s">
        <v>2991</v>
      </c>
      <c r="B350" t="s">
        <v>236</v>
      </c>
      <c r="C350" t="s">
        <v>2992</v>
      </c>
      <c r="D350" t="s">
        <v>2993</v>
      </c>
      <c r="E350" t="s">
        <v>2994</v>
      </c>
      <c r="F350" t="s">
        <v>2995</v>
      </c>
      <c r="G350">
        <v>15.178578699999999</v>
      </c>
      <c r="H350">
        <v>120.51842980000001</v>
      </c>
      <c r="I350" t="s">
        <v>2996</v>
      </c>
      <c r="J350">
        <v>9613613750</v>
      </c>
      <c r="K350" t="s">
        <v>2997</v>
      </c>
      <c r="L350" t="s">
        <v>2998</v>
      </c>
      <c r="M350" s="1">
        <v>43396</v>
      </c>
      <c r="N350" t="s">
        <v>369</v>
      </c>
      <c r="O350" t="s">
        <v>471</v>
      </c>
      <c r="P350">
        <v>2391</v>
      </c>
      <c r="Q350" t="s">
        <v>2999</v>
      </c>
    </row>
    <row r="351" spans="1:17" x14ac:dyDescent="0.3">
      <c r="A351" t="s">
        <v>3000</v>
      </c>
      <c r="B351" t="s">
        <v>3001</v>
      </c>
      <c r="C351" t="s">
        <v>3002</v>
      </c>
      <c r="D351" t="s">
        <v>3003</v>
      </c>
      <c r="E351" t="s">
        <v>3004</v>
      </c>
      <c r="F351" t="s">
        <v>3005</v>
      </c>
      <c r="G351">
        <v>15.178578699999999</v>
      </c>
      <c r="H351">
        <v>120.51842980000001</v>
      </c>
      <c r="I351" t="s">
        <v>3006</v>
      </c>
      <c r="J351" t="s">
        <v>3007</v>
      </c>
      <c r="K351" t="s">
        <v>3008</v>
      </c>
      <c r="L351">
        <v>1234</v>
      </c>
      <c r="M351" s="1">
        <v>43807</v>
      </c>
      <c r="N351" t="s">
        <v>398</v>
      </c>
      <c r="O351" t="s">
        <v>1189</v>
      </c>
      <c r="P351">
        <v>1233</v>
      </c>
    </row>
    <row r="352" spans="1:17" x14ac:dyDescent="0.3">
      <c r="A352" t="s">
        <v>3009</v>
      </c>
      <c r="B352" t="s">
        <v>723</v>
      </c>
      <c r="C352" t="s">
        <v>3010</v>
      </c>
      <c r="D352" t="s">
        <v>187</v>
      </c>
      <c r="E352" t="s">
        <v>77</v>
      </c>
      <c r="I352" t="s">
        <v>3011</v>
      </c>
      <c r="J352" t="s">
        <v>3012</v>
      </c>
      <c r="K352" t="s">
        <v>3013</v>
      </c>
      <c r="L352">
        <v>1234</v>
      </c>
      <c r="M352" s="1">
        <v>43260</v>
      </c>
      <c r="N352" t="s">
        <v>931</v>
      </c>
      <c r="P352">
        <v>131</v>
      </c>
    </row>
    <row r="353" spans="1:17" x14ac:dyDescent="0.3">
      <c r="A353" t="s">
        <v>3014</v>
      </c>
      <c r="B353" t="s">
        <v>3015</v>
      </c>
      <c r="C353" t="s">
        <v>3016</v>
      </c>
      <c r="D353" t="s">
        <v>3017</v>
      </c>
      <c r="E353" t="s">
        <v>3018</v>
      </c>
      <c r="F353" t="s">
        <v>3019</v>
      </c>
      <c r="G353">
        <v>15.178578699999999</v>
      </c>
      <c r="H353">
        <v>120.51842980000001</v>
      </c>
      <c r="I353" t="s">
        <v>3020</v>
      </c>
      <c r="J353">
        <v>9955668950</v>
      </c>
      <c r="K353" t="s">
        <v>3021</v>
      </c>
      <c r="L353" t="s">
        <v>3022</v>
      </c>
      <c r="M353" s="1">
        <v>42916</v>
      </c>
      <c r="N353" t="s">
        <v>3023</v>
      </c>
      <c r="O353" t="s">
        <v>515</v>
      </c>
      <c r="P353">
        <v>2511</v>
      </c>
    </row>
    <row r="354" spans="1:17" x14ac:dyDescent="0.3">
      <c r="A354" t="s">
        <v>3024</v>
      </c>
      <c r="B354" t="s">
        <v>3025</v>
      </c>
      <c r="C354" t="s">
        <v>3026</v>
      </c>
      <c r="D354" t="s">
        <v>3027</v>
      </c>
      <c r="E354" t="s">
        <v>3028</v>
      </c>
      <c r="F354" t="s">
        <v>3029</v>
      </c>
      <c r="G354">
        <v>15.193546574602999</v>
      </c>
      <c r="H354">
        <v>120.529417991638</v>
      </c>
      <c r="I354" t="s">
        <v>3030</v>
      </c>
      <c r="J354">
        <v>9228600078</v>
      </c>
      <c r="K354" t="s">
        <v>3031</v>
      </c>
      <c r="L354">
        <v>1234</v>
      </c>
      <c r="M354" s="1">
        <v>43797</v>
      </c>
      <c r="N354" t="s">
        <v>710</v>
      </c>
      <c r="O354" t="s">
        <v>711</v>
      </c>
      <c r="P354">
        <v>1581</v>
      </c>
      <c r="Q354" t="s">
        <v>3032</v>
      </c>
    </row>
    <row r="355" spans="1:17" x14ac:dyDescent="0.3">
      <c r="A355" t="s">
        <v>3033</v>
      </c>
      <c r="B355" t="s">
        <v>3034</v>
      </c>
      <c r="C355" t="s">
        <v>3035</v>
      </c>
      <c r="D355" t="s">
        <v>177</v>
      </c>
      <c r="E355" t="s">
        <v>3036</v>
      </c>
      <c r="F355" t="s">
        <v>3037</v>
      </c>
      <c r="G355">
        <v>15.178578699999999</v>
      </c>
      <c r="H355">
        <v>120.51842980000001</v>
      </c>
      <c r="I355" t="s">
        <v>3038</v>
      </c>
      <c r="J355">
        <v>455998227</v>
      </c>
      <c r="K355" t="s">
        <v>3039</v>
      </c>
      <c r="L355">
        <v>1234</v>
      </c>
      <c r="M355" s="1">
        <v>42978</v>
      </c>
      <c r="N355" t="s">
        <v>871</v>
      </c>
      <c r="O355" t="s">
        <v>1115</v>
      </c>
      <c r="P355">
        <v>2312</v>
      </c>
    </row>
    <row r="356" spans="1:17" x14ac:dyDescent="0.3">
      <c r="A356" t="s">
        <v>3040</v>
      </c>
      <c r="B356" t="s">
        <v>723</v>
      </c>
      <c r="C356" t="s">
        <v>3041</v>
      </c>
      <c r="D356" t="s">
        <v>3042</v>
      </c>
      <c r="E356" t="s">
        <v>3043</v>
      </c>
      <c r="F356" t="s">
        <v>3044</v>
      </c>
      <c r="G356">
        <v>15.1969943686668</v>
      </c>
      <c r="H356">
        <v>120.53552269935599</v>
      </c>
      <c r="I356" t="s">
        <v>3045</v>
      </c>
      <c r="J356" t="s">
        <v>3046</v>
      </c>
      <c r="K356" t="s">
        <v>3047</v>
      </c>
      <c r="L356">
        <v>1234</v>
      </c>
      <c r="M356" s="1">
        <v>43862</v>
      </c>
      <c r="N356" t="s">
        <v>398</v>
      </c>
      <c r="O356" t="s">
        <v>2952</v>
      </c>
      <c r="P356">
        <v>1195</v>
      </c>
    </row>
    <row r="357" spans="1:17" x14ac:dyDescent="0.3">
      <c r="A357" t="s">
        <v>3048</v>
      </c>
      <c r="B357" t="s">
        <v>3049</v>
      </c>
      <c r="C357" t="s">
        <v>3050</v>
      </c>
      <c r="D357" t="s">
        <v>3051</v>
      </c>
      <c r="E357" t="s">
        <v>3052</v>
      </c>
      <c r="F357" t="s">
        <v>3053</v>
      </c>
      <c r="G357">
        <v>15.178578699999999</v>
      </c>
      <c r="H357">
        <v>120.51842980000001</v>
      </c>
      <c r="I357" t="s">
        <v>3054</v>
      </c>
      <c r="J357" t="s">
        <v>3055</v>
      </c>
      <c r="K357" t="s">
        <v>3056</v>
      </c>
      <c r="L357" t="s">
        <v>3057</v>
      </c>
      <c r="M357" s="1">
        <v>43548</v>
      </c>
      <c r="N357" t="s">
        <v>710</v>
      </c>
      <c r="O357" t="s">
        <v>789</v>
      </c>
      <c r="P357">
        <v>333</v>
      </c>
    </row>
    <row r="358" spans="1:17" x14ac:dyDescent="0.3">
      <c r="A358" t="s">
        <v>3058</v>
      </c>
      <c r="B358" t="s">
        <v>3059</v>
      </c>
      <c r="C358" t="s">
        <v>3060</v>
      </c>
      <c r="D358" t="s">
        <v>756</v>
      </c>
      <c r="E358" t="s">
        <v>3061</v>
      </c>
      <c r="F358" t="s">
        <v>3062</v>
      </c>
      <c r="G358">
        <v>15.1917967716767</v>
      </c>
      <c r="H358">
        <v>120.534460544586</v>
      </c>
      <c r="I358" t="s">
        <v>3063</v>
      </c>
      <c r="J358" t="s">
        <v>3064</v>
      </c>
      <c r="K358" t="s">
        <v>3065</v>
      </c>
      <c r="L358">
        <v>1234</v>
      </c>
      <c r="M358" s="1">
        <v>42909</v>
      </c>
      <c r="N358" t="s">
        <v>710</v>
      </c>
      <c r="O358" t="s">
        <v>711</v>
      </c>
      <c r="P358">
        <v>1776</v>
      </c>
      <c r="Q358" t="s">
        <v>3066</v>
      </c>
    </row>
    <row r="359" spans="1:17" x14ac:dyDescent="0.3">
      <c r="A359" t="s">
        <v>3067</v>
      </c>
      <c r="B359" t="s">
        <v>3068</v>
      </c>
      <c r="C359" t="s">
        <v>3069</v>
      </c>
      <c r="D359" t="s">
        <v>3070</v>
      </c>
      <c r="E359" t="s">
        <v>3071</v>
      </c>
      <c r="F359" t="s">
        <v>3072</v>
      </c>
      <c r="G359">
        <v>15.178578699999999</v>
      </c>
      <c r="H359">
        <v>120.51842980000001</v>
      </c>
      <c r="I359" t="s">
        <v>3073</v>
      </c>
      <c r="J359" t="s">
        <v>3074</v>
      </c>
      <c r="K359" t="s">
        <v>3075</v>
      </c>
      <c r="L359">
        <v>1234</v>
      </c>
      <c r="M359" s="1">
        <v>43858</v>
      </c>
      <c r="N359" t="s">
        <v>710</v>
      </c>
      <c r="O359" t="s">
        <v>789</v>
      </c>
      <c r="P359">
        <v>1304</v>
      </c>
      <c r="Q359" t="s">
        <v>3076</v>
      </c>
    </row>
    <row r="360" spans="1:17" x14ac:dyDescent="0.3">
      <c r="A360" t="s">
        <v>3077</v>
      </c>
      <c r="B360" t="s">
        <v>3078</v>
      </c>
      <c r="C360" t="s">
        <v>3079</v>
      </c>
      <c r="D360" t="s">
        <v>1538</v>
      </c>
      <c r="E360" t="s">
        <v>3080</v>
      </c>
      <c r="I360" t="s">
        <v>3081</v>
      </c>
      <c r="J360" t="s">
        <v>3082</v>
      </c>
      <c r="K360" t="s">
        <v>3083</v>
      </c>
      <c r="L360">
        <v>1234</v>
      </c>
      <c r="M360" s="1">
        <v>43739</v>
      </c>
      <c r="N360" t="s">
        <v>398</v>
      </c>
      <c r="O360" t="s">
        <v>1228</v>
      </c>
      <c r="P360">
        <v>1198</v>
      </c>
    </row>
    <row r="361" spans="1:17" x14ac:dyDescent="0.3">
      <c r="A361" t="s">
        <v>3084</v>
      </c>
      <c r="B361" t="s">
        <v>3085</v>
      </c>
      <c r="C361" t="s">
        <v>3086</v>
      </c>
      <c r="D361" t="s">
        <v>697</v>
      </c>
      <c r="E361" t="s">
        <v>1572</v>
      </c>
      <c r="F361" t="s">
        <v>3087</v>
      </c>
      <c r="G361">
        <v>15.190259210974199</v>
      </c>
      <c r="H361">
        <v>120.527781844139</v>
      </c>
      <c r="I361" t="s">
        <v>3088</v>
      </c>
      <c r="J361" t="s">
        <v>3089</v>
      </c>
      <c r="K361" t="s">
        <v>3090</v>
      </c>
      <c r="L361" t="s">
        <v>3091</v>
      </c>
      <c r="M361" s="1">
        <v>43613</v>
      </c>
      <c r="N361" t="s">
        <v>1326</v>
      </c>
      <c r="O361" t="s">
        <v>412</v>
      </c>
      <c r="P361">
        <v>1653</v>
      </c>
      <c r="Q361" t="s">
        <v>3092</v>
      </c>
    </row>
    <row r="362" spans="1:17" x14ac:dyDescent="0.3">
      <c r="A362" t="s">
        <v>3093</v>
      </c>
      <c r="B362" t="s">
        <v>1145</v>
      </c>
      <c r="C362" t="s">
        <v>3094</v>
      </c>
      <c r="D362" t="s">
        <v>3095</v>
      </c>
      <c r="E362" t="s">
        <v>1062</v>
      </c>
      <c r="I362" t="s">
        <v>3096</v>
      </c>
      <c r="J362" t="s">
        <v>3097</v>
      </c>
      <c r="K362" t="s">
        <v>3098</v>
      </c>
      <c r="L362">
        <v>1234</v>
      </c>
      <c r="M362" s="1">
        <v>43224</v>
      </c>
      <c r="N362" t="s">
        <v>336</v>
      </c>
      <c r="O362" t="s">
        <v>441</v>
      </c>
      <c r="P362">
        <v>2124</v>
      </c>
    </row>
    <row r="363" spans="1:17" x14ac:dyDescent="0.3">
      <c r="A363" t="s">
        <v>3099</v>
      </c>
      <c r="B363" t="s">
        <v>3100</v>
      </c>
      <c r="C363" t="s">
        <v>3101</v>
      </c>
      <c r="D363" t="s">
        <v>1994</v>
      </c>
      <c r="E363" t="s">
        <v>3102</v>
      </c>
      <c r="F363" t="s">
        <v>3103</v>
      </c>
      <c r="G363">
        <v>15.1816807626886</v>
      </c>
      <c r="H363">
        <v>120.529010295867</v>
      </c>
      <c r="I363" t="s">
        <v>3104</v>
      </c>
      <c r="J363" t="s">
        <v>3105</v>
      </c>
      <c r="K363" t="s">
        <v>3106</v>
      </c>
      <c r="L363" t="s">
        <v>3107</v>
      </c>
      <c r="M363" s="1">
        <v>43231</v>
      </c>
      <c r="N363" t="s">
        <v>763</v>
      </c>
      <c r="O363" t="s">
        <v>1288</v>
      </c>
      <c r="P363">
        <v>634</v>
      </c>
    </row>
    <row r="364" spans="1:17" x14ac:dyDescent="0.3">
      <c r="A364" t="s">
        <v>3108</v>
      </c>
      <c r="B364" t="s">
        <v>326</v>
      </c>
      <c r="C364" t="s">
        <v>3109</v>
      </c>
      <c r="D364" t="s">
        <v>944</v>
      </c>
      <c r="E364" t="s">
        <v>1284</v>
      </c>
      <c r="F364" t="s">
        <v>3110</v>
      </c>
      <c r="G364">
        <v>15.178578699999999</v>
      </c>
      <c r="H364">
        <v>120.51842980000001</v>
      </c>
      <c r="I364" t="s">
        <v>3111</v>
      </c>
      <c r="J364" t="s">
        <v>3112</v>
      </c>
      <c r="K364" t="s">
        <v>3113</v>
      </c>
      <c r="L364" t="s">
        <v>3114</v>
      </c>
      <c r="M364" s="1">
        <v>43789</v>
      </c>
      <c r="N364" t="s">
        <v>16</v>
      </c>
      <c r="O364" t="s">
        <v>292</v>
      </c>
      <c r="P364">
        <v>2466</v>
      </c>
      <c r="Q364" t="s">
        <v>3115</v>
      </c>
    </row>
    <row r="365" spans="1:17" x14ac:dyDescent="0.3">
      <c r="A365" t="s">
        <v>3116</v>
      </c>
      <c r="B365" t="s">
        <v>3117</v>
      </c>
      <c r="C365" t="s">
        <v>3118</v>
      </c>
      <c r="D365" t="s">
        <v>3119</v>
      </c>
      <c r="E365" t="s">
        <v>3120</v>
      </c>
      <c r="F365" t="s">
        <v>3121</v>
      </c>
      <c r="G365">
        <v>15.178578699999999</v>
      </c>
      <c r="H365">
        <v>120.51842980000001</v>
      </c>
      <c r="I365" t="s">
        <v>3122</v>
      </c>
      <c r="J365">
        <v>9176738328</v>
      </c>
      <c r="K365" t="s">
        <v>3123</v>
      </c>
      <c r="L365" t="s">
        <v>3124</v>
      </c>
      <c r="M365" s="1">
        <v>43616</v>
      </c>
      <c r="N365" t="s">
        <v>336</v>
      </c>
      <c r="O365" t="s">
        <v>441</v>
      </c>
      <c r="P365">
        <v>1366</v>
      </c>
    </row>
    <row r="366" spans="1:17" x14ac:dyDescent="0.3">
      <c r="A366" t="s">
        <v>3125</v>
      </c>
      <c r="K366" t="s">
        <v>3126</v>
      </c>
      <c r="L366">
        <v>1234</v>
      </c>
      <c r="M366" s="1">
        <v>42880</v>
      </c>
      <c r="N366" t="s">
        <v>336</v>
      </c>
      <c r="O366" t="s">
        <v>441</v>
      </c>
      <c r="P366">
        <v>1870</v>
      </c>
    </row>
    <row r="367" spans="1:17" x14ac:dyDescent="0.3">
      <c r="A367" t="s">
        <v>3127</v>
      </c>
      <c r="B367" t="s">
        <v>3128</v>
      </c>
      <c r="C367" t="s">
        <v>3129</v>
      </c>
      <c r="D367" t="s">
        <v>2073</v>
      </c>
      <c r="E367" t="s">
        <v>3130</v>
      </c>
      <c r="F367" t="s">
        <v>3131</v>
      </c>
      <c r="I367" t="s">
        <v>3132</v>
      </c>
      <c r="J367" t="s">
        <v>3133</v>
      </c>
      <c r="K367" t="s">
        <v>3134</v>
      </c>
      <c r="L367" t="s">
        <v>3135</v>
      </c>
      <c r="M367" s="1">
        <v>43555</v>
      </c>
      <c r="N367" t="s">
        <v>369</v>
      </c>
      <c r="O367" t="s">
        <v>471</v>
      </c>
      <c r="P367">
        <v>736</v>
      </c>
    </row>
    <row r="368" spans="1:17" x14ac:dyDescent="0.3">
      <c r="A368" t="s">
        <v>3136</v>
      </c>
      <c r="B368" t="s">
        <v>3137</v>
      </c>
      <c r="C368" t="s">
        <v>3138</v>
      </c>
      <c r="D368" t="s">
        <v>2461</v>
      </c>
      <c r="E368" t="s">
        <v>859</v>
      </c>
      <c r="F368" t="s">
        <v>3139</v>
      </c>
      <c r="G368">
        <v>15.1771040671302</v>
      </c>
      <c r="H368">
        <v>120.52668213844299</v>
      </c>
      <c r="I368" t="s">
        <v>3140</v>
      </c>
      <c r="J368">
        <v>9778421534</v>
      </c>
      <c r="K368" t="s">
        <v>3141</v>
      </c>
      <c r="L368" t="s">
        <v>3142</v>
      </c>
      <c r="M368" s="1">
        <v>42855</v>
      </c>
      <c r="N368" t="s">
        <v>398</v>
      </c>
      <c r="O368" t="s">
        <v>582</v>
      </c>
      <c r="P368">
        <v>1848</v>
      </c>
      <c r="Q368" t="s">
        <v>3143</v>
      </c>
    </row>
    <row r="369" spans="1:17" x14ac:dyDescent="0.3">
      <c r="A369" t="s">
        <v>3144</v>
      </c>
      <c r="B369" t="s">
        <v>3145</v>
      </c>
      <c r="C369" t="s">
        <v>3146</v>
      </c>
      <c r="D369" t="s">
        <v>1877</v>
      </c>
      <c r="E369" t="s">
        <v>1062</v>
      </c>
      <c r="F369" t="s">
        <v>3147</v>
      </c>
      <c r="G369">
        <v>15.178578699999999</v>
      </c>
      <c r="H369">
        <v>120.51842980000001</v>
      </c>
      <c r="I369" t="s">
        <v>3148</v>
      </c>
      <c r="J369">
        <v>9053789362</v>
      </c>
      <c r="K369" t="s">
        <v>3149</v>
      </c>
      <c r="L369">
        <v>1234</v>
      </c>
      <c r="M369" s="1">
        <v>43615</v>
      </c>
      <c r="N369" t="s">
        <v>369</v>
      </c>
      <c r="O369" t="s">
        <v>83</v>
      </c>
      <c r="P369">
        <v>2378</v>
      </c>
      <c r="Q369" t="s">
        <v>3150</v>
      </c>
    </row>
    <row r="370" spans="1:17" x14ac:dyDescent="0.3">
      <c r="A370" t="s">
        <v>3151</v>
      </c>
      <c r="B370" t="s">
        <v>1010</v>
      </c>
      <c r="C370" t="s">
        <v>1681</v>
      </c>
      <c r="D370" t="s">
        <v>3152</v>
      </c>
      <c r="E370" t="s">
        <v>3153</v>
      </c>
      <c r="F370" t="s">
        <v>3154</v>
      </c>
      <c r="G370">
        <v>15.178578699999999</v>
      </c>
      <c r="H370">
        <v>120.51842980000001</v>
      </c>
      <c r="I370" t="s">
        <v>3155</v>
      </c>
      <c r="J370">
        <v>9178090934</v>
      </c>
      <c r="K370" t="s">
        <v>3156</v>
      </c>
      <c r="L370" t="s">
        <v>3157</v>
      </c>
      <c r="M370" s="1">
        <v>43360</v>
      </c>
      <c r="N370" t="s">
        <v>369</v>
      </c>
      <c r="O370" t="s">
        <v>370</v>
      </c>
      <c r="P370">
        <v>2215</v>
      </c>
      <c r="Q370" t="s">
        <v>3158</v>
      </c>
    </row>
    <row r="371" spans="1:17" x14ac:dyDescent="0.3">
      <c r="A371" t="s">
        <v>3159</v>
      </c>
      <c r="B371" t="s">
        <v>3160</v>
      </c>
      <c r="C371" t="s">
        <v>3161</v>
      </c>
      <c r="D371" t="s">
        <v>3162</v>
      </c>
      <c r="E371" t="s">
        <v>1062</v>
      </c>
      <c r="F371" t="s">
        <v>3163</v>
      </c>
      <c r="G371">
        <v>15.178578699999999</v>
      </c>
      <c r="H371">
        <v>120.51842980000001</v>
      </c>
      <c r="I371" t="s">
        <v>3164</v>
      </c>
      <c r="J371" t="s">
        <v>3165</v>
      </c>
      <c r="K371" t="s">
        <v>3166</v>
      </c>
      <c r="L371">
        <v>1234</v>
      </c>
      <c r="M371" s="1">
        <v>43100</v>
      </c>
      <c r="N371" t="s">
        <v>336</v>
      </c>
      <c r="O371" t="s">
        <v>337</v>
      </c>
      <c r="P371">
        <v>2316</v>
      </c>
    </row>
    <row r="372" spans="1:17" x14ac:dyDescent="0.3">
      <c r="A372" t="s">
        <v>3167</v>
      </c>
      <c r="B372" t="s">
        <v>3168</v>
      </c>
      <c r="C372" t="s">
        <v>3169</v>
      </c>
      <c r="D372" t="s">
        <v>1571</v>
      </c>
      <c r="E372" t="s">
        <v>680</v>
      </c>
      <c r="F372" t="s">
        <v>3170</v>
      </c>
      <c r="G372">
        <v>15.1944266475129</v>
      </c>
      <c r="H372">
        <v>120.530480146408</v>
      </c>
      <c r="I372" t="s">
        <v>3171</v>
      </c>
      <c r="J372" t="s">
        <v>3172</v>
      </c>
      <c r="K372" t="s">
        <v>3173</v>
      </c>
      <c r="L372">
        <v>1234</v>
      </c>
      <c r="M372" s="1">
        <v>42811</v>
      </c>
      <c r="N372" t="s">
        <v>398</v>
      </c>
      <c r="O372" t="s">
        <v>1161</v>
      </c>
      <c r="P372">
        <v>816</v>
      </c>
      <c r="Q372" t="s">
        <v>3174</v>
      </c>
    </row>
    <row r="373" spans="1:17" x14ac:dyDescent="0.3">
      <c r="A373" t="s">
        <v>3175</v>
      </c>
      <c r="B373" t="s">
        <v>2065</v>
      </c>
      <c r="C373" t="s">
        <v>3176</v>
      </c>
      <c r="D373" t="s">
        <v>3177</v>
      </c>
      <c r="E373" t="s">
        <v>1572</v>
      </c>
      <c r="F373" t="s">
        <v>3178</v>
      </c>
      <c r="G373">
        <v>15.173448852163</v>
      </c>
      <c r="H373">
        <v>120.520555973052</v>
      </c>
      <c r="I373" t="s">
        <v>3179</v>
      </c>
      <c r="J373" t="s">
        <v>3180</v>
      </c>
      <c r="K373" t="s">
        <v>3181</v>
      </c>
      <c r="L373" t="s">
        <v>3182</v>
      </c>
      <c r="M373" s="1">
        <v>43252</v>
      </c>
      <c r="N373" t="s">
        <v>16</v>
      </c>
      <c r="O373" t="s">
        <v>3183</v>
      </c>
      <c r="P373">
        <v>139</v>
      </c>
      <c r="Q373" t="s">
        <v>3184</v>
      </c>
    </row>
    <row r="374" spans="1:17" x14ac:dyDescent="0.3">
      <c r="A374" t="s">
        <v>3185</v>
      </c>
      <c r="B374" t="s">
        <v>974</v>
      </c>
      <c r="C374" t="s">
        <v>3186</v>
      </c>
      <c r="D374" t="s">
        <v>3187</v>
      </c>
      <c r="E374" t="s">
        <v>3188</v>
      </c>
      <c r="F374" t="s">
        <v>3189</v>
      </c>
      <c r="G374">
        <v>15.178578699999999</v>
      </c>
      <c r="H374">
        <v>120.51842980000001</v>
      </c>
      <c r="I374" t="s">
        <v>3190</v>
      </c>
      <c r="J374">
        <v>8848155</v>
      </c>
      <c r="K374" t="s">
        <v>3191</v>
      </c>
      <c r="L374" t="s">
        <v>3192</v>
      </c>
      <c r="M374" s="1">
        <v>43830</v>
      </c>
      <c r="N374" t="s">
        <v>398</v>
      </c>
      <c r="O374" t="s">
        <v>1228</v>
      </c>
      <c r="P374">
        <v>1633</v>
      </c>
      <c r="Q374" t="s">
        <v>3193</v>
      </c>
    </row>
    <row r="375" spans="1:17" x14ac:dyDescent="0.3">
      <c r="A375" t="s">
        <v>3194</v>
      </c>
      <c r="B375" t="s">
        <v>3195</v>
      </c>
      <c r="C375" t="s">
        <v>3196</v>
      </c>
      <c r="D375" t="s">
        <v>1765</v>
      </c>
      <c r="E375" t="s">
        <v>3197</v>
      </c>
      <c r="F375" t="s">
        <v>3189</v>
      </c>
      <c r="G375">
        <v>15.178578699999999</v>
      </c>
      <c r="H375">
        <v>120.51842980000001</v>
      </c>
      <c r="I375" t="s">
        <v>3198</v>
      </c>
      <c r="J375">
        <v>8848155</v>
      </c>
      <c r="K375" t="s">
        <v>3199</v>
      </c>
      <c r="L375" t="s">
        <v>3192</v>
      </c>
      <c r="M375" s="1">
        <v>43830</v>
      </c>
      <c r="N375" t="s">
        <v>398</v>
      </c>
      <c r="O375" t="s">
        <v>1228</v>
      </c>
      <c r="P375">
        <v>563</v>
      </c>
      <c r="Q375" t="s">
        <v>3200</v>
      </c>
    </row>
    <row r="376" spans="1:17" x14ac:dyDescent="0.3">
      <c r="A376" t="s">
        <v>2308</v>
      </c>
      <c r="B376" t="s">
        <v>3201</v>
      </c>
      <c r="C376" t="s">
        <v>3202</v>
      </c>
      <c r="D376" t="s">
        <v>3203</v>
      </c>
      <c r="E376" t="s">
        <v>3204</v>
      </c>
      <c r="F376" t="s">
        <v>3205</v>
      </c>
      <c r="G376">
        <v>15.178578699999999</v>
      </c>
      <c r="H376">
        <v>120.51842980000001</v>
      </c>
      <c r="I376" t="s">
        <v>3206</v>
      </c>
      <c r="J376" t="s">
        <v>3207</v>
      </c>
      <c r="K376" t="s">
        <v>3208</v>
      </c>
      <c r="L376" t="s">
        <v>3209</v>
      </c>
      <c r="M376" s="1">
        <v>43597</v>
      </c>
      <c r="N376" t="s">
        <v>779</v>
      </c>
      <c r="O376" t="s">
        <v>2414</v>
      </c>
      <c r="P376">
        <v>2372</v>
      </c>
      <c r="Q376" t="s">
        <v>3210</v>
      </c>
    </row>
    <row r="377" spans="1:17" x14ac:dyDescent="0.3">
      <c r="A377" t="s">
        <v>3211</v>
      </c>
      <c r="B377" t="s">
        <v>3212</v>
      </c>
      <c r="C377" t="s">
        <v>3213</v>
      </c>
      <c r="D377" t="s">
        <v>653</v>
      </c>
      <c r="E377" t="s">
        <v>3214</v>
      </c>
      <c r="F377" t="s">
        <v>3215</v>
      </c>
      <c r="G377">
        <v>15.178470873476</v>
      </c>
      <c r="H377">
        <v>120.518345832824</v>
      </c>
      <c r="I377" t="s">
        <v>3216</v>
      </c>
      <c r="J377" t="s">
        <v>3217</v>
      </c>
      <c r="K377" t="s">
        <v>3218</v>
      </c>
      <c r="L377" t="s">
        <v>3219</v>
      </c>
      <c r="M377" s="1">
        <v>43765</v>
      </c>
      <c r="N377" t="s">
        <v>871</v>
      </c>
      <c r="O377" t="s">
        <v>1628</v>
      </c>
      <c r="P377">
        <v>1766</v>
      </c>
    </row>
    <row r="378" spans="1:17" x14ac:dyDescent="0.3">
      <c r="A378" t="s">
        <v>3220</v>
      </c>
      <c r="B378" t="s">
        <v>2582</v>
      </c>
      <c r="C378" t="s">
        <v>3221</v>
      </c>
      <c r="D378" t="s">
        <v>990</v>
      </c>
      <c r="E378" t="s">
        <v>3222</v>
      </c>
      <c r="F378" t="s">
        <v>3223</v>
      </c>
      <c r="G378">
        <v>15.178578699999999</v>
      </c>
      <c r="H378">
        <v>120.51842980000001</v>
      </c>
      <c r="I378" t="s">
        <v>3224</v>
      </c>
      <c r="J378">
        <v>4992140</v>
      </c>
      <c r="K378" t="s">
        <v>3225</v>
      </c>
      <c r="L378">
        <v>1234</v>
      </c>
      <c r="M378" s="1">
        <v>43523</v>
      </c>
      <c r="N378" t="s">
        <v>398</v>
      </c>
      <c r="O378" t="s">
        <v>582</v>
      </c>
      <c r="P378">
        <v>1356</v>
      </c>
    </row>
    <row r="379" spans="1:17" x14ac:dyDescent="0.3">
      <c r="A379" t="s">
        <v>3226</v>
      </c>
      <c r="B379" t="s">
        <v>3227</v>
      </c>
      <c r="C379" t="s">
        <v>3228</v>
      </c>
      <c r="D379" t="s">
        <v>3229</v>
      </c>
      <c r="E379" t="s">
        <v>3230</v>
      </c>
      <c r="F379" t="s">
        <v>3231</v>
      </c>
      <c r="G379">
        <v>15.178092931697</v>
      </c>
      <c r="H379">
        <v>120.517181754112</v>
      </c>
      <c r="I379" t="s">
        <v>1784</v>
      </c>
      <c r="J379">
        <v>9188542964</v>
      </c>
      <c r="K379" t="s">
        <v>3232</v>
      </c>
      <c r="L379">
        <v>1234</v>
      </c>
      <c r="M379" s="1">
        <v>43244</v>
      </c>
      <c r="N379" t="s">
        <v>763</v>
      </c>
      <c r="O379" t="s">
        <v>1288</v>
      </c>
      <c r="P379">
        <v>2051</v>
      </c>
      <c r="Q379" t="s">
        <v>3233</v>
      </c>
    </row>
    <row r="380" spans="1:17" x14ac:dyDescent="0.3">
      <c r="A380" t="s">
        <v>3234</v>
      </c>
      <c r="B380" t="s">
        <v>603</v>
      </c>
      <c r="C380" t="s">
        <v>3235</v>
      </c>
      <c r="D380" t="s">
        <v>3236</v>
      </c>
      <c r="E380" t="s">
        <v>363</v>
      </c>
      <c r="F380" t="s">
        <v>3237</v>
      </c>
      <c r="G380">
        <v>15.178578699999999</v>
      </c>
      <c r="H380">
        <v>120.51842980000001</v>
      </c>
      <c r="I380" t="s">
        <v>3238</v>
      </c>
      <c r="J380">
        <f>-45- 599-6836</f>
        <v>-7480</v>
      </c>
      <c r="K380" t="s">
        <v>3239</v>
      </c>
      <c r="L380">
        <v>1234</v>
      </c>
      <c r="M380" s="1">
        <v>42735</v>
      </c>
      <c r="N380" t="s">
        <v>16</v>
      </c>
      <c r="O380" t="s">
        <v>292</v>
      </c>
      <c r="P380">
        <v>145</v>
      </c>
      <c r="Q380" t="s">
        <v>3240</v>
      </c>
    </row>
    <row r="381" spans="1:17" x14ac:dyDescent="0.3">
      <c r="A381" t="s">
        <v>3241</v>
      </c>
      <c r="B381" t="s">
        <v>3242</v>
      </c>
      <c r="C381" t="s">
        <v>3243</v>
      </c>
      <c r="D381" t="s">
        <v>3244</v>
      </c>
      <c r="E381" t="s">
        <v>2253</v>
      </c>
      <c r="F381" t="s">
        <v>3245</v>
      </c>
      <c r="G381">
        <v>15.178578699999999</v>
      </c>
      <c r="H381">
        <v>120.51842980000001</v>
      </c>
      <c r="I381" t="s">
        <v>3246</v>
      </c>
      <c r="J381" t="s">
        <v>3247</v>
      </c>
      <c r="K381" t="s">
        <v>3248</v>
      </c>
      <c r="L381" t="s">
        <v>3249</v>
      </c>
      <c r="M381" s="1">
        <v>42800</v>
      </c>
      <c r="N381" t="s">
        <v>398</v>
      </c>
      <c r="O381" t="s">
        <v>853</v>
      </c>
      <c r="P381">
        <v>1607</v>
      </c>
      <c r="Q381" t="s">
        <v>3250</v>
      </c>
    </row>
    <row r="382" spans="1:17" x14ac:dyDescent="0.3">
      <c r="A382" t="s">
        <v>3251</v>
      </c>
      <c r="B382" t="s">
        <v>3252</v>
      </c>
      <c r="C382" t="s">
        <v>3253</v>
      </c>
      <c r="D382" t="s">
        <v>476</v>
      </c>
      <c r="E382" t="s">
        <v>3254</v>
      </c>
      <c r="F382" t="s">
        <v>3255</v>
      </c>
      <c r="G382">
        <v>15.178578699999999</v>
      </c>
      <c r="H382">
        <v>120.51842980000001</v>
      </c>
      <c r="I382" t="s">
        <v>3256</v>
      </c>
      <c r="J382" t="s">
        <v>3257</v>
      </c>
      <c r="K382" t="s">
        <v>3258</v>
      </c>
      <c r="L382">
        <v>1234</v>
      </c>
      <c r="M382" s="1">
        <v>43531</v>
      </c>
      <c r="N382" t="s">
        <v>336</v>
      </c>
      <c r="O382" t="s">
        <v>441</v>
      </c>
      <c r="P382">
        <v>2288</v>
      </c>
    </row>
    <row r="383" spans="1:17" x14ac:dyDescent="0.3">
      <c r="A383" t="s">
        <v>3259</v>
      </c>
      <c r="B383" t="s">
        <v>3260</v>
      </c>
      <c r="C383" t="s">
        <v>3261</v>
      </c>
      <c r="D383" t="s">
        <v>3262</v>
      </c>
      <c r="E383" t="s">
        <v>342</v>
      </c>
      <c r="F383" t="s">
        <v>3263</v>
      </c>
      <c r="G383">
        <v>15.178578699999999</v>
      </c>
      <c r="H383">
        <v>120.51842980000001</v>
      </c>
      <c r="I383" t="s">
        <v>3264</v>
      </c>
      <c r="J383" t="s">
        <v>3265</v>
      </c>
      <c r="K383" t="s">
        <v>3266</v>
      </c>
      <c r="L383">
        <v>1234</v>
      </c>
      <c r="M383" s="1">
        <v>42870</v>
      </c>
      <c r="N383" t="s">
        <v>398</v>
      </c>
      <c r="O383" t="s">
        <v>685</v>
      </c>
      <c r="P383">
        <v>2331</v>
      </c>
    </row>
    <row r="384" spans="1:17" x14ac:dyDescent="0.3">
      <c r="A384" t="s">
        <v>3267</v>
      </c>
      <c r="B384" t="s">
        <v>326</v>
      </c>
      <c r="C384" t="s">
        <v>3268</v>
      </c>
      <c r="D384" t="s">
        <v>2919</v>
      </c>
      <c r="E384" t="s">
        <v>286</v>
      </c>
      <c r="F384" t="s">
        <v>3269</v>
      </c>
      <c r="G384">
        <v>15.172786143526601</v>
      </c>
      <c r="H384">
        <v>120.53570508956901</v>
      </c>
      <c r="I384" t="s">
        <v>3270</v>
      </c>
      <c r="J384">
        <v>9369510084</v>
      </c>
      <c r="K384" t="s">
        <v>3271</v>
      </c>
      <c r="L384">
        <v>1234</v>
      </c>
      <c r="M384" s="1">
        <v>43069</v>
      </c>
      <c r="N384" t="s">
        <v>336</v>
      </c>
      <c r="O384" t="s">
        <v>441</v>
      </c>
      <c r="P384">
        <v>2501</v>
      </c>
    </row>
    <row r="385" spans="1:17" x14ac:dyDescent="0.3">
      <c r="A385" t="s">
        <v>3272</v>
      </c>
      <c r="B385" t="s">
        <v>3273</v>
      </c>
      <c r="C385" t="s">
        <v>3274</v>
      </c>
      <c r="D385" t="s">
        <v>3275</v>
      </c>
      <c r="E385" t="s">
        <v>3276</v>
      </c>
      <c r="F385" t="s">
        <v>3277</v>
      </c>
      <c r="G385">
        <v>15.178578699999999</v>
      </c>
      <c r="H385">
        <v>120.51842980000001</v>
      </c>
      <c r="I385" t="s">
        <v>3278</v>
      </c>
      <c r="J385">
        <v>9479961972</v>
      </c>
      <c r="K385" t="s">
        <v>3279</v>
      </c>
      <c r="L385">
        <v>1234</v>
      </c>
      <c r="M385" s="1">
        <v>43031</v>
      </c>
      <c r="N385" t="s">
        <v>398</v>
      </c>
      <c r="O385" t="s">
        <v>399</v>
      </c>
      <c r="P385">
        <v>2034</v>
      </c>
    </row>
    <row r="386" spans="1:17" x14ac:dyDescent="0.3">
      <c r="A386" t="s">
        <v>3280</v>
      </c>
      <c r="B386" t="s">
        <v>88</v>
      </c>
      <c r="C386" t="s">
        <v>3281</v>
      </c>
      <c r="D386" t="s">
        <v>426</v>
      </c>
      <c r="E386" t="s">
        <v>23</v>
      </c>
      <c r="F386" t="s">
        <v>3282</v>
      </c>
      <c r="G386">
        <v>15.178578699999999</v>
      </c>
      <c r="H386">
        <v>120.51842980000001</v>
      </c>
      <c r="I386" t="s">
        <v>3283</v>
      </c>
      <c r="J386">
        <v>9253581477</v>
      </c>
      <c r="K386" t="s">
        <v>3284</v>
      </c>
      <c r="L386">
        <v>12345</v>
      </c>
      <c r="M386" s="1">
        <v>43702</v>
      </c>
      <c r="N386" t="s">
        <v>779</v>
      </c>
      <c r="O386" t="s">
        <v>780</v>
      </c>
      <c r="P386">
        <v>1736</v>
      </c>
    </row>
    <row r="387" spans="1:17" x14ac:dyDescent="0.3">
      <c r="A387" t="s">
        <v>3285</v>
      </c>
      <c r="B387" t="s">
        <v>88</v>
      </c>
      <c r="C387" t="s">
        <v>3281</v>
      </c>
      <c r="D387" t="s">
        <v>426</v>
      </c>
      <c r="E387" t="s">
        <v>23</v>
      </c>
      <c r="F387" t="s">
        <v>3286</v>
      </c>
      <c r="G387">
        <v>15.178578699999999</v>
      </c>
      <c r="H387">
        <v>120.51842980000001</v>
      </c>
      <c r="I387" t="s">
        <v>3283</v>
      </c>
      <c r="J387">
        <v>9253581477</v>
      </c>
      <c r="K387" t="s">
        <v>3287</v>
      </c>
      <c r="L387" t="s">
        <v>3288</v>
      </c>
      <c r="M387" s="1">
        <v>43309</v>
      </c>
      <c r="N387" t="s">
        <v>779</v>
      </c>
      <c r="O387" t="s">
        <v>2414</v>
      </c>
      <c r="P387">
        <v>740</v>
      </c>
    </row>
    <row r="388" spans="1:17" x14ac:dyDescent="0.3">
      <c r="A388" t="s">
        <v>3289</v>
      </c>
      <c r="B388" t="s">
        <v>3290</v>
      </c>
      <c r="C388" t="s">
        <v>3291</v>
      </c>
      <c r="D388" t="s">
        <v>1976</v>
      </c>
      <c r="E388" t="s">
        <v>3292</v>
      </c>
      <c r="F388" t="s">
        <v>3293</v>
      </c>
      <c r="G388">
        <v>15.1742358159687</v>
      </c>
      <c r="H388">
        <v>120.517058372497</v>
      </c>
      <c r="I388" t="s">
        <v>3294</v>
      </c>
      <c r="J388" t="s">
        <v>3295</v>
      </c>
      <c r="K388" t="s">
        <v>3296</v>
      </c>
      <c r="L388">
        <v>1234</v>
      </c>
      <c r="M388" s="1">
        <v>43524</v>
      </c>
      <c r="N388" t="s">
        <v>779</v>
      </c>
      <c r="O388" t="s">
        <v>2414</v>
      </c>
      <c r="P388">
        <v>1108</v>
      </c>
    </row>
    <row r="389" spans="1:17" x14ac:dyDescent="0.3">
      <c r="A389" t="s">
        <v>3297</v>
      </c>
      <c r="B389" t="s">
        <v>1425</v>
      </c>
      <c r="C389" t="s">
        <v>2199</v>
      </c>
      <c r="D389" t="s">
        <v>723</v>
      </c>
      <c r="E389" t="s">
        <v>329</v>
      </c>
      <c r="F389" t="s">
        <v>3298</v>
      </c>
      <c r="G389">
        <v>15.178578699999999</v>
      </c>
      <c r="H389">
        <v>120.51842980000001</v>
      </c>
      <c r="I389" t="s">
        <v>3299</v>
      </c>
      <c r="J389">
        <v>9977381668</v>
      </c>
      <c r="K389" t="s">
        <v>3300</v>
      </c>
      <c r="L389">
        <v>1234</v>
      </c>
      <c r="M389" s="1">
        <v>43698</v>
      </c>
      <c r="N389" t="s">
        <v>398</v>
      </c>
      <c r="O389" t="s">
        <v>582</v>
      </c>
      <c r="P389">
        <v>2430</v>
      </c>
    </row>
    <row r="390" spans="1:17" x14ac:dyDescent="0.3">
      <c r="A390" t="s">
        <v>3301</v>
      </c>
      <c r="B390" t="s">
        <v>3302</v>
      </c>
      <c r="C390" t="s">
        <v>3303</v>
      </c>
      <c r="D390" t="s">
        <v>3304</v>
      </c>
      <c r="E390" t="s">
        <v>477</v>
      </c>
      <c r="F390" t="s">
        <v>3305</v>
      </c>
      <c r="G390">
        <v>15.178578699999999</v>
      </c>
      <c r="H390">
        <v>120.51842980000001</v>
      </c>
      <c r="I390" t="s">
        <v>3306</v>
      </c>
      <c r="J390" t="s">
        <v>3307</v>
      </c>
      <c r="K390" t="s">
        <v>3308</v>
      </c>
      <c r="L390">
        <v>1234</v>
      </c>
      <c r="M390" s="1">
        <v>42709</v>
      </c>
      <c r="N390" t="s">
        <v>398</v>
      </c>
      <c r="O390" t="s">
        <v>1104</v>
      </c>
      <c r="P390">
        <v>1023</v>
      </c>
    </row>
    <row r="391" spans="1:17" x14ac:dyDescent="0.3">
      <c r="A391" t="s">
        <v>3309</v>
      </c>
      <c r="B391" t="s">
        <v>3310</v>
      </c>
      <c r="C391" t="s">
        <v>3311</v>
      </c>
      <c r="D391" t="s">
        <v>2682</v>
      </c>
      <c r="E391" t="s">
        <v>2693</v>
      </c>
      <c r="F391" t="s">
        <v>3312</v>
      </c>
      <c r="G391">
        <v>15.178578699999999</v>
      </c>
      <c r="H391">
        <v>120.51842980000001</v>
      </c>
      <c r="I391" t="s">
        <v>3313</v>
      </c>
      <c r="J391">
        <v>9988464899</v>
      </c>
      <c r="K391" t="s">
        <v>3314</v>
      </c>
      <c r="L391">
        <v>1234</v>
      </c>
      <c r="M391" s="1">
        <v>42393</v>
      </c>
      <c r="N391" t="s">
        <v>398</v>
      </c>
      <c r="O391" t="s">
        <v>1104</v>
      </c>
      <c r="P391">
        <v>1139</v>
      </c>
    </row>
    <row r="392" spans="1:17" x14ac:dyDescent="0.3">
      <c r="A392" t="s">
        <v>3315</v>
      </c>
      <c r="B392" t="s">
        <v>3316</v>
      </c>
      <c r="C392" t="s">
        <v>3235</v>
      </c>
      <c r="D392" t="s">
        <v>3317</v>
      </c>
      <c r="E392" t="s">
        <v>957</v>
      </c>
      <c r="I392" t="s">
        <v>3318</v>
      </c>
      <c r="J392">
        <v>9061838557</v>
      </c>
      <c r="K392" t="s">
        <v>3319</v>
      </c>
      <c r="L392" t="s">
        <v>3320</v>
      </c>
      <c r="M392" s="1">
        <v>42886</v>
      </c>
      <c r="N392" t="s">
        <v>369</v>
      </c>
      <c r="O392" t="s">
        <v>447</v>
      </c>
      <c r="P392">
        <v>2342</v>
      </c>
    </row>
    <row r="393" spans="1:17" x14ac:dyDescent="0.3">
      <c r="A393" t="s">
        <v>3321</v>
      </c>
      <c r="B393" t="s">
        <v>954</v>
      </c>
      <c r="C393" t="s">
        <v>3322</v>
      </c>
      <c r="D393" t="s">
        <v>1180</v>
      </c>
      <c r="E393" t="s">
        <v>1110</v>
      </c>
      <c r="I393" t="s">
        <v>3323</v>
      </c>
      <c r="J393" t="s">
        <v>3324</v>
      </c>
      <c r="K393" t="s">
        <v>3325</v>
      </c>
      <c r="L393">
        <v>5151986</v>
      </c>
      <c r="M393" s="1">
        <v>42886</v>
      </c>
      <c r="N393" t="s">
        <v>16</v>
      </c>
      <c r="O393" t="s">
        <v>292</v>
      </c>
      <c r="P393">
        <v>1523</v>
      </c>
    </row>
    <row r="394" spans="1:17" x14ac:dyDescent="0.3">
      <c r="A394" t="s">
        <v>3326</v>
      </c>
      <c r="B394" t="s">
        <v>3327</v>
      </c>
      <c r="C394" t="s">
        <v>3328</v>
      </c>
      <c r="D394" t="s">
        <v>3329</v>
      </c>
      <c r="E394" t="s">
        <v>560</v>
      </c>
      <c r="F394" t="s">
        <v>3330</v>
      </c>
      <c r="G394">
        <v>15.1735213357939</v>
      </c>
      <c r="H394">
        <v>120.531864166259</v>
      </c>
      <c r="I394" t="s">
        <v>3331</v>
      </c>
      <c r="J394">
        <v>9175135214</v>
      </c>
      <c r="K394" t="s">
        <v>3332</v>
      </c>
      <c r="L394" t="s">
        <v>3333</v>
      </c>
      <c r="M394" s="1">
        <v>43131</v>
      </c>
      <c r="N394" t="s">
        <v>304</v>
      </c>
      <c r="O394" t="s">
        <v>323</v>
      </c>
      <c r="P394">
        <v>1532</v>
      </c>
    </row>
    <row r="395" spans="1:17" x14ac:dyDescent="0.3">
      <c r="A395" t="s">
        <v>3334</v>
      </c>
      <c r="B395" t="s">
        <v>3335</v>
      </c>
      <c r="C395" t="s">
        <v>75</v>
      </c>
      <c r="D395" t="s">
        <v>901</v>
      </c>
      <c r="E395" t="s">
        <v>1766</v>
      </c>
      <c r="F395" t="s">
        <v>3336</v>
      </c>
      <c r="G395">
        <v>15.178578699999999</v>
      </c>
      <c r="H395">
        <v>120.51842980000001</v>
      </c>
      <c r="I395" t="s">
        <v>3337</v>
      </c>
      <c r="J395">
        <v>9175083496</v>
      </c>
      <c r="K395" t="s">
        <v>3338</v>
      </c>
      <c r="L395">
        <v>1234</v>
      </c>
      <c r="M395" s="1">
        <v>42825</v>
      </c>
      <c r="N395" t="s">
        <v>398</v>
      </c>
      <c r="O395" t="s">
        <v>582</v>
      </c>
      <c r="P395">
        <v>1611</v>
      </c>
    </row>
    <row r="396" spans="1:17" x14ac:dyDescent="0.3">
      <c r="A396" t="s">
        <v>3339</v>
      </c>
      <c r="B396" t="s">
        <v>2919</v>
      </c>
      <c r="C396" t="s">
        <v>3340</v>
      </c>
      <c r="D396" t="s">
        <v>3341</v>
      </c>
      <c r="E396" t="s">
        <v>286</v>
      </c>
      <c r="F396" t="s">
        <v>3342</v>
      </c>
      <c r="I396" t="s">
        <v>3343</v>
      </c>
      <c r="J396">
        <v>9176216633</v>
      </c>
      <c r="K396" t="s">
        <v>3344</v>
      </c>
      <c r="L396">
        <v>1234</v>
      </c>
      <c r="M396" s="1">
        <v>42841</v>
      </c>
      <c r="N396" t="s">
        <v>398</v>
      </c>
      <c r="O396" t="s">
        <v>752</v>
      </c>
      <c r="P396">
        <v>2379</v>
      </c>
    </row>
    <row r="397" spans="1:17" x14ac:dyDescent="0.3">
      <c r="A397" t="s">
        <v>3345</v>
      </c>
      <c r="B397" t="s">
        <v>36</v>
      </c>
      <c r="C397" t="s">
        <v>3346</v>
      </c>
      <c r="D397" t="s">
        <v>3347</v>
      </c>
      <c r="E397" t="s">
        <v>2022</v>
      </c>
      <c r="F397" t="s">
        <v>3348</v>
      </c>
      <c r="G397">
        <v>15.178578699999999</v>
      </c>
      <c r="H397">
        <v>120.51842980000001</v>
      </c>
      <c r="I397" t="s">
        <v>3349</v>
      </c>
      <c r="J397">
        <v>9985778476</v>
      </c>
      <c r="K397" t="s">
        <v>3350</v>
      </c>
      <c r="L397">
        <v>1234</v>
      </c>
      <c r="M397" s="1">
        <v>42978</v>
      </c>
      <c r="N397" t="s">
        <v>398</v>
      </c>
      <c r="O397" t="s">
        <v>685</v>
      </c>
      <c r="P397">
        <v>2130</v>
      </c>
    </row>
    <row r="398" spans="1:17" x14ac:dyDescent="0.3">
      <c r="A398" t="s">
        <v>3351</v>
      </c>
      <c r="B398" t="s">
        <v>3352</v>
      </c>
      <c r="C398" t="s">
        <v>3353</v>
      </c>
      <c r="D398" t="s">
        <v>3354</v>
      </c>
      <c r="E398" t="s">
        <v>286</v>
      </c>
      <c r="F398" t="s">
        <v>3355</v>
      </c>
      <c r="G398">
        <v>15.178578699999999</v>
      </c>
      <c r="H398">
        <v>120.51842980000001</v>
      </c>
      <c r="I398" t="s">
        <v>3356</v>
      </c>
      <c r="J398" t="s">
        <v>3357</v>
      </c>
      <c r="K398" t="s">
        <v>3358</v>
      </c>
      <c r="L398">
        <v>1234</v>
      </c>
      <c r="M398" s="1">
        <v>43270</v>
      </c>
      <c r="N398" t="s">
        <v>398</v>
      </c>
      <c r="O398" t="s">
        <v>685</v>
      </c>
      <c r="P398">
        <v>2401</v>
      </c>
    </row>
    <row r="399" spans="1:17" x14ac:dyDescent="0.3">
      <c r="A399" t="s">
        <v>3359</v>
      </c>
      <c r="B399" t="s">
        <v>3360</v>
      </c>
      <c r="C399" t="s">
        <v>3361</v>
      </c>
      <c r="D399" t="s">
        <v>3362</v>
      </c>
      <c r="E399" t="s">
        <v>3363</v>
      </c>
      <c r="F399" t="s">
        <v>3364</v>
      </c>
      <c r="G399">
        <v>15.193018529094999</v>
      </c>
      <c r="H399">
        <v>120.530372858047</v>
      </c>
      <c r="I399" t="s">
        <v>3365</v>
      </c>
      <c r="J399">
        <v>454993135</v>
      </c>
      <c r="K399" t="s">
        <v>3366</v>
      </c>
      <c r="L399" t="s">
        <v>3367</v>
      </c>
      <c r="M399" s="1">
        <v>43835</v>
      </c>
      <c r="N399" t="s">
        <v>16</v>
      </c>
      <c r="O399" t="s">
        <v>421</v>
      </c>
      <c r="P399">
        <v>1800</v>
      </c>
      <c r="Q399" t="s">
        <v>3368</v>
      </c>
    </row>
    <row r="400" spans="1:17" x14ac:dyDescent="0.3">
      <c r="A400" t="s">
        <v>3369</v>
      </c>
      <c r="B400" t="s">
        <v>3370</v>
      </c>
      <c r="C400" t="s">
        <v>3371</v>
      </c>
      <c r="D400" t="s">
        <v>2507</v>
      </c>
      <c r="E400" t="s">
        <v>1110</v>
      </c>
      <c r="F400" t="s">
        <v>2519</v>
      </c>
      <c r="G400">
        <v>15.173086433635</v>
      </c>
      <c r="H400">
        <v>120.531005859375</v>
      </c>
      <c r="I400" t="s">
        <v>3372</v>
      </c>
      <c r="J400">
        <v>9498890729</v>
      </c>
      <c r="K400" t="s">
        <v>3373</v>
      </c>
      <c r="L400" t="s">
        <v>3374</v>
      </c>
      <c r="M400" s="1">
        <v>43114</v>
      </c>
      <c r="N400" t="s">
        <v>369</v>
      </c>
      <c r="O400" t="s">
        <v>83</v>
      </c>
      <c r="P400">
        <v>735</v>
      </c>
    </row>
    <row r="401" spans="1:17" x14ac:dyDescent="0.3">
      <c r="A401" t="s">
        <v>3375</v>
      </c>
      <c r="B401" t="s">
        <v>3376</v>
      </c>
      <c r="C401" t="s">
        <v>3377</v>
      </c>
      <c r="D401" t="s">
        <v>756</v>
      </c>
      <c r="E401" t="s">
        <v>1339</v>
      </c>
      <c r="F401" t="s">
        <v>3378</v>
      </c>
      <c r="G401">
        <v>15.178578699999999</v>
      </c>
      <c r="H401">
        <v>120.51842980000001</v>
      </c>
      <c r="I401" t="s">
        <v>645</v>
      </c>
      <c r="J401">
        <v>9989850767</v>
      </c>
      <c r="K401" t="s">
        <v>3379</v>
      </c>
      <c r="L401">
        <v>1234</v>
      </c>
      <c r="M401" s="1">
        <v>42654</v>
      </c>
      <c r="N401" t="s">
        <v>398</v>
      </c>
      <c r="O401" t="s">
        <v>1161</v>
      </c>
      <c r="P401">
        <v>467</v>
      </c>
    </row>
    <row r="402" spans="1:17" x14ac:dyDescent="0.3">
      <c r="A402" t="s">
        <v>3380</v>
      </c>
      <c r="B402" t="s">
        <v>3381</v>
      </c>
      <c r="C402" t="s">
        <v>3382</v>
      </c>
      <c r="D402" t="s">
        <v>3383</v>
      </c>
      <c r="E402" t="s">
        <v>23</v>
      </c>
      <c r="F402" t="s">
        <v>3384</v>
      </c>
      <c r="G402">
        <v>15.178578699999999</v>
      </c>
      <c r="H402">
        <v>120.51842980000001</v>
      </c>
      <c r="I402" t="s">
        <v>3385</v>
      </c>
      <c r="J402" t="s">
        <v>3386</v>
      </c>
      <c r="K402" t="s">
        <v>3387</v>
      </c>
      <c r="L402">
        <v>1234</v>
      </c>
      <c r="M402" s="1">
        <v>43159</v>
      </c>
      <c r="N402" t="s">
        <v>336</v>
      </c>
      <c r="O402" t="s">
        <v>441</v>
      </c>
      <c r="P402">
        <v>1389</v>
      </c>
    </row>
    <row r="403" spans="1:17" x14ac:dyDescent="0.3">
      <c r="A403" t="s">
        <v>3388</v>
      </c>
      <c r="B403" t="s">
        <v>2319</v>
      </c>
      <c r="C403" t="s">
        <v>2345</v>
      </c>
      <c r="D403" t="s">
        <v>3389</v>
      </c>
      <c r="E403" t="s">
        <v>3390</v>
      </c>
      <c r="F403" t="s">
        <v>3391</v>
      </c>
      <c r="G403">
        <v>15.1692136939809</v>
      </c>
      <c r="H403">
        <v>120.57166814804</v>
      </c>
      <c r="I403" t="s">
        <v>3392</v>
      </c>
      <c r="J403" t="s">
        <v>3393</v>
      </c>
      <c r="K403" t="s">
        <v>3394</v>
      </c>
      <c r="L403" t="s">
        <v>3395</v>
      </c>
      <c r="M403" s="1">
        <v>43787</v>
      </c>
      <c r="N403" t="s">
        <v>16</v>
      </c>
      <c r="O403" t="s">
        <v>3396</v>
      </c>
      <c r="P403">
        <v>157</v>
      </c>
      <c r="Q403" t="s">
        <v>3397</v>
      </c>
    </row>
    <row r="404" spans="1:17" x14ac:dyDescent="0.3">
      <c r="A404" t="s">
        <v>3398</v>
      </c>
      <c r="B404" t="s">
        <v>3399</v>
      </c>
      <c r="C404" t="s">
        <v>3400</v>
      </c>
      <c r="D404" t="s">
        <v>1538</v>
      </c>
      <c r="E404" t="s">
        <v>3401</v>
      </c>
      <c r="I404" t="s">
        <v>3402</v>
      </c>
      <c r="J404" t="s">
        <v>3403</v>
      </c>
      <c r="K404" t="s">
        <v>3404</v>
      </c>
      <c r="L404">
        <v>1234</v>
      </c>
      <c r="M404" s="1">
        <v>43040</v>
      </c>
      <c r="N404" t="s">
        <v>336</v>
      </c>
      <c r="O404" t="s">
        <v>515</v>
      </c>
      <c r="P404">
        <v>2269</v>
      </c>
    </row>
    <row r="405" spans="1:17" x14ac:dyDescent="0.3">
      <c r="A405" t="s">
        <v>3405</v>
      </c>
      <c r="B405" t="s">
        <v>3406</v>
      </c>
      <c r="C405" t="s">
        <v>3407</v>
      </c>
      <c r="D405" t="s">
        <v>177</v>
      </c>
      <c r="E405" t="s">
        <v>3408</v>
      </c>
      <c r="F405" t="s">
        <v>3409</v>
      </c>
      <c r="G405">
        <v>15.178578699999999</v>
      </c>
      <c r="H405">
        <v>120.51842980000001</v>
      </c>
      <c r="I405" t="s">
        <v>3410</v>
      </c>
      <c r="J405" t="s">
        <v>3411</v>
      </c>
      <c r="K405" t="s">
        <v>3412</v>
      </c>
      <c r="L405" t="s">
        <v>3413</v>
      </c>
      <c r="M405" s="1">
        <v>43039</v>
      </c>
      <c r="N405" t="s">
        <v>336</v>
      </c>
      <c r="O405" t="s">
        <v>483</v>
      </c>
      <c r="P405">
        <v>2267</v>
      </c>
      <c r="Q405" t="s">
        <v>3414</v>
      </c>
    </row>
    <row r="406" spans="1:17" x14ac:dyDescent="0.3">
      <c r="A406" t="s">
        <v>3415</v>
      </c>
      <c r="B406" t="s">
        <v>3416</v>
      </c>
      <c r="C406" t="s">
        <v>3417</v>
      </c>
      <c r="D406" t="s">
        <v>3418</v>
      </c>
      <c r="E406" t="s">
        <v>286</v>
      </c>
      <c r="F406" t="s">
        <v>3419</v>
      </c>
      <c r="G406">
        <v>15.173883999999999</v>
      </c>
      <c r="H406">
        <v>120.529346</v>
      </c>
      <c r="I406" t="s">
        <v>3420</v>
      </c>
      <c r="J406" t="s">
        <v>3421</v>
      </c>
      <c r="K406" t="s">
        <v>3422</v>
      </c>
      <c r="L406" t="s">
        <v>3423</v>
      </c>
      <c r="M406" s="1">
        <v>43190</v>
      </c>
      <c r="N406" t="s">
        <v>16</v>
      </c>
      <c r="O406" t="s">
        <v>292</v>
      </c>
      <c r="P406">
        <v>1843</v>
      </c>
      <c r="Q406" t="s">
        <v>3424</v>
      </c>
    </row>
    <row r="407" spans="1:17" x14ac:dyDescent="0.3">
      <c r="A407" t="s">
        <v>3425</v>
      </c>
      <c r="B407" t="s">
        <v>3426</v>
      </c>
      <c r="C407" t="s">
        <v>3427</v>
      </c>
      <c r="D407" t="s">
        <v>3428</v>
      </c>
      <c r="E407" t="s">
        <v>1815</v>
      </c>
      <c r="I407" t="s">
        <v>3429</v>
      </c>
      <c r="J407">
        <v>9176903015</v>
      </c>
      <c r="K407" t="s">
        <v>3430</v>
      </c>
      <c r="L407">
        <v>1234</v>
      </c>
      <c r="M407" s="1">
        <v>42978</v>
      </c>
      <c r="N407" t="s">
        <v>304</v>
      </c>
      <c r="O407" t="s">
        <v>323</v>
      </c>
      <c r="P407">
        <v>1289</v>
      </c>
    </row>
    <row r="408" spans="1:17" x14ac:dyDescent="0.3">
      <c r="A408" t="s">
        <v>3431</v>
      </c>
      <c r="B408" t="s">
        <v>679</v>
      </c>
      <c r="C408" t="s">
        <v>3432</v>
      </c>
      <c r="D408" t="s">
        <v>3433</v>
      </c>
      <c r="E408" t="s">
        <v>3434</v>
      </c>
      <c r="F408" t="s">
        <v>3435</v>
      </c>
      <c r="G408">
        <v>15.178578699999999</v>
      </c>
      <c r="H408">
        <v>120.51842980000001</v>
      </c>
      <c r="I408" t="s">
        <v>3436</v>
      </c>
      <c r="J408">
        <v>9499940194</v>
      </c>
      <c r="K408" t="s">
        <v>3437</v>
      </c>
      <c r="L408">
        <v>2206</v>
      </c>
      <c r="M408" s="1">
        <v>43342</v>
      </c>
      <c r="N408" t="s">
        <v>398</v>
      </c>
      <c r="O408" t="s">
        <v>582</v>
      </c>
      <c r="P408">
        <v>2465</v>
      </c>
    </row>
    <row r="409" spans="1:17" x14ac:dyDescent="0.3">
      <c r="A409" t="s">
        <v>3438</v>
      </c>
      <c r="B409" t="s">
        <v>3439</v>
      </c>
      <c r="C409" t="s">
        <v>3440</v>
      </c>
      <c r="D409" t="s">
        <v>3441</v>
      </c>
      <c r="E409" t="s">
        <v>286</v>
      </c>
      <c r="F409" t="s">
        <v>3442</v>
      </c>
      <c r="G409">
        <v>15.177114421757</v>
      </c>
      <c r="H409">
        <v>120.51618397235799</v>
      </c>
      <c r="I409" t="s">
        <v>3443</v>
      </c>
      <c r="J409" t="s">
        <v>3444</v>
      </c>
      <c r="K409" t="s">
        <v>3445</v>
      </c>
      <c r="L409" t="s">
        <v>3446</v>
      </c>
      <c r="M409" s="1">
        <v>43801</v>
      </c>
      <c r="N409" t="s">
        <v>398</v>
      </c>
      <c r="O409" t="s">
        <v>1104</v>
      </c>
      <c r="P409">
        <v>1395</v>
      </c>
      <c r="Q409" t="s">
        <v>3447</v>
      </c>
    </row>
    <row r="410" spans="1:17" x14ac:dyDescent="0.3">
      <c r="A410" t="s">
        <v>3448</v>
      </c>
      <c r="B410" t="s">
        <v>351</v>
      </c>
      <c r="C410" t="s">
        <v>973</v>
      </c>
      <c r="D410" t="s">
        <v>351</v>
      </c>
      <c r="E410" t="s">
        <v>3449</v>
      </c>
      <c r="F410" t="s">
        <v>3450</v>
      </c>
      <c r="G410">
        <v>15.178578699999999</v>
      </c>
      <c r="H410">
        <v>120.51842980000001</v>
      </c>
      <c r="I410" t="s">
        <v>3451</v>
      </c>
      <c r="J410" t="s">
        <v>3452</v>
      </c>
      <c r="K410" t="s">
        <v>3453</v>
      </c>
      <c r="L410" t="s">
        <v>3454</v>
      </c>
      <c r="M410" s="1">
        <v>43616</v>
      </c>
      <c r="N410" t="s">
        <v>369</v>
      </c>
      <c r="O410" t="s">
        <v>370</v>
      </c>
      <c r="P410">
        <v>2156</v>
      </c>
    </row>
    <row r="411" spans="1:17" x14ac:dyDescent="0.3">
      <c r="A411" t="s">
        <v>3455</v>
      </c>
      <c r="B411" t="s">
        <v>3456</v>
      </c>
      <c r="C411" t="s">
        <v>3457</v>
      </c>
      <c r="D411" t="s">
        <v>3458</v>
      </c>
      <c r="E411" t="s">
        <v>698</v>
      </c>
      <c r="F411" t="s">
        <v>3459</v>
      </c>
      <c r="G411">
        <v>15.1816269215576</v>
      </c>
      <c r="H411">
        <v>120.517127744205</v>
      </c>
      <c r="I411" t="s">
        <v>3460</v>
      </c>
      <c r="J411">
        <v>9985746472</v>
      </c>
      <c r="K411" t="s">
        <v>3461</v>
      </c>
      <c r="L411" t="s">
        <v>3462</v>
      </c>
      <c r="M411" s="1">
        <v>43677</v>
      </c>
      <c r="N411" t="s">
        <v>336</v>
      </c>
      <c r="O411" t="s">
        <v>515</v>
      </c>
      <c r="P411">
        <v>1979</v>
      </c>
    </row>
    <row r="412" spans="1:17" x14ac:dyDescent="0.3">
      <c r="A412" t="s">
        <v>3463</v>
      </c>
      <c r="B412" t="s">
        <v>3464</v>
      </c>
      <c r="C412" t="s">
        <v>3465</v>
      </c>
      <c r="D412" t="s">
        <v>3466</v>
      </c>
      <c r="E412" t="s">
        <v>1194</v>
      </c>
      <c r="F412" t="s">
        <v>3467</v>
      </c>
      <c r="G412">
        <v>15.178578699999999</v>
      </c>
      <c r="H412">
        <v>120.51842980000001</v>
      </c>
      <c r="I412" t="s">
        <v>3468</v>
      </c>
      <c r="J412">
        <v>9177072492</v>
      </c>
      <c r="K412" t="s">
        <v>3469</v>
      </c>
      <c r="L412" t="s">
        <v>3470</v>
      </c>
      <c r="M412" s="1">
        <v>43657</v>
      </c>
      <c r="N412" t="s">
        <v>336</v>
      </c>
      <c r="O412" t="s">
        <v>441</v>
      </c>
      <c r="P412">
        <v>2449</v>
      </c>
    </row>
    <row r="413" spans="1:17" x14ac:dyDescent="0.3">
      <c r="A413" t="s">
        <v>3471</v>
      </c>
      <c r="B413" t="s">
        <v>2659</v>
      </c>
      <c r="C413" t="s">
        <v>3472</v>
      </c>
      <c r="D413" t="s">
        <v>2561</v>
      </c>
      <c r="E413" t="s">
        <v>2216</v>
      </c>
      <c r="F413" t="s">
        <v>3473</v>
      </c>
      <c r="G413">
        <v>15.178578699999999</v>
      </c>
      <c r="H413">
        <v>120.51842980000001</v>
      </c>
      <c r="I413" t="s">
        <v>3474</v>
      </c>
      <c r="J413">
        <v>9063154135</v>
      </c>
      <c r="K413" t="s">
        <v>3475</v>
      </c>
      <c r="L413" t="s">
        <v>3476</v>
      </c>
      <c r="M413" s="1">
        <v>43159</v>
      </c>
      <c r="N413" t="s">
        <v>304</v>
      </c>
      <c r="O413" t="s">
        <v>305</v>
      </c>
      <c r="P413">
        <v>1603</v>
      </c>
    </row>
    <row r="414" spans="1:17" x14ac:dyDescent="0.3">
      <c r="A414" t="s">
        <v>3477</v>
      </c>
      <c r="B414" t="s">
        <v>2319</v>
      </c>
      <c r="C414" t="s">
        <v>3478</v>
      </c>
      <c r="D414" t="s">
        <v>3479</v>
      </c>
      <c r="E414" t="s">
        <v>3480</v>
      </c>
      <c r="F414" t="s">
        <v>3481</v>
      </c>
      <c r="I414" t="s">
        <v>3482</v>
      </c>
      <c r="J414">
        <v>9778399550</v>
      </c>
      <c r="K414" t="s">
        <v>3483</v>
      </c>
      <c r="L414" t="s">
        <v>3484</v>
      </c>
      <c r="M414" s="1">
        <v>43843</v>
      </c>
      <c r="N414" t="s">
        <v>336</v>
      </c>
      <c r="O414" t="s">
        <v>515</v>
      </c>
      <c r="P414">
        <v>1827</v>
      </c>
      <c r="Q414" t="s">
        <v>3485</v>
      </c>
    </row>
    <row r="415" spans="1:17" x14ac:dyDescent="0.3">
      <c r="A415" t="s">
        <v>3486</v>
      </c>
      <c r="B415" t="s">
        <v>3487</v>
      </c>
      <c r="C415" t="s">
        <v>3488</v>
      </c>
      <c r="D415" t="s">
        <v>2666</v>
      </c>
      <c r="E415" t="s">
        <v>3153</v>
      </c>
      <c r="F415" t="s">
        <v>3489</v>
      </c>
      <c r="G415">
        <v>15.178578699999999</v>
      </c>
      <c r="H415">
        <v>120.51842980000001</v>
      </c>
      <c r="I415" t="s">
        <v>3490</v>
      </c>
      <c r="J415">
        <v>9178993205</v>
      </c>
      <c r="K415" t="s">
        <v>3491</v>
      </c>
      <c r="L415">
        <v>1234</v>
      </c>
      <c r="M415" s="1">
        <v>43776</v>
      </c>
      <c r="N415" t="s">
        <v>931</v>
      </c>
      <c r="O415" t="s">
        <v>398</v>
      </c>
      <c r="P415">
        <v>1888</v>
      </c>
    </row>
    <row r="416" spans="1:17" x14ac:dyDescent="0.3">
      <c r="A416" t="s">
        <v>3492</v>
      </c>
      <c r="B416" t="s">
        <v>3493</v>
      </c>
      <c r="C416" t="s">
        <v>3494</v>
      </c>
      <c r="D416" t="s">
        <v>3495</v>
      </c>
      <c r="E416" t="s">
        <v>849</v>
      </c>
      <c r="F416" t="s">
        <v>3496</v>
      </c>
      <c r="G416">
        <v>15.2045627519694</v>
      </c>
      <c r="H416">
        <v>120.527100563049</v>
      </c>
      <c r="I416" t="s">
        <v>3497</v>
      </c>
      <c r="J416">
        <v>9175923808</v>
      </c>
      <c r="K416" t="s">
        <v>3498</v>
      </c>
      <c r="L416" t="s">
        <v>3499</v>
      </c>
      <c r="M416" s="1">
        <v>43219</v>
      </c>
      <c r="N416" t="s">
        <v>710</v>
      </c>
      <c r="O416" t="s">
        <v>711</v>
      </c>
      <c r="P416">
        <v>1218</v>
      </c>
      <c r="Q416" t="s">
        <v>3500</v>
      </c>
    </row>
    <row r="417" spans="1:17" x14ac:dyDescent="0.3">
      <c r="A417" t="s">
        <v>3501</v>
      </c>
      <c r="B417" t="s">
        <v>653</v>
      </c>
      <c r="C417" t="s">
        <v>3502</v>
      </c>
      <c r="D417" t="s">
        <v>3503</v>
      </c>
      <c r="E417" t="s">
        <v>1194</v>
      </c>
      <c r="F417" t="s">
        <v>3504</v>
      </c>
      <c r="G417">
        <v>15.1791749823839</v>
      </c>
      <c r="H417">
        <v>120.518174171447</v>
      </c>
      <c r="I417" t="s">
        <v>3505</v>
      </c>
      <c r="J417">
        <v>9366736327</v>
      </c>
      <c r="K417" t="s">
        <v>3506</v>
      </c>
      <c r="L417" t="s">
        <v>3507</v>
      </c>
      <c r="M417" s="1">
        <v>43723</v>
      </c>
      <c r="N417" t="s">
        <v>398</v>
      </c>
      <c r="O417" t="s">
        <v>1228</v>
      </c>
      <c r="P417">
        <v>1296</v>
      </c>
    </row>
    <row r="418" spans="1:17" x14ac:dyDescent="0.3">
      <c r="A418" t="s">
        <v>3508</v>
      </c>
      <c r="B418" t="s">
        <v>1976</v>
      </c>
      <c r="C418" t="s">
        <v>3509</v>
      </c>
      <c r="D418" t="s">
        <v>559</v>
      </c>
      <c r="E418" t="s">
        <v>3510</v>
      </c>
      <c r="F418" t="s">
        <v>3511</v>
      </c>
      <c r="G418">
        <v>15.1726308208892</v>
      </c>
      <c r="H418">
        <v>120.53014755249001</v>
      </c>
      <c r="I418" t="s">
        <v>3512</v>
      </c>
      <c r="J418">
        <v>9175482996</v>
      </c>
      <c r="K418" t="s">
        <v>3513</v>
      </c>
      <c r="L418" t="s">
        <v>3514</v>
      </c>
      <c r="M418" s="1">
        <v>43039</v>
      </c>
      <c r="N418" t="s">
        <v>304</v>
      </c>
      <c r="O418" t="s">
        <v>323</v>
      </c>
      <c r="P418">
        <v>1781</v>
      </c>
    </row>
    <row r="419" spans="1:17" x14ac:dyDescent="0.3">
      <c r="A419" t="s">
        <v>3515</v>
      </c>
      <c r="B419" t="s">
        <v>3516</v>
      </c>
      <c r="C419" t="s">
        <v>3517</v>
      </c>
      <c r="D419" t="s">
        <v>3518</v>
      </c>
      <c r="E419" t="s">
        <v>3519</v>
      </c>
      <c r="F419" t="s">
        <v>3520</v>
      </c>
      <c r="G419">
        <v>15.203610248083599</v>
      </c>
      <c r="H419">
        <v>120.549545288085</v>
      </c>
      <c r="I419" t="s">
        <v>3521</v>
      </c>
      <c r="J419">
        <v>9338667915</v>
      </c>
      <c r="K419" t="s">
        <v>3522</v>
      </c>
      <c r="L419">
        <v>1234</v>
      </c>
      <c r="M419" s="1">
        <v>43234</v>
      </c>
      <c r="N419" t="s">
        <v>16</v>
      </c>
      <c r="O419" t="s">
        <v>292</v>
      </c>
      <c r="P419">
        <v>1270</v>
      </c>
    </row>
    <row r="420" spans="1:17" x14ac:dyDescent="0.3">
      <c r="A420" t="s">
        <v>3523</v>
      </c>
      <c r="B420" t="s">
        <v>3524</v>
      </c>
      <c r="C420" t="s">
        <v>3525</v>
      </c>
      <c r="D420" t="s">
        <v>3526</v>
      </c>
      <c r="E420" t="s">
        <v>3527</v>
      </c>
      <c r="F420" t="s">
        <v>3528</v>
      </c>
      <c r="G420">
        <v>15.1689962385803</v>
      </c>
      <c r="H420">
        <v>120.56832075119</v>
      </c>
      <c r="I420" t="s">
        <v>3529</v>
      </c>
      <c r="J420" t="s">
        <v>3530</v>
      </c>
      <c r="K420" t="s">
        <v>3531</v>
      </c>
      <c r="L420" t="s">
        <v>3532</v>
      </c>
      <c r="M420" s="1">
        <v>43542</v>
      </c>
      <c r="N420" t="s">
        <v>1326</v>
      </c>
      <c r="O420" t="s">
        <v>421</v>
      </c>
      <c r="P420">
        <v>161</v>
      </c>
      <c r="Q420" t="s">
        <v>3533</v>
      </c>
    </row>
    <row r="421" spans="1:17" x14ac:dyDescent="0.3">
      <c r="A421" t="s">
        <v>3534</v>
      </c>
      <c r="B421" t="s">
        <v>3535</v>
      </c>
      <c r="C421" t="s">
        <v>3536</v>
      </c>
      <c r="D421" t="s">
        <v>3537</v>
      </c>
      <c r="E421" t="s">
        <v>2500</v>
      </c>
      <c r="F421" t="s">
        <v>3538</v>
      </c>
      <c r="G421">
        <v>15.170953329130301</v>
      </c>
      <c r="H421">
        <v>120.529482364654</v>
      </c>
      <c r="I421" t="s">
        <v>3539</v>
      </c>
      <c r="J421">
        <f>-45- 499-5179</f>
        <v>-5723</v>
      </c>
      <c r="K421" t="s">
        <v>3540</v>
      </c>
      <c r="L421" t="s">
        <v>3541</v>
      </c>
      <c r="M421" s="1">
        <v>43485</v>
      </c>
      <c r="N421" t="s">
        <v>16</v>
      </c>
      <c r="O421" t="s">
        <v>2468</v>
      </c>
      <c r="P421">
        <v>2251</v>
      </c>
      <c r="Q421" t="s">
        <v>3542</v>
      </c>
    </row>
    <row r="422" spans="1:17" x14ac:dyDescent="0.3">
      <c r="A422" t="s">
        <v>3543</v>
      </c>
      <c r="B422" t="s">
        <v>3544</v>
      </c>
      <c r="C422" t="s">
        <v>3545</v>
      </c>
      <c r="D422" t="s">
        <v>3546</v>
      </c>
      <c r="E422" t="s">
        <v>2048</v>
      </c>
      <c r="F422" t="s">
        <v>3547</v>
      </c>
      <c r="G422">
        <v>15.1887009309531</v>
      </c>
      <c r="H422">
        <v>120.542979240417</v>
      </c>
      <c r="I422" t="s">
        <v>3548</v>
      </c>
      <c r="J422">
        <v>9088742815</v>
      </c>
      <c r="K422" t="s">
        <v>3549</v>
      </c>
      <c r="L422">
        <v>1234</v>
      </c>
      <c r="M422" s="1">
        <v>43337</v>
      </c>
      <c r="N422" t="s">
        <v>16</v>
      </c>
      <c r="O422" t="s">
        <v>3396</v>
      </c>
      <c r="P422">
        <v>1572</v>
      </c>
    </row>
    <row r="423" spans="1:17" x14ac:dyDescent="0.3">
      <c r="A423" t="s">
        <v>3550</v>
      </c>
      <c r="B423" t="s">
        <v>3551</v>
      </c>
      <c r="C423" t="s">
        <v>3552</v>
      </c>
      <c r="D423" t="s">
        <v>1563</v>
      </c>
      <c r="E423" t="s">
        <v>698</v>
      </c>
      <c r="F423" t="s">
        <v>3553</v>
      </c>
      <c r="G423">
        <v>15.1737646735161</v>
      </c>
      <c r="H423">
        <v>120.512434244155</v>
      </c>
      <c r="I423" t="s">
        <v>3554</v>
      </c>
      <c r="J423" t="s">
        <v>3555</v>
      </c>
      <c r="K423" t="s">
        <v>3556</v>
      </c>
      <c r="L423">
        <v>1234</v>
      </c>
      <c r="M423" s="1">
        <v>43223</v>
      </c>
      <c r="N423" t="s">
        <v>779</v>
      </c>
      <c r="O423" t="s">
        <v>780</v>
      </c>
      <c r="P423">
        <v>2129</v>
      </c>
    </row>
    <row r="424" spans="1:17" x14ac:dyDescent="0.3">
      <c r="A424" t="s">
        <v>3557</v>
      </c>
      <c r="B424" t="s">
        <v>1824</v>
      </c>
      <c r="C424" t="s">
        <v>3558</v>
      </c>
      <c r="D424" t="s">
        <v>224</v>
      </c>
      <c r="E424" t="s">
        <v>2022</v>
      </c>
      <c r="F424" t="s">
        <v>3559</v>
      </c>
      <c r="G424">
        <v>15.1733815459119</v>
      </c>
      <c r="H424">
        <v>120.51508963108</v>
      </c>
      <c r="I424" t="s">
        <v>3560</v>
      </c>
      <c r="J424">
        <v>454363624</v>
      </c>
      <c r="K424" t="s">
        <v>3561</v>
      </c>
      <c r="L424" t="s">
        <v>3562</v>
      </c>
      <c r="M424" s="1">
        <v>43420</v>
      </c>
      <c r="N424" t="s">
        <v>779</v>
      </c>
      <c r="O424" t="s">
        <v>3563</v>
      </c>
      <c r="P424">
        <v>2217</v>
      </c>
      <c r="Q424" t="s">
        <v>3564</v>
      </c>
    </row>
    <row r="425" spans="1:17" x14ac:dyDescent="0.3">
      <c r="A425" t="s">
        <v>3565</v>
      </c>
      <c r="B425" t="s">
        <v>3566</v>
      </c>
      <c r="C425" t="s">
        <v>3567</v>
      </c>
      <c r="D425" t="s">
        <v>3568</v>
      </c>
      <c r="E425" t="s">
        <v>3569</v>
      </c>
      <c r="F425" t="s">
        <v>3570</v>
      </c>
      <c r="G425">
        <v>15.1921591580896</v>
      </c>
      <c r="H425">
        <v>120.540103912353</v>
      </c>
      <c r="I425" t="s">
        <v>3571</v>
      </c>
      <c r="J425" t="s">
        <v>3572</v>
      </c>
      <c r="K425" t="s">
        <v>3573</v>
      </c>
      <c r="L425" t="s">
        <v>3574</v>
      </c>
      <c r="M425" s="1">
        <v>43179</v>
      </c>
      <c r="N425" t="s">
        <v>16</v>
      </c>
      <c r="O425" t="s">
        <v>292</v>
      </c>
      <c r="P425">
        <v>839</v>
      </c>
    </row>
    <row r="426" spans="1:17" x14ac:dyDescent="0.3">
      <c r="A426" t="s">
        <v>3575</v>
      </c>
      <c r="B426" t="s">
        <v>3576</v>
      </c>
      <c r="C426" t="s">
        <v>3577</v>
      </c>
      <c r="D426" t="s">
        <v>3578</v>
      </c>
      <c r="E426" t="s">
        <v>3579</v>
      </c>
      <c r="F426" t="s">
        <v>3580</v>
      </c>
      <c r="G426">
        <v>15.178578699999999</v>
      </c>
      <c r="H426">
        <v>120.51842980000001</v>
      </c>
      <c r="I426" t="s">
        <v>3581</v>
      </c>
      <c r="J426">
        <v>9566778611</v>
      </c>
      <c r="K426" t="s">
        <v>3582</v>
      </c>
      <c r="L426" t="s">
        <v>3583</v>
      </c>
      <c r="M426" s="1">
        <v>43041</v>
      </c>
      <c r="N426" t="s">
        <v>871</v>
      </c>
      <c r="O426" t="s">
        <v>1628</v>
      </c>
      <c r="P426">
        <v>431</v>
      </c>
    </row>
    <row r="427" spans="1:17" x14ac:dyDescent="0.3">
      <c r="A427" t="s">
        <v>3584</v>
      </c>
      <c r="B427" t="s">
        <v>3585</v>
      </c>
      <c r="C427" t="s">
        <v>3586</v>
      </c>
      <c r="D427" t="s">
        <v>3587</v>
      </c>
      <c r="E427" t="s">
        <v>1276</v>
      </c>
      <c r="F427" t="s">
        <v>3588</v>
      </c>
      <c r="G427">
        <v>15.1735575776001</v>
      </c>
      <c r="H427">
        <v>120.535426139831</v>
      </c>
      <c r="I427" t="s">
        <v>3589</v>
      </c>
      <c r="J427">
        <v>9175823514</v>
      </c>
      <c r="K427" t="s">
        <v>3590</v>
      </c>
      <c r="L427" t="s">
        <v>3591</v>
      </c>
      <c r="M427" s="1">
        <v>43022</v>
      </c>
      <c r="N427" t="s">
        <v>398</v>
      </c>
      <c r="O427" t="s">
        <v>582</v>
      </c>
      <c r="P427">
        <v>1779</v>
      </c>
      <c r="Q427" t="s">
        <v>3592</v>
      </c>
    </row>
    <row r="428" spans="1:17" x14ac:dyDescent="0.3">
      <c r="A428" t="s">
        <v>3593</v>
      </c>
      <c r="B428" t="s">
        <v>3594</v>
      </c>
      <c r="C428" t="s">
        <v>3595</v>
      </c>
      <c r="D428" t="s">
        <v>3596</v>
      </c>
      <c r="E428" t="s">
        <v>3597</v>
      </c>
      <c r="F428" t="s">
        <v>3598</v>
      </c>
      <c r="G428">
        <v>15.1723357075637</v>
      </c>
      <c r="H428">
        <v>120.524622201919</v>
      </c>
      <c r="I428" t="s">
        <v>3599</v>
      </c>
      <c r="J428">
        <v>9171064165</v>
      </c>
      <c r="K428" t="s">
        <v>3600</v>
      </c>
      <c r="L428" t="s">
        <v>3601</v>
      </c>
      <c r="M428" s="1">
        <v>43069</v>
      </c>
      <c r="N428" t="s">
        <v>16</v>
      </c>
      <c r="O428" t="s">
        <v>17</v>
      </c>
      <c r="P428">
        <v>1127</v>
      </c>
    </row>
    <row r="429" spans="1:17" x14ac:dyDescent="0.3">
      <c r="A429" t="s">
        <v>3602</v>
      </c>
      <c r="B429" t="s">
        <v>2365</v>
      </c>
      <c r="C429" t="s">
        <v>3603</v>
      </c>
      <c r="D429" t="s">
        <v>3604</v>
      </c>
      <c r="E429" t="s">
        <v>3605</v>
      </c>
      <c r="F429" t="s">
        <v>3606</v>
      </c>
      <c r="G429">
        <v>15.1674481567621</v>
      </c>
      <c r="H429">
        <v>120.571362376213</v>
      </c>
      <c r="I429" t="s">
        <v>3607</v>
      </c>
      <c r="J429">
        <v>9353967099</v>
      </c>
      <c r="K429" t="s">
        <v>3608</v>
      </c>
      <c r="L429">
        <v>1234</v>
      </c>
      <c r="M429" s="1">
        <v>43039</v>
      </c>
      <c r="N429" t="s">
        <v>336</v>
      </c>
      <c r="O429" t="s">
        <v>483</v>
      </c>
      <c r="P429">
        <v>1398</v>
      </c>
      <c r="Q429" t="s">
        <v>3609</v>
      </c>
    </row>
    <row r="430" spans="1:17" x14ac:dyDescent="0.3">
      <c r="A430" t="s">
        <v>3610</v>
      </c>
      <c r="B430" t="s">
        <v>3611</v>
      </c>
      <c r="C430" t="s">
        <v>3612</v>
      </c>
      <c r="D430" t="s">
        <v>1068</v>
      </c>
      <c r="E430" t="s">
        <v>1259</v>
      </c>
      <c r="F430" t="s">
        <v>3613</v>
      </c>
      <c r="G430">
        <v>15.1820121033129</v>
      </c>
      <c r="H430">
        <v>120.51730513572601</v>
      </c>
      <c r="I430" t="s">
        <v>3614</v>
      </c>
      <c r="J430" t="s">
        <v>3615</v>
      </c>
      <c r="K430" t="s">
        <v>3616</v>
      </c>
      <c r="L430" t="s">
        <v>3617</v>
      </c>
      <c r="M430" s="1">
        <v>43030</v>
      </c>
      <c r="N430" t="s">
        <v>369</v>
      </c>
      <c r="O430" t="s">
        <v>471</v>
      </c>
      <c r="P430">
        <v>557</v>
      </c>
      <c r="Q430" t="s">
        <v>3618</v>
      </c>
    </row>
    <row r="431" spans="1:17" x14ac:dyDescent="0.3">
      <c r="A431" t="s">
        <v>3619</v>
      </c>
      <c r="B431" t="s">
        <v>1709</v>
      </c>
      <c r="C431" t="s">
        <v>3620</v>
      </c>
      <c r="D431" t="s">
        <v>3621</v>
      </c>
      <c r="E431" t="s">
        <v>3622</v>
      </c>
      <c r="F431" t="s">
        <v>3623</v>
      </c>
      <c r="G431">
        <v>15.178578699999999</v>
      </c>
      <c r="H431">
        <v>120.51842980000001</v>
      </c>
      <c r="I431" t="s">
        <v>3624</v>
      </c>
      <c r="J431" t="s">
        <v>3625</v>
      </c>
      <c r="K431" t="s">
        <v>3626</v>
      </c>
      <c r="L431">
        <v>122492</v>
      </c>
      <c r="M431" s="1">
        <v>42956</v>
      </c>
      <c r="N431" t="s">
        <v>398</v>
      </c>
      <c r="O431" t="s">
        <v>1228</v>
      </c>
      <c r="P431">
        <v>1434</v>
      </c>
    </row>
    <row r="432" spans="1:17" x14ac:dyDescent="0.3">
      <c r="A432" t="s">
        <v>3627</v>
      </c>
      <c r="B432" t="s">
        <v>326</v>
      </c>
      <c r="C432" t="s">
        <v>3628</v>
      </c>
      <c r="D432" t="s">
        <v>2883</v>
      </c>
      <c r="E432" t="s">
        <v>89</v>
      </c>
      <c r="F432" t="s">
        <v>3629</v>
      </c>
      <c r="G432">
        <v>15.181038788749399</v>
      </c>
      <c r="H432">
        <v>120.52761554718001</v>
      </c>
      <c r="I432" t="s">
        <v>3630</v>
      </c>
      <c r="J432" t="s">
        <v>3631</v>
      </c>
      <c r="K432" t="s">
        <v>3632</v>
      </c>
      <c r="L432">
        <v>1234</v>
      </c>
      <c r="M432" s="1">
        <v>42818</v>
      </c>
      <c r="N432" t="s">
        <v>710</v>
      </c>
      <c r="O432" t="s">
        <v>2916</v>
      </c>
      <c r="P432">
        <v>1866</v>
      </c>
      <c r="Q432" t="s">
        <v>3633</v>
      </c>
    </row>
    <row r="433" spans="1:17" x14ac:dyDescent="0.3">
      <c r="A433" t="s">
        <v>3634</v>
      </c>
      <c r="B433" t="s">
        <v>3635</v>
      </c>
      <c r="C433" t="s">
        <v>3636</v>
      </c>
      <c r="D433" t="s">
        <v>3275</v>
      </c>
      <c r="E433" t="s">
        <v>9</v>
      </c>
      <c r="F433" t="s">
        <v>3637</v>
      </c>
      <c r="G433">
        <v>15.178578699999999</v>
      </c>
      <c r="H433">
        <v>120.51842980000001</v>
      </c>
      <c r="I433" t="s">
        <v>3638</v>
      </c>
      <c r="J433">
        <v>9202926656</v>
      </c>
      <c r="K433" t="s">
        <v>3639</v>
      </c>
      <c r="L433">
        <v>1234</v>
      </c>
      <c r="M433" s="1">
        <v>43628</v>
      </c>
      <c r="N433" t="s">
        <v>398</v>
      </c>
      <c r="O433" t="s">
        <v>582</v>
      </c>
      <c r="P433">
        <v>1674</v>
      </c>
      <c r="Q433" t="s">
        <v>3640</v>
      </c>
    </row>
    <row r="434" spans="1:17" x14ac:dyDescent="0.3">
      <c r="A434" t="s">
        <v>3641</v>
      </c>
      <c r="B434" t="s">
        <v>3642</v>
      </c>
      <c r="C434" t="s">
        <v>3643</v>
      </c>
      <c r="D434" t="s">
        <v>3644</v>
      </c>
      <c r="E434" t="s">
        <v>680</v>
      </c>
      <c r="F434" t="s">
        <v>3645</v>
      </c>
      <c r="G434">
        <v>15.178578699999999</v>
      </c>
      <c r="H434">
        <v>120.51842980000001</v>
      </c>
      <c r="I434" t="s">
        <v>3646</v>
      </c>
      <c r="J434">
        <v>9188073218</v>
      </c>
      <c r="K434" t="s">
        <v>3647</v>
      </c>
      <c r="L434" t="s">
        <v>3648</v>
      </c>
      <c r="M434" s="1">
        <v>42709</v>
      </c>
      <c r="N434" t="s">
        <v>398</v>
      </c>
      <c r="O434" t="s">
        <v>685</v>
      </c>
      <c r="P434">
        <v>1232</v>
      </c>
    </row>
    <row r="435" spans="1:17" x14ac:dyDescent="0.3">
      <c r="A435" t="s">
        <v>3649</v>
      </c>
      <c r="B435" t="s">
        <v>3650</v>
      </c>
      <c r="C435" t="s">
        <v>3651</v>
      </c>
      <c r="D435" t="s">
        <v>3652</v>
      </c>
      <c r="E435" t="s">
        <v>643</v>
      </c>
      <c r="F435" t="s">
        <v>3653</v>
      </c>
      <c r="G435">
        <v>15.1791542733318</v>
      </c>
      <c r="H435">
        <v>120.50931215286199</v>
      </c>
      <c r="I435" t="s">
        <v>3654</v>
      </c>
      <c r="J435" t="s">
        <v>3655</v>
      </c>
      <c r="K435" t="s">
        <v>3656</v>
      </c>
      <c r="L435">
        <v>1234</v>
      </c>
      <c r="M435" s="1">
        <v>43732</v>
      </c>
      <c r="N435" t="s">
        <v>398</v>
      </c>
      <c r="O435" t="s">
        <v>582</v>
      </c>
      <c r="P435">
        <v>1755</v>
      </c>
    </row>
    <row r="436" spans="1:17" x14ac:dyDescent="0.3">
      <c r="A436" t="s">
        <v>3657</v>
      </c>
      <c r="B436" t="s">
        <v>822</v>
      </c>
      <c r="C436" t="s">
        <v>823</v>
      </c>
      <c r="D436" t="s">
        <v>3658</v>
      </c>
      <c r="E436" t="s">
        <v>3659</v>
      </c>
      <c r="F436" t="s">
        <v>3660</v>
      </c>
      <c r="G436">
        <v>15.178578699999999</v>
      </c>
      <c r="H436">
        <v>120.51842980000001</v>
      </c>
      <c r="I436" t="s">
        <v>3661</v>
      </c>
      <c r="J436">
        <v>9998854191</v>
      </c>
      <c r="K436" t="s">
        <v>3662</v>
      </c>
      <c r="L436">
        <v>1234</v>
      </c>
      <c r="M436" s="1">
        <v>43131</v>
      </c>
      <c r="N436" t="s">
        <v>304</v>
      </c>
      <c r="O436" t="s">
        <v>323</v>
      </c>
      <c r="P436">
        <v>2323</v>
      </c>
    </row>
    <row r="437" spans="1:17" x14ac:dyDescent="0.3">
      <c r="A437" t="s">
        <v>3663</v>
      </c>
      <c r="B437" t="s">
        <v>1852</v>
      </c>
      <c r="C437" t="s">
        <v>3664</v>
      </c>
      <c r="D437" t="s">
        <v>832</v>
      </c>
      <c r="E437" t="s">
        <v>89</v>
      </c>
      <c r="F437" t="s">
        <v>3665</v>
      </c>
      <c r="G437">
        <v>15.175747606633401</v>
      </c>
      <c r="H437">
        <v>120.511200428009</v>
      </c>
      <c r="I437" t="s">
        <v>3666</v>
      </c>
      <c r="J437">
        <v>9684376060</v>
      </c>
      <c r="K437" t="s">
        <v>3667</v>
      </c>
      <c r="L437">
        <v>1234</v>
      </c>
      <c r="M437" s="1">
        <v>43524</v>
      </c>
      <c r="N437" t="s">
        <v>336</v>
      </c>
      <c r="O437" t="s">
        <v>515</v>
      </c>
      <c r="P437">
        <v>2254</v>
      </c>
    </row>
    <row r="438" spans="1:17" x14ac:dyDescent="0.3">
      <c r="A438" t="s">
        <v>3668</v>
      </c>
      <c r="B438" t="s">
        <v>3669</v>
      </c>
      <c r="C438" t="s">
        <v>3670</v>
      </c>
      <c r="D438" t="s">
        <v>3671</v>
      </c>
      <c r="E438" t="s">
        <v>1080</v>
      </c>
      <c r="F438" t="s">
        <v>3672</v>
      </c>
      <c r="G438">
        <v>15.173785383096501</v>
      </c>
      <c r="H438">
        <v>120.53512036800301</v>
      </c>
      <c r="I438" t="s">
        <v>3673</v>
      </c>
      <c r="J438" t="s">
        <v>3674</v>
      </c>
      <c r="K438" t="s">
        <v>3675</v>
      </c>
      <c r="L438">
        <v>1234</v>
      </c>
      <c r="M438" s="1">
        <v>43555</v>
      </c>
      <c r="N438" t="s">
        <v>398</v>
      </c>
      <c r="O438" t="s">
        <v>582</v>
      </c>
      <c r="P438">
        <v>2340</v>
      </c>
    </row>
    <row r="439" spans="1:17" x14ac:dyDescent="0.3">
      <c r="A439" t="s">
        <v>3676</v>
      </c>
      <c r="B439" t="s">
        <v>2804</v>
      </c>
      <c r="C439" t="s">
        <v>3677</v>
      </c>
      <c r="D439" t="s">
        <v>3678</v>
      </c>
      <c r="E439" t="s">
        <v>3679</v>
      </c>
      <c r="F439" t="s">
        <v>1436</v>
      </c>
      <c r="G439">
        <v>15.1755548001485</v>
      </c>
      <c r="H439">
        <v>120.521647258865</v>
      </c>
      <c r="I439" t="s">
        <v>3680</v>
      </c>
      <c r="J439" t="s">
        <v>3681</v>
      </c>
      <c r="K439" t="s">
        <v>3682</v>
      </c>
      <c r="L439">
        <v>1234</v>
      </c>
      <c r="M439" s="1">
        <v>43677</v>
      </c>
      <c r="N439" t="s">
        <v>369</v>
      </c>
      <c r="O439" t="s">
        <v>370</v>
      </c>
      <c r="P439">
        <v>870</v>
      </c>
      <c r="Q439" t="s">
        <v>3683</v>
      </c>
    </row>
    <row r="440" spans="1:17" x14ac:dyDescent="0.3">
      <c r="A440" t="s">
        <v>3684</v>
      </c>
      <c r="B440" t="s">
        <v>2734</v>
      </c>
      <c r="C440" t="s">
        <v>3685</v>
      </c>
      <c r="D440" t="s">
        <v>328</v>
      </c>
      <c r="E440" t="s">
        <v>3686</v>
      </c>
      <c r="F440" t="s">
        <v>3687</v>
      </c>
      <c r="G440">
        <v>15.178578699999999</v>
      </c>
      <c r="H440">
        <v>120.51842980000001</v>
      </c>
      <c r="I440" t="s">
        <v>3688</v>
      </c>
      <c r="J440">
        <v>9338103961</v>
      </c>
      <c r="K440" t="s">
        <v>3689</v>
      </c>
      <c r="L440" t="s">
        <v>3690</v>
      </c>
      <c r="M440" s="1">
        <v>43159</v>
      </c>
      <c r="N440" t="s">
        <v>369</v>
      </c>
      <c r="O440" t="s">
        <v>471</v>
      </c>
      <c r="P440">
        <v>1881</v>
      </c>
    </row>
    <row r="441" spans="1:17" x14ac:dyDescent="0.3">
      <c r="A441" t="s">
        <v>3691</v>
      </c>
      <c r="B441" t="s">
        <v>3692</v>
      </c>
      <c r="C441" t="s">
        <v>3693</v>
      </c>
      <c r="D441" t="s">
        <v>3694</v>
      </c>
      <c r="E441" t="s">
        <v>9</v>
      </c>
      <c r="F441" t="s">
        <v>3695</v>
      </c>
      <c r="G441">
        <v>15.178578699999999</v>
      </c>
      <c r="H441">
        <v>120.51842980000001</v>
      </c>
      <c r="I441" t="s">
        <v>3696</v>
      </c>
      <c r="J441" t="s">
        <v>3697</v>
      </c>
      <c r="K441" t="s">
        <v>3698</v>
      </c>
      <c r="L441">
        <v>1234</v>
      </c>
      <c r="M441" s="1">
        <v>43587</v>
      </c>
      <c r="N441" t="s">
        <v>16</v>
      </c>
      <c r="O441" t="s">
        <v>292</v>
      </c>
      <c r="P441">
        <v>1565</v>
      </c>
    </row>
    <row r="442" spans="1:17" x14ac:dyDescent="0.3">
      <c r="A442" t="s">
        <v>3699</v>
      </c>
      <c r="B442" t="s">
        <v>1504</v>
      </c>
      <c r="C442" t="s">
        <v>3700</v>
      </c>
      <c r="D442" t="s">
        <v>3701</v>
      </c>
      <c r="E442" t="s">
        <v>859</v>
      </c>
      <c r="F442" t="s">
        <v>3702</v>
      </c>
      <c r="G442">
        <v>15.177021230097701</v>
      </c>
      <c r="H442">
        <v>120.516157150268</v>
      </c>
      <c r="I442" t="s">
        <v>3703</v>
      </c>
      <c r="J442">
        <v>9264991962</v>
      </c>
      <c r="K442" t="s">
        <v>3704</v>
      </c>
      <c r="L442" t="s">
        <v>3705</v>
      </c>
      <c r="M442" s="1">
        <v>42792</v>
      </c>
      <c r="N442" t="s">
        <v>369</v>
      </c>
      <c r="O442" t="s">
        <v>1932</v>
      </c>
      <c r="P442">
        <v>1169</v>
      </c>
      <c r="Q442" t="s">
        <v>3706</v>
      </c>
    </row>
    <row r="443" spans="1:17" x14ac:dyDescent="0.3">
      <c r="A443" t="s">
        <v>3707</v>
      </c>
      <c r="B443" t="s">
        <v>3708</v>
      </c>
      <c r="C443" t="s">
        <v>3709</v>
      </c>
      <c r="D443" t="s">
        <v>3710</v>
      </c>
      <c r="E443" t="s">
        <v>477</v>
      </c>
      <c r="F443" t="s">
        <v>3711</v>
      </c>
      <c r="G443">
        <v>15.178578699999999</v>
      </c>
      <c r="H443">
        <v>120.51842980000001</v>
      </c>
      <c r="I443" t="s">
        <v>3712</v>
      </c>
      <c r="J443" t="s">
        <v>3713</v>
      </c>
      <c r="K443" t="s">
        <v>3714</v>
      </c>
      <c r="L443" t="s">
        <v>3715</v>
      </c>
      <c r="M443" s="1">
        <v>43190</v>
      </c>
      <c r="N443" t="s">
        <v>16</v>
      </c>
      <c r="O443" t="s">
        <v>292</v>
      </c>
      <c r="P443">
        <v>174</v>
      </c>
      <c r="Q443" t="s">
        <v>3716</v>
      </c>
    </row>
    <row r="444" spans="1:17" x14ac:dyDescent="0.3">
      <c r="A444" t="s">
        <v>3717</v>
      </c>
      <c r="B444" t="s">
        <v>2969</v>
      </c>
      <c r="C444" t="s">
        <v>2970</v>
      </c>
      <c r="D444" t="s">
        <v>247</v>
      </c>
      <c r="E444" t="s">
        <v>23</v>
      </c>
      <c r="F444" t="s">
        <v>3718</v>
      </c>
      <c r="I444" t="s">
        <v>2972</v>
      </c>
      <c r="J444">
        <v>9091594973</v>
      </c>
      <c r="K444" t="s">
        <v>3719</v>
      </c>
      <c r="L444">
        <v>1234</v>
      </c>
      <c r="M444" s="1">
        <v>43560</v>
      </c>
      <c r="N444" t="s">
        <v>398</v>
      </c>
      <c r="O444" t="s">
        <v>582</v>
      </c>
      <c r="P444">
        <v>2328</v>
      </c>
    </row>
    <row r="445" spans="1:17" x14ac:dyDescent="0.3">
      <c r="A445" t="s">
        <v>3720</v>
      </c>
      <c r="B445" t="s">
        <v>3721</v>
      </c>
      <c r="C445" t="s">
        <v>3722</v>
      </c>
      <c r="D445" t="s">
        <v>1633</v>
      </c>
      <c r="E445" t="s">
        <v>3723</v>
      </c>
      <c r="F445" t="s">
        <v>3724</v>
      </c>
      <c r="G445">
        <v>15.178578699999999</v>
      </c>
      <c r="H445">
        <v>120.51842980000001</v>
      </c>
      <c r="I445" t="s">
        <v>3725</v>
      </c>
      <c r="J445">
        <v>9603929586</v>
      </c>
      <c r="K445" t="s">
        <v>3726</v>
      </c>
      <c r="L445">
        <v>1234</v>
      </c>
      <c r="M445" s="1">
        <v>42869</v>
      </c>
      <c r="N445" t="s">
        <v>336</v>
      </c>
      <c r="O445" t="s">
        <v>441</v>
      </c>
      <c r="P445">
        <v>455</v>
      </c>
    </row>
    <row r="446" spans="1:17" x14ac:dyDescent="0.3">
      <c r="A446" t="s">
        <v>3727</v>
      </c>
      <c r="B446" t="s">
        <v>3728</v>
      </c>
      <c r="C446" t="s">
        <v>3729</v>
      </c>
      <c r="D446" t="s">
        <v>703</v>
      </c>
      <c r="E446" t="s">
        <v>1062</v>
      </c>
      <c r="F446" t="s">
        <v>3730</v>
      </c>
      <c r="G446">
        <v>15.1772852730256</v>
      </c>
      <c r="H446">
        <v>120.529568195343</v>
      </c>
      <c r="I446" t="s">
        <v>3731</v>
      </c>
      <c r="J446">
        <v>454998101</v>
      </c>
      <c r="K446" t="s">
        <v>3732</v>
      </c>
      <c r="L446" t="s">
        <v>3733</v>
      </c>
      <c r="M446" s="1">
        <v>43220</v>
      </c>
      <c r="N446" t="s">
        <v>369</v>
      </c>
      <c r="O446" t="s">
        <v>2181</v>
      </c>
      <c r="P446">
        <v>2123</v>
      </c>
      <c r="Q446" t="s">
        <v>3734</v>
      </c>
    </row>
    <row r="447" spans="1:17" x14ac:dyDescent="0.3">
      <c r="A447" t="s">
        <v>3735</v>
      </c>
      <c r="B447" t="s">
        <v>3736</v>
      </c>
      <c r="C447" t="s">
        <v>3737</v>
      </c>
      <c r="D447" t="s">
        <v>3738</v>
      </c>
      <c r="E447" t="s">
        <v>477</v>
      </c>
      <c r="F447" t="s">
        <v>3739</v>
      </c>
      <c r="G447">
        <v>15.175898263768101</v>
      </c>
      <c r="H447">
        <v>120.52711483880501</v>
      </c>
      <c r="I447" t="s">
        <v>3740</v>
      </c>
      <c r="J447" t="s">
        <v>3741</v>
      </c>
      <c r="K447" t="s">
        <v>3742</v>
      </c>
      <c r="L447">
        <v>1234</v>
      </c>
      <c r="M447" s="1">
        <v>43713</v>
      </c>
      <c r="N447" t="s">
        <v>16</v>
      </c>
      <c r="O447" t="s">
        <v>17</v>
      </c>
      <c r="P447">
        <v>177</v>
      </c>
    </row>
    <row r="448" spans="1:17" x14ac:dyDescent="0.3">
      <c r="A448" t="s">
        <v>3743</v>
      </c>
      <c r="B448" t="s">
        <v>3744</v>
      </c>
      <c r="C448" t="s">
        <v>3745</v>
      </c>
      <c r="D448" t="s">
        <v>1633</v>
      </c>
      <c r="E448" t="s">
        <v>3746</v>
      </c>
      <c r="F448" t="s">
        <v>3747</v>
      </c>
      <c r="G448">
        <v>15.178578699999999</v>
      </c>
      <c r="H448">
        <v>120.51842980000001</v>
      </c>
      <c r="I448" t="s">
        <v>3748</v>
      </c>
      <c r="J448" t="s">
        <v>3749</v>
      </c>
      <c r="K448" t="s">
        <v>3750</v>
      </c>
      <c r="L448" t="s">
        <v>3751</v>
      </c>
      <c r="M448" s="1">
        <v>43100</v>
      </c>
      <c r="N448" t="s">
        <v>336</v>
      </c>
      <c r="O448" t="s">
        <v>441</v>
      </c>
      <c r="P448">
        <v>1725</v>
      </c>
    </row>
    <row r="449" spans="1:17" x14ac:dyDescent="0.3">
      <c r="A449" t="s">
        <v>3752</v>
      </c>
      <c r="B449" t="s">
        <v>3753</v>
      </c>
      <c r="C449" t="s">
        <v>3754</v>
      </c>
      <c r="D449" t="s">
        <v>769</v>
      </c>
      <c r="E449" t="s">
        <v>3755</v>
      </c>
      <c r="F449" t="s">
        <v>3756</v>
      </c>
      <c r="G449">
        <v>15.178578699999999</v>
      </c>
      <c r="H449">
        <v>120.51842980000001</v>
      </c>
      <c r="I449" t="s">
        <v>3757</v>
      </c>
      <c r="J449">
        <v>9397619886</v>
      </c>
      <c r="K449" t="s">
        <v>3758</v>
      </c>
      <c r="L449" t="s">
        <v>3759</v>
      </c>
      <c r="M449" s="1">
        <v>41786</v>
      </c>
      <c r="N449" t="s">
        <v>398</v>
      </c>
      <c r="O449" t="s">
        <v>853</v>
      </c>
      <c r="P449">
        <v>1170</v>
      </c>
      <c r="Q449" t="s">
        <v>3760</v>
      </c>
    </row>
    <row r="450" spans="1:17" x14ac:dyDescent="0.3">
      <c r="A450" t="s">
        <v>3761</v>
      </c>
      <c r="B450" t="s">
        <v>3762</v>
      </c>
      <c r="C450" t="s">
        <v>3763</v>
      </c>
      <c r="D450" t="s">
        <v>3701</v>
      </c>
      <c r="E450" t="s">
        <v>1062</v>
      </c>
      <c r="F450" t="s">
        <v>3764</v>
      </c>
      <c r="G450">
        <v>15.178578699999999</v>
      </c>
      <c r="H450">
        <v>120.51842980000001</v>
      </c>
      <c r="I450" t="s">
        <v>3765</v>
      </c>
      <c r="J450">
        <v>9063361004</v>
      </c>
      <c r="K450" t="s">
        <v>3766</v>
      </c>
      <c r="L450">
        <v>1234</v>
      </c>
      <c r="M450" s="1">
        <v>43525</v>
      </c>
      <c r="N450" t="s">
        <v>336</v>
      </c>
      <c r="O450" t="s">
        <v>441</v>
      </c>
      <c r="P450">
        <v>1854</v>
      </c>
    </row>
    <row r="451" spans="1:17" x14ac:dyDescent="0.3">
      <c r="A451" t="s">
        <v>3767</v>
      </c>
      <c r="B451" t="s">
        <v>3768</v>
      </c>
      <c r="C451" t="s">
        <v>3769</v>
      </c>
      <c r="D451" t="s">
        <v>703</v>
      </c>
      <c r="E451" t="s">
        <v>262</v>
      </c>
      <c r="F451" t="s">
        <v>3770</v>
      </c>
      <c r="G451">
        <v>15.178578699999999</v>
      </c>
      <c r="H451">
        <v>120.51842980000001</v>
      </c>
      <c r="I451" t="s">
        <v>3771</v>
      </c>
      <c r="J451" t="s">
        <v>3772</v>
      </c>
      <c r="K451" t="s">
        <v>3773</v>
      </c>
      <c r="L451">
        <v>1234</v>
      </c>
      <c r="M451" s="1">
        <v>43373</v>
      </c>
      <c r="N451" t="s">
        <v>16</v>
      </c>
      <c r="O451" t="s">
        <v>292</v>
      </c>
      <c r="P451">
        <v>1387</v>
      </c>
    </row>
    <row r="452" spans="1:17" x14ac:dyDescent="0.3">
      <c r="A452" t="s">
        <v>3774</v>
      </c>
      <c r="B452" t="s">
        <v>3775</v>
      </c>
      <c r="C452" t="s">
        <v>3776</v>
      </c>
      <c r="D452" t="s">
        <v>3777</v>
      </c>
      <c r="E452" t="s">
        <v>3778</v>
      </c>
      <c r="F452" t="s">
        <v>3779</v>
      </c>
      <c r="G452">
        <v>15.178578699999999</v>
      </c>
      <c r="H452">
        <v>120.51842980000001</v>
      </c>
      <c r="I452" t="s">
        <v>3780</v>
      </c>
      <c r="J452">
        <v>9057544523</v>
      </c>
      <c r="K452" t="s">
        <v>3781</v>
      </c>
      <c r="L452">
        <v>1234</v>
      </c>
      <c r="M452" s="1">
        <v>42896</v>
      </c>
      <c r="N452" t="s">
        <v>710</v>
      </c>
      <c r="O452" t="s">
        <v>2916</v>
      </c>
      <c r="P452">
        <v>1910</v>
      </c>
    </row>
    <row r="453" spans="1:17" x14ac:dyDescent="0.3">
      <c r="A453" t="s">
        <v>3782</v>
      </c>
      <c r="B453" t="s">
        <v>1968</v>
      </c>
      <c r="C453" t="s">
        <v>3783</v>
      </c>
      <c r="D453" t="s">
        <v>3784</v>
      </c>
      <c r="E453" t="s">
        <v>3785</v>
      </c>
      <c r="F453" t="s">
        <v>3786</v>
      </c>
      <c r="G453">
        <v>15.178578699999999</v>
      </c>
      <c r="H453">
        <v>120.51842980000001</v>
      </c>
      <c r="I453" t="s">
        <v>3787</v>
      </c>
      <c r="J453" t="s">
        <v>3788</v>
      </c>
      <c r="K453" t="s">
        <v>3789</v>
      </c>
      <c r="L453">
        <v>1234</v>
      </c>
      <c r="M453" s="1">
        <v>42878</v>
      </c>
      <c r="N453" t="s">
        <v>336</v>
      </c>
      <c r="O453" t="s">
        <v>337</v>
      </c>
      <c r="P453">
        <v>2399</v>
      </c>
      <c r="Q453" t="s">
        <v>3790</v>
      </c>
    </row>
    <row r="454" spans="1:17" x14ac:dyDescent="0.3">
      <c r="A454" t="s">
        <v>3791</v>
      </c>
      <c r="B454" t="s">
        <v>236</v>
      </c>
      <c r="C454" t="s">
        <v>3457</v>
      </c>
      <c r="D454" t="s">
        <v>2600</v>
      </c>
      <c r="E454" t="s">
        <v>3792</v>
      </c>
      <c r="F454" t="s">
        <v>3793</v>
      </c>
      <c r="G454">
        <v>15.178578699999999</v>
      </c>
      <c r="H454">
        <v>120.51842980000001</v>
      </c>
      <c r="I454" t="s">
        <v>3794</v>
      </c>
      <c r="J454" t="s">
        <v>3795</v>
      </c>
      <c r="K454" t="s">
        <v>3796</v>
      </c>
      <c r="L454" t="s">
        <v>3797</v>
      </c>
      <c r="M454" s="1">
        <v>43646</v>
      </c>
      <c r="N454" t="s">
        <v>336</v>
      </c>
      <c r="O454" t="s">
        <v>515</v>
      </c>
      <c r="P454">
        <v>1287</v>
      </c>
    </row>
    <row r="455" spans="1:17" x14ac:dyDescent="0.3">
      <c r="A455" t="s">
        <v>3798</v>
      </c>
      <c r="B455" t="s">
        <v>3799</v>
      </c>
      <c r="C455" t="s">
        <v>3800</v>
      </c>
      <c r="D455" t="s">
        <v>3801</v>
      </c>
      <c r="E455" t="s">
        <v>3802</v>
      </c>
      <c r="F455" t="s">
        <v>3803</v>
      </c>
      <c r="G455">
        <v>15.178578699999999</v>
      </c>
      <c r="H455">
        <v>120.51842980000001</v>
      </c>
      <c r="I455" t="s">
        <v>3804</v>
      </c>
      <c r="J455">
        <v>4998426</v>
      </c>
      <c r="K455" t="s">
        <v>3805</v>
      </c>
      <c r="L455" t="s">
        <v>3806</v>
      </c>
      <c r="M455" s="1">
        <v>43465</v>
      </c>
      <c r="N455" t="s">
        <v>369</v>
      </c>
      <c r="O455" t="s">
        <v>471</v>
      </c>
      <c r="P455">
        <v>2255</v>
      </c>
    </row>
    <row r="456" spans="1:17" x14ac:dyDescent="0.3">
      <c r="A456" t="s">
        <v>3807</v>
      </c>
      <c r="B456" t="s">
        <v>1152</v>
      </c>
      <c r="C456" t="s">
        <v>3808</v>
      </c>
      <c r="D456" t="s">
        <v>3809</v>
      </c>
      <c r="E456" t="s">
        <v>717</v>
      </c>
      <c r="F456" t="s">
        <v>3810</v>
      </c>
      <c r="G456">
        <v>15.200379985472599</v>
      </c>
      <c r="H456">
        <v>120.543751716613</v>
      </c>
      <c r="I456" t="s">
        <v>3811</v>
      </c>
      <c r="J456">
        <f>-45-4991153-9175180292</f>
        <v>-9180171490</v>
      </c>
      <c r="K456" t="s">
        <v>3812</v>
      </c>
      <c r="L456" t="s">
        <v>3813</v>
      </c>
      <c r="M456" s="1">
        <v>43251</v>
      </c>
      <c r="N456" t="s">
        <v>16</v>
      </c>
      <c r="O456" t="s">
        <v>3396</v>
      </c>
      <c r="P456">
        <v>1113</v>
      </c>
    </row>
    <row r="457" spans="1:17" x14ac:dyDescent="0.3">
      <c r="A457" t="s">
        <v>3814</v>
      </c>
      <c r="B457" t="s">
        <v>2600</v>
      </c>
      <c r="C457" t="s">
        <v>3815</v>
      </c>
      <c r="D457" t="s">
        <v>585</v>
      </c>
      <c r="E457" t="s">
        <v>3816</v>
      </c>
      <c r="F457" t="s">
        <v>3817</v>
      </c>
      <c r="G457">
        <v>15.178578699999999</v>
      </c>
      <c r="H457">
        <v>120.51842980000001</v>
      </c>
      <c r="I457" t="s">
        <v>3818</v>
      </c>
      <c r="J457" t="s">
        <v>3819</v>
      </c>
      <c r="K457" t="s">
        <v>3820</v>
      </c>
      <c r="L457">
        <v>201011</v>
      </c>
      <c r="M457" s="1">
        <v>42947</v>
      </c>
      <c r="N457" t="s">
        <v>369</v>
      </c>
      <c r="O457" t="s">
        <v>370</v>
      </c>
      <c r="P457">
        <v>1381</v>
      </c>
      <c r="Q457" t="s">
        <v>3821</v>
      </c>
    </row>
    <row r="458" spans="1:17" x14ac:dyDescent="0.3">
      <c r="A458" t="s">
        <v>3822</v>
      </c>
      <c r="B458" t="s">
        <v>3823</v>
      </c>
      <c r="C458" t="s">
        <v>3824</v>
      </c>
      <c r="D458" t="s">
        <v>1563</v>
      </c>
      <c r="E458" t="s">
        <v>3825</v>
      </c>
      <c r="F458" t="s">
        <v>3826</v>
      </c>
      <c r="G458">
        <v>15.1744532659771</v>
      </c>
      <c r="H458">
        <v>120.515642166137</v>
      </c>
      <c r="I458" t="s">
        <v>3827</v>
      </c>
      <c r="J458" t="s">
        <v>3295</v>
      </c>
      <c r="K458" t="s">
        <v>3828</v>
      </c>
      <c r="L458">
        <v>1234</v>
      </c>
      <c r="M458" s="1">
        <v>42680</v>
      </c>
      <c r="N458" t="s">
        <v>779</v>
      </c>
      <c r="O458" t="s">
        <v>3829</v>
      </c>
      <c r="P458">
        <v>1578</v>
      </c>
    </row>
    <row r="459" spans="1:17" x14ac:dyDescent="0.3">
      <c r="A459" t="s">
        <v>3830</v>
      </c>
      <c r="B459" t="s">
        <v>2804</v>
      </c>
      <c r="C459" t="s">
        <v>3831</v>
      </c>
      <c r="D459" t="s">
        <v>3317</v>
      </c>
      <c r="E459" t="s">
        <v>286</v>
      </c>
      <c r="F459" t="s">
        <v>3832</v>
      </c>
      <c r="G459">
        <v>15.1757970372163</v>
      </c>
      <c r="H459">
        <v>120.53294753125</v>
      </c>
      <c r="I459" t="s">
        <v>3833</v>
      </c>
      <c r="J459">
        <v>9192816022</v>
      </c>
      <c r="K459" t="s">
        <v>3834</v>
      </c>
      <c r="L459">
        <v>1234</v>
      </c>
      <c r="M459" s="1">
        <v>42916</v>
      </c>
      <c r="N459" t="s">
        <v>369</v>
      </c>
      <c r="O459" t="s">
        <v>471</v>
      </c>
      <c r="P459">
        <v>2166</v>
      </c>
    </row>
    <row r="460" spans="1:17" x14ac:dyDescent="0.3">
      <c r="A460" t="s">
        <v>3835</v>
      </c>
      <c r="B460" t="s">
        <v>2734</v>
      </c>
      <c r="C460" t="s">
        <v>3836</v>
      </c>
      <c r="D460" t="s">
        <v>3837</v>
      </c>
      <c r="E460" t="s">
        <v>3838</v>
      </c>
      <c r="F460" t="s">
        <v>3839</v>
      </c>
      <c r="G460">
        <v>15.178578699999999</v>
      </c>
      <c r="H460">
        <v>120.51842980000001</v>
      </c>
      <c r="I460" t="s">
        <v>3840</v>
      </c>
      <c r="J460">
        <v>9166477700</v>
      </c>
      <c r="K460" t="s">
        <v>3841</v>
      </c>
      <c r="L460">
        <v>1234</v>
      </c>
      <c r="M460" s="1">
        <v>42825</v>
      </c>
      <c r="N460" t="s">
        <v>336</v>
      </c>
      <c r="O460" t="s">
        <v>483</v>
      </c>
      <c r="P460">
        <v>2472</v>
      </c>
      <c r="Q460" t="s">
        <v>3842</v>
      </c>
    </row>
    <row r="461" spans="1:17" x14ac:dyDescent="0.3">
      <c r="A461" t="s">
        <v>3843</v>
      </c>
      <c r="B461" t="s">
        <v>3844</v>
      </c>
      <c r="C461" t="s">
        <v>3845</v>
      </c>
      <c r="D461" t="s">
        <v>3846</v>
      </c>
      <c r="E461" t="s">
        <v>3847</v>
      </c>
      <c r="F461" t="s">
        <v>3848</v>
      </c>
      <c r="G461">
        <v>15.1715953337223</v>
      </c>
      <c r="H461">
        <v>120.50710201263399</v>
      </c>
      <c r="I461" t="s">
        <v>3849</v>
      </c>
      <c r="J461" t="s">
        <v>3850</v>
      </c>
      <c r="K461" t="s">
        <v>3851</v>
      </c>
      <c r="L461" t="s">
        <v>3852</v>
      </c>
      <c r="M461" s="1">
        <v>43814</v>
      </c>
      <c r="N461" t="s">
        <v>763</v>
      </c>
      <c r="O461" t="s">
        <v>1288</v>
      </c>
      <c r="P461">
        <v>362</v>
      </c>
      <c r="Q461" t="s">
        <v>3853</v>
      </c>
    </row>
    <row r="462" spans="1:17" x14ac:dyDescent="0.3">
      <c r="A462" t="s">
        <v>3854</v>
      </c>
      <c r="B462" t="s">
        <v>3855</v>
      </c>
      <c r="C462" t="s">
        <v>3856</v>
      </c>
      <c r="D462" t="s">
        <v>3701</v>
      </c>
      <c r="E462" t="s">
        <v>3153</v>
      </c>
      <c r="F462" t="s">
        <v>3857</v>
      </c>
      <c r="G462">
        <v>15.178578699999999</v>
      </c>
      <c r="H462">
        <v>120.51842980000001</v>
      </c>
      <c r="I462" t="s">
        <v>3858</v>
      </c>
      <c r="J462" t="s">
        <v>3859</v>
      </c>
      <c r="K462" t="s">
        <v>3860</v>
      </c>
      <c r="L462">
        <v>1234</v>
      </c>
      <c r="M462" s="1">
        <v>43677</v>
      </c>
      <c r="N462" t="s">
        <v>398</v>
      </c>
      <c r="O462" t="s">
        <v>582</v>
      </c>
      <c r="P462">
        <v>2445</v>
      </c>
    </row>
    <row r="463" spans="1:17" x14ac:dyDescent="0.3">
      <c r="A463" t="s">
        <v>3861</v>
      </c>
      <c r="B463" t="s">
        <v>3862</v>
      </c>
      <c r="C463" t="s">
        <v>3863</v>
      </c>
      <c r="D463" t="s">
        <v>3864</v>
      </c>
      <c r="E463" t="s">
        <v>3865</v>
      </c>
      <c r="F463" t="s">
        <v>3866</v>
      </c>
      <c r="G463">
        <v>15.178578699999999</v>
      </c>
      <c r="H463">
        <v>120.51842980000001</v>
      </c>
      <c r="I463" t="s">
        <v>3867</v>
      </c>
      <c r="J463" t="s">
        <v>3868</v>
      </c>
      <c r="K463" t="s">
        <v>3869</v>
      </c>
      <c r="L463">
        <v>1234</v>
      </c>
      <c r="M463" s="1">
        <v>43594</v>
      </c>
      <c r="N463" t="s">
        <v>16</v>
      </c>
      <c r="O463" t="s">
        <v>292</v>
      </c>
      <c r="P463">
        <v>2024</v>
      </c>
    </row>
    <row r="464" spans="1:17" x14ac:dyDescent="0.3">
      <c r="A464" t="s">
        <v>3870</v>
      </c>
      <c r="B464" t="s">
        <v>3871</v>
      </c>
      <c r="C464" t="s">
        <v>3872</v>
      </c>
      <c r="D464" t="s">
        <v>2858</v>
      </c>
      <c r="E464" t="s">
        <v>3873</v>
      </c>
      <c r="F464" t="s">
        <v>3874</v>
      </c>
      <c r="G464">
        <v>15.178578699999999</v>
      </c>
      <c r="H464">
        <v>120.51842980000001</v>
      </c>
      <c r="I464" t="s">
        <v>3875</v>
      </c>
      <c r="J464" t="s">
        <v>3876</v>
      </c>
      <c r="K464" t="s">
        <v>3877</v>
      </c>
      <c r="L464">
        <v>1234</v>
      </c>
      <c r="M464" s="1">
        <v>43404</v>
      </c>
      <c r="N464" t="s">
        <v>16</v>
      </c>
      <c r="O464" t="s">
        <v>292</v>
      </c>
      <c r="P464">
        <v>933</v>
      </c>
    </row>
    <row r="465" spans="1:17" x14ac:dyDescent="0.3">
      <c r="A465" t="s">
        <v>3878</v>
      </c>
      <c r="B465" t="s">
        <v>1983</v>
      </c>
      <c r="C465" t="s">
        <v>3879</v>
      </c>
      <c r="D465" t="s">
        <v>3880</v>
      </c>
      <c r="E465" t="s">
        <v>286</v>
      </c>
      <c r="F465" t="s">
        <v>3881</v>
      </c>
      <c r="G465">
        <v>15.1936294051511</v>
      </c>
      <c r="H465">
        <v>120.53133845329199</v>
      </c>
      <c r="I465" t="s">
        <v>3882</v>
      </c>
      <c r="J465">
        <v>9568457596</v>
      </c>
      <c r="K465" t="s">
        <v>3883</v>
      </c>
      <c r="L465">
        <v>1234</v>
      </c>
      <c r="M465" s="1">
        <v>43404</v>
      </c>
      <c r="N465" t="s">
        <v>398</v>
      </c>
      <c r="O465" t="s">
        <v>582</v>
      </c>
      <c r="P465">
        <v>2233</v>
      </c>
      <c r="Q465" t="s">
        <v>3884</v>
      </c>
    </row>
    <row r="466" spans="1:17" x14ac:dyDescent="0.3">
      <c r="A466" t="s">
        <v>3885</v>
      </c>
      <c r="K466" t="s">
        <v>3886</v>
      </c>
      <c r="L466">
        <v>1234</v>
      </c>
      <c r="M466" s="1">
        <v>42643</v>
      </c>
      <c r="N466" t="s">
        <v>398</v>
      </c>
      <c r="O466" t="s">
        <v>752</v>
      </c>
      <c r="P466">
        <v>2240</v>
      </c>
    </row>
    <row r="467" spans="1:17" x14ac:dyDescent="0.3">
      <c r="A467" t="s">
        <v>3887</v>
      </c>
      <c r="B467" t="s">
        <v>2582</v>
      </c>
      <c r="C467" t="s">
        <v>3888</v>
      </c>
      <c r="D467" t="s">
        <v>1994</v>
      </c>
      <c r="E467" t="s">
        <v>3889</v>
      </c>
      <c r="F467" t="s">
        <v>3890</v>
      </c>
      <c r="G467">
        <v>15.177518251805401</v>
      </c>
      <c r="H467">
        <v>120.526349544525</v>
      </c>
      <c r="I467" t="s">
        <v>3891</v>
      </c>
      <c r="J467" t="s">
        <v>3892</v>
      </c>
      <c r="K467" t="s">
        <v>3893</v>
      </c>
      <c r="L467" t="s">
        <v>3894</v>
      </c>
      <c r="M467" s="1">
        <v>43220</v>
      </c>
      <c r="N467" t="s">
        <v>369</v>
      </c>
      <c r="O467" t="s">
        <v>471</v>
      </c>
      <c r="P467">
        <v>992</v>
      </c>
    </row>
    <row r="468" spans="1:17" x14ac:dyDescent="0.3">
      <c r="A468" t="s">
        <v>3895</v>
      </c>
      <c r="B468" t="s">
        <v>3896</v>
      </c>
      <c r="C468" t="s">
        <v>3897</v>
      </c>
      <c r="D468" t="s">
        <v>3898</v>
      </c>
      <c r="E468" t="s">
        <v>329</v>
      </c>
      <c r="F468" t="s">
        <v>3899</v>
      </c>
      <c r="G468">
        <v>15.182364152156399</v>
      </c>
      <c r="H468">
        <v>120.57130336761399</v>
      </c>
      <c r="I468" t="s">
        <v>3900</v>
      </c>
      <c r="J468" t="s">
        <v>3901</v>
      </c>
      <c r="K468" t="s">
        <v>3902</v>
      </c>
      <c r="L468" t="s">
        <v>3903</v>
      </c>
      <c r="M468" s="1">
        <v>43824</v>
      </c>
      <c r="N468" t="s">
        <v>16</v>
      </c>
      <c r="O468" t="s">
        <v>412</v>
      </c>
      <c r="P468">
        <v>1468</v>
      </c>
    </row>
    <row r="469" spans="1:17" x14ac:dyDescent="0.3">
      <c r="A469" t="s">
        <v>3904</v>
      </c>
      <c r="B469" t="s">
        <v>224</v>
      </c>
      <c r="C469" t="s">
        <v>3905</v>
      </c>
      <c r="D469" t="s">
        <v>1086</v>
      </c>
      <c r="E469" t="s">
        <v>849</v>
      </c>
      <c r="F469" t="s">
        <v>3906</v>
      </c>
      <c r="G469">
        <v>15.178578699999999</v>
      </c>
      <c r="H469">
        <v>120.51842980000001</v>
      </c>
      <c r="I469" t="s">
        <v>3907</v>
      </c>
      <c r="J469" t="s">
        <v>3908</v>
      </c>
      <c r="K469" t="s">
        <v>3909</v>
      </c>
      <c r="L469" t="s">
        <v>3910</v>
      </c>
      <c r="M469" s="1">
        <v>43471</v>
      </c>
      <c r="N469" t="s">
        <v>16</v>
      </c>
      <c r="O469" t="s">
        <v>292</v>
      </c>
      <c r="P469">
        <v>2270</v>
      </c>
      <c r="Q469" t="s">
        <v>3911</v>
      </c>
    </row>
    <row r="470" spans="1:17" x14ac:dyDescent="0.3">
      <c r="A470" t="s">
        <v>3912</v>
      </c>
      <c r="B470" t="s">
        <v>3913</v>
      </c>
      <c r="C470" t="s">
        <v>3914</v>
      </c>
      <c r="D470" t="s">
        <v>3242</v>
      </c>
      <c r="E470" t="s">
        <v>3915</v>
      </c>
      <c r="F470" t="s">
        <v>3916</v>
      </c>
      <c r="G470">
        <v>15.1734592069689</v>
      </c>
      <c r="H470">
        <v>120.535426139831</v>
      </c>
      <c r="I470" t="s">
        <v>3917</v>
      </c>
      <c r="J470" t="s">
        <v>3918</v>
      </c>
      <c r="K470" t="s">
        <v>3919</v>
      </c>
      <c r="L470">
        <v>1234</v>
      </c>
      <c r="M470" s="1">
        <v>43204</v>
      </c>
      <c r="N470" t="s">
        <v>710</v>
      </c>
      <c r="O470" t="s">
        <v>789</v>
      </c>
      <c r="P470">
        <v>1671</v>
      </c>
    </row>
    <row r="471" spans="1:17" x14ac:dyDescent="0.3">
      <c r="A471" t="s">
        <v>3920</v>
      </c>
      <c r="B471" t="s">
        <v>3921</v>
      </c>
      <c r="C471" t="s">
        <v>3922</v>
      </c>
      <c r="D471" t="s">
        <v>236</v>
      </c>
      <c r="E471" t="s">
        <v>3923</v>
      </c>
      <c r="F471" t="s">
        <v>3924</v>
      </c>
      <c r="G471">
        <v>15.178512291712</v>
      </c>
      <c r="H471">
        <v>120.51830291748</v>
      </c>
      <c r="I471" t="s">
        <v>3925</v>
      </c>
      <c r="J471">
        <v>9612449369</v>
      </c>
      <c r="K471" t="s">
        <v>3926</v>
      </c>
      <c r="L471" t="s">
        <v>3927</v>
      </c>
      <c r="M471" s="1">
        <v>43524</v>
      </c>
      <c r="N471" t="s">
        <v>398</v>
      </c>
      <c r="O471" t="s">
        <v>399</v>
      </c>
      <c r="P471">
        <v>1577</v>
      </c>
      <c r="Q471" t="s">
        <v>3928</v>
      </c>
    </row>
    <row r="472" spans="1:17" x14ac:dyDescent="0.3">
      <c r="A472" t="s">
        <v>3929</v>
      </c>
      <c r="B472" t="s">
        <v>3930</v>
      </c>
      <c r="C472" t="s">
        <v>3931</v>
      </c>
      <c r="D472" t="s">
        <v>177</v>
      </c>
      <c r="E472" t="s">
        <v>3932</v>
      </c>
      <c r="F472" t="s">
        <v>3933</v>
      </c>
      <c r="G472">
        <v>15.1945198314884</v>
      </c>
      <c r="H472">
        <v>120.53071618080099</v>
      </c>
      <c r="I472" t="s">
        <v>3934</v>
      </c>
      <c r="J472">
        <f>-45-499-9970</f>
        <v>-10514</v>
      </c>
      <c r="K472" t="s">
        <v>3935</v>
      </c>
      <c r="L472" t="s">
        <v>3936</v>
      </c>
      <c r="M472" s="1">
        <v>42855</v>
      </c>
      <c r="N472" t="s">
        <v>710</v>
      </c>
      <c r="O472" t="s">
        <v>711</v>
      </c>
      <c r="P472">
        <v>1687</v>
      </c>
    </row>
    <row r="473" spans="1:17" x14ac:dyDescent="0.3">
      <c r="A473" t="s">
        <v>3937</v>
      </c>
      <c r="B473" t="s">
        <v>3938</v>
      </c>
      <c r="C473" t="s">
        <v>3939</v>
      </c>
      <c r="D473" t="s">
        <v>3940</v>
      </c>
      <c r="E473" t="s">
        <v>1240</v>
      </c>
      <c r="F473" t="s">
        <v>3941</v>
      </c>
      <c r="G473">
        <v>15.178578699999999</v>
      </c>
      <c r="H473">
        <v>120.51842980000001</v>
      </c>
      <c r="I473" t="s">
        <v>3942</v>
      </c>
      <c r="J473">
        <v>9052149225</v>
      </c>
      <c r="K473" t="s">
        <v>3943</v>
      </c>
      <c r="L473">
        <v>1234</v>
      </c>
      <c r="M473" s="1">
        <v>43415</v>
      </c>
      <c r="N473" t="s">
        <v>398</v>
      </c>
      <c r="O473" t="s">
        <v>582</v>
      </c>
      <c r="P473">
        <v>2263</v>
      </c>
    </row>
    <row r="474" spans="1:17" x14ac:dyDescent="0.3">
      <c r="A474" t="s">
        <v>3944</v>
      </c>
      <c r="B474" t="s">
        <v>3945</v>
      </c>
      <c r="C474" t="s">
        <v>3946</v>
      </c>
      <c r="D474" t="s">
        <v>3947</v>
      </c>
      <c r="E474" t="s">
        <v>3948</v>
      </c>
      <c r="F474" t="s">
        <v>3949</v>
      </c>
      <c r="G474">
        <v>15.178578699999999</v>
      </c>
      <c r="H474">
        <v>120.51842980000001</v>
      </c>
      <c r="I474" t="s">
        <v>3950</v>
      </c>
      <c r="J474" t="s">
        <v>3951</v>
      </c>
      <c r="K474" t="s">
        <v>3952</v>
      </c>
      <c r="L474">
        <v>1234</v>
      </c>
      <c r="M474" s="1">
        <v>43594</v>
      </c>
      <c r="N474" t="s">
        <v>398</v>
      </c>
      <c r="O474" t="s">
        <v>1161</v>
      </c>
      <c r="P474">
        <v>499</v>
      </c>
      <c r="Q474" t="s">
        <v>3953</v>
      </c>
    </row>
    <row r="475" spans="1:17" x14ac:dyDescent="0.3">
      <c r="A475" t="s">
        <v>3954</v>
      </c>
      <c r="B475" t="s">
        <v>3955</v>
      </c>
      <c r="C475" t="s">
        <v>3956</v>
      </c>
      <c r="D475" t="s">
        <v>3957</v>
      </c>
      <c r="E475" t="s">
        <v>1240</v>
      </c>
      <c r="F475" t="s">
        <v>3958</v>
      </c>
      <c r="G475">
        <v>15.178578699999999</v>
      </c>
      <c r="H475">
        <v>120.51842980000001</v>
      </c>
      <c r="I475" t="s">
        <v>3959</v>
      </c>
      <c r="J475">
        <v>9156189182</v>
      </c>
      <c r="K475" t="s">
        <v>3960</v>
      </c>
      <c r="L475">
        <v>1234</v>
      </c>
      <c r="M475" s="1">
        <v>42277</v>
      </c>
      <c r="N475" t="s">
        <v>336</v>
      </c>
      <c r="O475" t="s">
        <v>483</v>
      </c>
      <c r="P475">
        <v>2137</v>
      </c>
      <c r="Q475" t="s">
        <v>3961</v>
      </c>
    </row>
    <row r="476" spans="1:17" x14ac:dyDescent="0.3">
      <c r="A476" t="s">
        <v>3962</v>
      </c>
      <c r="B476" t="s">
        <v>3963</v>
      </c>
      <c r="C476" t="s">
        <v>3964</v>
      </c>
      <c r="D476" t="s">
        <v>236</v>
      </c>
      <c r="E476" t="s">
        <v>3965</v>
      </c>
      <c r="F476" t="s">
        <v>3966</v>
      </c>
      <c r="G476">
        <v>15.178578699999999</v>
      </c>
      <c r="H476">
        <v>120.51842980000001</v>
      </c>
      <c r="I476" t="s">
        <v>3967</v>
      </c>
      <c r="J476">
        <f>-45--499-3108</f>
        <v>-2654</v>
      </c>
      <c r="K476" t="s">
        <v>3968</v>
      </c>
      <c r="L476">
        <v>1234</v>
      </c>
      <c r="M476" s="1">
        <v>43312</v>
      </c>
      <c r="N476" t="s">
        <v>336</v>
      </c>
      <c r="O476" t="s">
        <v>3969</v>
      </c>
      <c r="P476">
        <v>1546</v>
      </c>
      <c r="Q476" t="s">
        <v>3970</v>
      </c>
    </row>
    <row r="477" spans="1:17" x14ac:dyDescent="0.3">
      <c r="A477" t="s">
        <v>3971</v>
      </c>
      <c r="B477" t="s">
        <v>2576</v>
      </c>
      <c r="C477" t="s">
        <v>3972</v>
      </c>
      <c r="D477" t="s">
        <v>1772</v>
      </c>
      <c r="E477" t="s">
        <v>3973</v>
      </c>
      <c r="F477" t="s">
        <v>3974</v>
      </c>
      <c r="G477">
        <v>15.1825194676361</v>
      </c>
      <c r="H477">
        <v>120.52420914173101</v>
      </c>
      <c r="I477" t="s">
        <v>3975</v>
      </c>
      <c r="J477" t="s">
        <v>3976</v>
      </c>
      <c r="K477" t="s">
        <v>3977</v>
      </c>
      <c r="L477" t="s">
        <v>3978</v>
      </c>
      <c r="M477" s="1">
        <v>43677</v>
      </c>
      <c r="N477" t="s">
        <v>336</v>
      </c>
      <c r="O477" t="s">
        <v>515</v>
      </c>
      <c r="P477">
        <v>1980</v>
      </c>
      <c r="Q477" t="s">
        <v>3979</v>
      </c>
    </row>
    <row r="478" spans="1:17" x14ac:dyDescent="0.3">
      <c r="A478" t="s">
        <v>3980</v>
      </c>
      <c r="B478" t="s">
        <v>3981</v>
      </c>
      <c r="C478" t="s">
        <v>3982</v>
      </c>
      <c r="D478" t="s">
        <v>3983</v>
      </c>
      <c r="E478" t="s">
        <v>3984</v>
      </c>
      <c r="F478" t="s">
        <v>3985</v>
      </c>
      <c r="I478" t="s">
        <v>1960</v>
      </c>
      <c r="J478">
        <v>9098781394</v>
      </c>
      <c r="K478" t="s">
        <v>3986</v>
      </c>
      <c r="L478">
        <v>1234</v>
      </c>
      <c r="M478" s="1">
        <v>42880</v>
      </c>
      <c r="N478" t="s">
        <v>398</v>
      </c>
      <c r="O478" t="s">
        <v>752</v>
      </c>
      <c r="P478">
        <v>1394</v>
      </c>
    </row>
    <row r="479" spans="1:17" x14ac:dyDescent="0.3">
      <c r="A479" t="s">
        <v>3987</v>
      </c>
      <c r="B479" t="s">
        <v>2576</v>
      </c>
      <c r="C479" t="s">
        <v>3988</v>
      </c>
      <c r="D479" t="s">
        <v>3989</v>
      </c>
      <c r="E479" t="s">
        <v>3990</v>
      </c>
      <c r="F479" t="s">
        <v>3991</v>
      </c>
      <c r="G479">
        <v>15.178578699999999</v>
      </c>
      <c r="H479">
        <v>120.51842980000001</v>
      </c>
      <c r="I479" t="s">
        <v>3992</v>
      </c>
      <c r="J479">
        <v>454993878</v>
      </c>
      <c r="K479" t="s">
        <v>3993</v>
      </c>
      <c r="L479">
        <v>1234</v>
      </c>
      <c r="M479" s="1">
        <v>43519</v>
      </c>
      <c r="N479" t="s">
        <v>16</v>
      </c>
      <c r="O479" t="s">
        <v>292</v>
      </c>
      <c r="P479">
        <v>1355</v>
      </c>
    </row>
    <row r="480" spans="1:17" x14ac:dyDescent="0.3">
      <c r="A480" t="s">
        <v>3994</v>
      </c>
      <c r="B480" t="s">
        <v>944</v>
      </c>
      <c r="C480" t="s">
        <v>3995</v>
      </c>
      <c r="D480" t="s">
        <v>3996</v>
      </c>
      <c r="E480" t="s">
        <v>286</v>
      </c>
      <c r="F480" t="s">
        <v>3997</v>
      </c>
      <c r="G480">
        <v>15.178578699999999</v>
      </c>
      <c r="H480">
        <v>120.51842980000001</v>
      </c>
      <c r="I480" t="s">
        <v>3998</v>
      </c>
      <c r="J480">
        <v>5998458</v>
      </c>
      <c r="K480" t="s">
        <v>3999</v>
      </c>
      <c r="L480">
        <v>1234</v>
      </c>
      <c r="M480" s="1">
        <v>43325</v>
      </c>
      <c r="N480" t="s">
        <v>779</v>
      </c>
      <c r="O480" t="s">
        <v>780</v>
      </c>
      <c r="P480">
        <v>1943</v>
      </c>
    </row>
    <row r="481" spans="1:17" x14ac:dyDescent="0.3">
      <c r="A481" t="s">
        <v>4000</v>
      </c>
      <c r="B481" t="s">
        <v>4001</v>
      </c>
      <c r="C481" t="s">
        <v>4002</v>
      </c>
      <c r="D481" t="s">
        <v>3275</v>
      </c>
      <c r="E481" t="s">
        <v>1800</v>
      </c>
      <c r="F481" t="s">
        <v>4003</v>
      </c>
      <c r="G481">
        <v>15.178578699999999</v>
      </c>
      <c r="H481">
        <v>120.51842980000001</v>
      </c>
      <c r="I481" t="s">
        <v>4004</v>
      </c>
      <c r="J481" t="s">
        <v>4005</v>
      </c>
      <c r="K481" t="s">
        <v>4006</v>
      </c>
      <c r="L481">
        <v>1234</v>
      </c>
      <c r="M481" s="1">
        <v>43404</v>
      </c>
      <c r="N481" t="s">
        <v>369</v>
      </c>
      <c r="O481" t="s">
        <v>471</v>
      </c>
      <c r="P481">
        <v>935</v>
      </c>
      <c r="Q481" t="s">
        <v>4007</v>
      </c>
    </row>
    <row r="482" spans="1:17" x14ac:dyDescent="0.3">
      <c r="A482" t="s">
        <v>4008</v>
      </c>
      <c r="B482" t="s">
        <v>924</v>
      </c>
      <c r="C482" t="s">
        <v>4009</v>
      </c>
      <c r="D482" t="s">
        <v>4010</v>
      </c>
      <c r="E482" t="s">
        <v>4011</v>
      </c>
      <c r="I482" t="s">
        <v>4012</v>
      </c>
      <c r="J482">
        <v>9255696044</v>
      </c>
      <c r="K482" t="s">
        <v>4013</v>
      </c>
      <c r="L482" t="s">
        <v>4014</v>
      </c>
      <c r="M482" s="1">
        <v>43524</v>
      </c>
      <c r="N482" t="s">
        <v>398</v>
      </c>
      <c r="O482" t="s">
        <v>853</v>
      </c>
      <c r="P482">
        <v>1441</v>
      </c>
    </row>
    <row r="483" spans="1:17" x14ac:dyDescent="0.3">
      <c r="A483" t="s">
        <v>4015</v>
      </c>
      <c r="B483" t="s">
        <v>678</v>
      </c>
      <c r="C483" t="s">
        <v>4016</v>
      </c>
      <c r="D483" t="s">
        <v>4017</v>
      </c>
      <c r="E483" t="s">
        <v>643</v>
      </c>
      <c r="F483" t="s">
        <v>4018</v>
      </c>
      <c r="G483">
        <v>15.1944007630679</v>
      </c>
      <c r="H483">
        <v>120.53279221057799</v>
      </c>
      <c r="I483" t="s">
        <v>645</v>
      </c>
      <c r="J483" t="s">
        <v>4019</v>
      </c>
      <c r="K483" t="s">
        <v>4020</v>
      </c>
      <c r="L483" t="s">
        <v>4021</v>
      </c>
      <c r="M483" s="1">
        <v>43628</v>
      </c>
      <c r="N483" t="s">
        <v>16</v>
      </c>
      <c r="O483" t="s">
        <v>17</v>
      </c>
      <c r="P483">
        <v>1161</v>
      </c>
      <c r="Q483" t="s">
        <v>4022</v>
      </c>
    </row>
    <row r="484" spans="1:17" x14ac:dyDescent="0.3">
      <c r="A484" t="s">
        <v>4023</v>
      </c>
      <c r="B484" t="s">
        <v>4024</v>
      </c>
      <c r="C484" t="s">
        <v>4025</v>
      </c>
      <c r="D484" t="s">
        <v>620</v>
      </c>
      <c r="E484" t="s">
        <v>833</v>
      </c>
      <c r="F484" t="s">
        <v>4026</v>
      </c>
      <c r="G484">
        <v>15.178578699999999</v>
      </c>
      <c r="H484">
        <v>120.51842980000001</v>
      </c>
      <c r="I484" t="s">
        <v>4027</v>
      </c>
      <c r="J484">
        <v>9178002190</v>
      </c>
      <c r="K484" t="s">
        <v>4028</v>
      </c>
      <c r="L484">
        <v>1234</v>
      </c>
      <c r="M484" s="1">
        <v>43039</v>
      </c>
      <c r="N484" t="s">
        <v>304</v>
      </c>
      <c r="O484" t="s">
        <v>323</v>
      </c>
      <c r="P484">
        <v>731</v>
      </c>
    </row>
    <row r="485" spans="1:17" x14ac:dyDescent="0.3">
      <c r="A485" t="s">
        <v>4029</v>
      </c>
      <c r="B485" t="s">
        <v>4030</v>
      </c>
      <c r="C485" t="s">
        <v>4031</v>
      </c>
      <c r="D485" t="s">
        <v>4032</v>
      </c>
      <c r="E485" t="s">
        <v>4033</v>
      </c>
      <c r="F485" t="s">
        <v>4034</v>
      </c>
      <c r="G485">
        <v>15.178578699999999</v>
      </c>
      <c r="H485">
        <v>120.51842980000001</v>
      </c>
      <c r="I485" t="s">
        <v>4035</v>
      </c>
      <c r="J485" t="s">
        <v>4036</v>
      </c>
      <c r="K485" t="s">
        <v>4037</v>
      </c>
      <c r="L485">
        <v>1234</v>
      </c>
      <c r="M485" s="1">
        <v>43585</v>
      </c>
      <c r="N485" t="s">
        <v>336</v>
      </c>
      <c r="O485" t="s">
        <v>515</v>
      </c>
      <c r="P485">
        <v>2350</v>
      </c>
    </row>
    <row r="486" spans="1:17" x14ac:dyDescent="0.3">
      <c r="A486" t="s">
        <v>4038</v>
      </c>
      <c r="B486" t="s">
        <v>486</v>
      </c>
      <c r="C486" t="s">
        <v>4039</v>
      </c>
      <c r="D486" t="s">
        <v>4040</v>
      </c>
      <c r="E486" t="s">
        <v>4041</v>
      </c>
      <c r="F486" t="s">
        <v>4042</v>
      </c>
      <c r="G486">
        <v>15.178578699999999</v>
      </c>
      <c r="H486">
        <v>120.51842980000001</v>
      </c>
      <c r="I486" t="s">
        <v>4043</v>
      </c>
      <c r="J486">
        <v>9171900483</v>
      </c>
      <c r="K486" t="s">
        <v>4044</v>
      </c>
      <c r="L486" t="s">
        <v>4045</v>
      </c>
      <c r="M486" s="1">
        <v>43796</v>
      </c>
      <c r="N486" t="s">
        <v>779</v>
      </c>
      <c r="O486" t="s">
        <v>780</v>
      </c>
      <c r="P486">
        <v>937</v>
      </c>
      <c r="Q486" t="s">
        <v>4046</v>
      </c>
    </row>
    <row r="487" spans="1:17" x14ac:dyDescent="0.3">
      <c r="A487" t="s">
        <v>4047</v>
      </c>
      <c r="B487" t="s">
        <v>4030</v>
      </c>
      <c r="C487" t="s">
        <v>4031</v>
      </c>
      <c r="D487" t="s">
        <v>4032</v>
      </c>
      <c r="E487" t="s">
        <v>4033</v>
      </c>
      <c r="F487" t="s">
        <v>4034</v>
      </c>
      <c r="G487">
        <v>15.178578699999999</v>
      </c>
      <c r="H487">
        <v>120.51842980000001</v>
      </c>
      <c r="I487" t="s">
        <v>4035</v>
      </c>
      <c r="J487" t="s">
        <v>4036</v>
      </c>
      <c r="K487" t="s">
        <v>4048</v>
      </c>
      <c r="L487" t="s">
        <v>4049</v>
      </c>
      <c r="M487" s="1">
        <v>43585</v>
      </c>
      <c r="N487" t="s">
        <v>779</v>
      </c>
      <c r="O487" t="s">
        <v>1049</v>
      </c>
      <c r="P487">
        <v>2363</v>
      </c>
    </row>
    <row r="488" spans="1:17" x14ac:dyDescent="0.3">
      <c r="A488" t="s">
        <v>4050</v>
      </c>
      <c r="B488" t="s">
        <v>1319</v>
      </c>
      <c r="C488" t="s">
        <v>4051</v>
      </c>
      <c r="D488" t="s">
        <v>4052</v>
      </c>
      <c r="E488" t="s">
        <v>363</v>
      </c>
      <c r="F488" t="s">
        <v>4053</v>
      </c>
      <c r="G488">
        <v>15.178578699999999</v>
      </c>
      <c r="H488">
        <v>120.51842980000001</v>
      </c>
      <c r="I488" t="s">
        <v>4054</v>
      </c>
      <c r="J488" t="s">
        <v>4055</v>
      </c>
      <c r="K488" t="s">
        <v>4056</v>
      </c>
      <c r="L488">
        <v>1234</v>
      </c>
      <c r="M488" s="1">
        <v>43206</v>
      </c>
      <c r="N488" t="s">
        <v>16</v>
      </c>
      <c r="O488" t="s">
        <v>412</v>
      </c>
      <c r="P488">
        <v>2106</v>
      </c>
      <c r="Q488" t="s">
        <v>4057</v>
      </c>
    </row>
    <row r="489" spans="1:17" x14ac:dyDescent="0.3">
      <c r="A489" t="s">
        <v>4058</v>
      </c>
      <c r="B489" t="s">
        <v>4059</v>
      </c>
      <c r="C489" t="s">
        <v>4060</v>
      </c>
      <c r="D489" t="s">
        <v>839</v>
      </c>
      <c r="E489" t="s">
        <v>2540</v>
      </c>
      <c r="F489" t="s">
        <v>4061</v>
      </c>
      <c r="G489">
        <v>15.178578699999999</v>
      </c>
      <c r="H489">
        <v>120.51842980000001</v>
      </c>
      <c r="I489" t="s">
        <v>4062</v>
      </c>
      <c r="J489" t="s">
        <v>4063</v>
      </c>
      <c r="K489" t="s">
        <v>4064</v>
      </c>
      <c r="L489">
        <v>1234</v>
      </c>
      <c r="M489" s="1">
        <v>43743</v>
      </c>
      <c r="N489" t="s">
        <v>398</v>
      </c>
      <c r="O489" t="s">
        <v>1228</v>
      </c>
      <c r="P489">
        <v>375</v>
      </c>
    </row>
    <row r="490" spans="1:17" x14ac:dyDescent="0.3">
      <c r="A490" t="s">
        <v>4065</v>
      </c>
      <c r="B490" t="s">
        <v>4066</v>
      </c>
      <c r="C490" t="s">
        <v>4067</v>
      </c>
      <c r="D490" t="s">
        <v>4068</v>
      </c>
      <c r="E490" t="s">
        <v>1572</v>
      </c>
      <c r="F490" t="s">
        <v>4069</v>
      </c>
      <c r="G490">
        <v>15.1778081805948</v>
      </c>
      <c r="H490">
        <v>120.52703082561401</v>
      </c>
      <c r="I490" t="s">
        <v>4070</v>
      </c>
      <c r="J490" t="s">
        <v>4071</v>
      </c>
      <c r="K490" t="s">
        <v>4072</v>
      </c>
      <c r="L490" t="s">
        <v>4073</v>
      </c>
      <c r="M490" s="1">
        <v>43646</v>
      </c>
      <c r="N490" t="s">
        <v>336</v>
      </c>
      <c r="O490" t="s">
        <v>483</v>
      </c>
      <c r="P490">
        <v>1339</v>
      </c>
    </row>
    <row r="491" spans="1:17" x14ac:dyDescent="0.3">
      <c r="A491" t="s">
        <v>4074</v>
      </c>
      <c r="B491" t="s">
        <v>2969</v>
      </c>
      <c r="C491" t="s">
        <v>2970</v>
      </c>
      <c r="D491" t="s">
        <v>247</v>
      </c>
      <c r="E491" t="s">
        <v>275</v>
      </c>
      <c r="F491" t="s">
        <v>4075</v>
      </c>
      <c r="G491">
        <v>15.178578699999999</v>
      </c>
      <c r="H491">
        <v>120.51842980000001</v>
      </c>
      <c r="I491" t="s">
        <v>2972</v>
      </c>
      <c r="J491">
        <v>9091594973</v>
      </c>
      <c r="K491" t="s">
        <v>4076</v>
      </c>
      <c r="L491">
        <v>1234</v>
      </c>
      <c r="M491" s="1">
        <v>43513</v>
      </c>
      <c r="N491" t="s">
        <v>398</v>
      </c>
      <c r="O491" t="s">
        <v>582</v>
      </c>
      <c r="P491">
        <v>2229</v>
      </c>
    </row>
    <row r="492" spans="1:17" x14ac:dyDescent="0.3">
      <c r="A492" t="s">
        <v>4077</v>
      </c>
      <c r="B492" t="s">
        <v>4078</v>
      </c>
      <c r="C492" t="s">
        <v>4079</v>
      </c>
      <c r="D492" t="s">
        <v>1817</v>
      </c>
      <c r="E492" t="s">
        <v>4080</v>
      </c>
      <c r="F492" t="s">
        <v>4081</v>
      </c>
      <c r="G492">
        <v>15.178578699999999</v>
      </c>
      <c r="H492">
        <v>120.51842980000001</v>
      </c>
      <c r="I492" t="s">
        <v>4082</v>
      </c>
      <c r="J492">
        <v>9234314323</v>
      </c>
      <c r="K492" t="s">
        <v>4083</v>
      </c>
      <c r="L492" t="s">
        <v>4084</v>
      </c>
      <c r="M492" s="1">
        <v>43131</v>
      </c>
      <c r="N492" t="s">
        <v>4085</v>
      </c>
      <c r="O492" t="s">
        <v>370</v>
      </c>
      <c r="P492">
        <v>1602</v>
      </c>
      <c r="Q492" t="s">
        <v>4086</v>
      </c>
    </row>
    <row r="493" spans="1:17" x14ac:dyDescent="0.3">
      <c r="A493" t="s">
        <v>4087</v>
      </c>
      <c r="B493" t="s">
        <v>4088</v>
      </c>
      <c r="C493" t="s">
        <v>4089</v>
      </c>
      <c r="D493" t="s">
        <v>4090</v>
      </c>
      <c r="E493" t="s">
        <v>1539</v>
      </c>
      <c r="F493" t="s">
        <v>4091</v>
      </c>
      <c r="G493">
        <v>15.178578699999999</v>
      </c>
      <c r="H493">
        <v>120.51842980000001</v>
      </c>
      <c r="I493" t="s">
        <v>4092</v>
      </c>
      <c r="J493" t="s">
        <v>4093</v>
      </c>
      <c r="K493" t="s">
        <v>4094</v>
      </c>
      <c r="L493">
        <v>1234</v>
      </c>
      <c r="M493" s="1">
        <v>42689</v>
      </c>
      <c r="N493" t="s">
        <v>336</v>
      </c>
      <c r="O493" t="s">
        <v>441</v>
      </c>
      <c r="P493">
        <v>2264</v>
      </c>
    </row>
    <row r="494" spans="1:17" x14ac:dyDescent="0.3">
      <c r="A494" t="s">
        <v>4095</v>
      </c>
      <c r="B494" t="s">
        <v>2576</v>
      </c>
      <c r="C494" t="s">
        <v>4096</v>
      </c>
      <c r="D494" t="s">
        <v>756</v>
      </c>
      <c r="E494" t="s">
        <v>477</v>
      </c>
      <c r="F494" t="s">
        <v>4097</v>
      </c>
      <c r="G494">
        <v>15.196047007444101</v>
      </c>
      <c r="H494">
        <v>120.53299069404601</v>
      </c>
      <c r="I494" t="s">
        <v>4098</v>
      </c>
      <c r="J494">
        <v>9562294388</v>
      </c>
      <c r="K494" t="s">
        <v>4099</v>
      </c>
      <c r="L494">
        <v>1234</v>
      </c>
      <c r="M494" s="1">
        <v>43184</v>
      </c>
      <c r="N494" t="s">
        <v>779</v>
      </c>
      <c r="O494" t="s">
        <v>4100</v>
      </c>
      <c r="P494">
        <v>2090</v>
      </c>
      <c r="Q494" t="s">
        <v>4101</v>
      </c>
    </row>
    <row r="495" spans="1:17" x14ac:dyDescent="0.3">
      <c r="A495" t="s">
        <v>4102</v>
      </c>
      <c r="B495" t="s">
        <v>1907</v>
      </c>
      <c r="C495" t="s">
        <v>4103</v>
      </c>
      <c r="D495" t="s">
        <v>476</v>
      </c>
      <c r="E495" t="s">
        <v>1194</v>
      </c>
      <c r="F495" t="s">
        <v>4104</v>
      </c>
      <c r="G495">
        <v>15.178578699999999</v>
      </c>
      <c r="H495">
        <v>120.51842980000001</v>
      </c>
      <c r="I495" t="s">
        <v>4105</v>
      </c>
      <c r="J495">
        <v>9974514845</v>
      </c>
      <c r="K495" t="s">
        <v>4106</v>
      </c>
      <c r="L495">
        <v>1234</v>
      </c>
      <c r="M495" s="1">
        <v>43100</v>
      </c>
      <c r="N495" t="s">
        <v>304</v>
      </c>
      <c r="O495" t="s">
        <v>323</v>
      </c>
      <c r="P495">
        <v>2073</v>
      </c>
    </row>
    <row r="496" spans="1:17" x14ac:dyDescent="0.3">
      <c r="A496" t="s">
        <v>4107</v>
      </c>
      <c r="B496" t="s">
        <v>1596</v>
      </c>
      <c r="C496" t="s">
        <v>4108</v>
      </c>
      <c r="D496" t="s">
        <v>4109</v>
      </c>
      <c r="E496" t="s">
        <v>4110</v>
      </c>
      <c r="F496" t="s">
        <v>4111</v>
      </c>
      <c r="G496">
        <v>15.1726825951144</v>
      </c>
      <c r="H496">
        <v>120.525029897689</v>
      </c>
      <c r="I496" t="s">
        <v>4112</v>
      </c>
      <c r="J496">
        <f>-45-499-1541</f>
        <v>-2085</v>
      </c>
      <c r="K496" t="s">
        <v>4113</v>
      </c>
      <c r="L496" t="s">
        <v>4114</v>
      </c>
      <c r="M496" s="1">
        <v>42947</v>
      </c>
      <c r="N496" t="s">
        <v>336</v>
      </c>
      <c r="O496" t="s">
        <v>441</v>
      </c>
      <c r="P496">
        <v>1286</v>
      </c>
      <c r="Q496" t="s">
        <v>4115</v>
      </c>
    </row>
    <row r="497" spans="1:17" x14ac:dyDescent="0.3">
      <c r="A497" t="s">
        <v>4116</v>
      </c>
      <c r="B497" t="s">
        <v>4117</v>
      </c>
      <c r="C497" t="s">
        <v>4118</v>
      </c>
      <c r="D497" t="s">
        <v>4119</v>
      </c>
      <c r="E497" t="s">
        <v>1572</v>
      </c>
      <c r="F497" t="s">
        <v>4120</v>
      </c>
      <c r="G497">
        <v>15.171885270640599</v>
      </c>
      <c r="H497">
        <v>120.57237625122001</v>
      </c>
      <c r="I497" t="s">
        <v>4121</v>
      </c>
      <c r="J497" t="s">
        <v>4122</v>
      </c>
      <c r="K497" t="s">
        <v>4123</v>
      </c>
      <c r="L497" t="s">
        <v>4124</v>
      </c>
      <c r="M497" s="1">
        <v>43571</v>
      </c>
      <c r="N497" t="s">
        <v>16</v>
      </c>
      <c r="O497" t="s">
        <v>292</v>
      </c>
      <c r="P497">
        <v>200</v>
      </c>
      <c r="Q497" t="s">
        <v>4125</v>
      </c>
    </row>
    <row r="498" spans="1:17" x14ac:dyDescent="0.3">
      <c r="A498" t="s">
        <v>4126</v>
      </c>
      <c r="B498" t="s">
        <v>603</v>
      </c>
      <c r="C498" t="s">
        <v>4127</v>
      </c>
      <c r="D498" t="s">
        <v>4128</v>
      </c>
      <c r="E498" t="s">
        <v>477</v>
      </c>
      <c r="F498" t="s">
        <v>4129</v>
      </c>
      <c r="G498">
        <v>15.178578699999999</v>
      </c>
      <c r="H498">
        <v>120.51842980000001</v>
      </c>
      <c r="I498" t="s">
        <v>4130</v>
      </c>
      <c r="J498" t="s">
        <v>4131</v>
      </c>
      <c r="K498" t="s">
        <v>4132</v>
      </c>
      <c r="L498" t="s">
        <v>4133</v>
      </c>
      <c r="M498" s="1">
        <v>43343</v>
      </c>
      <c r="N498" t="s">
        <v>16</v>
      </c>
      <c r="O498" t="s">
        <v>292</v>
      </c>
      <c r="P498">
        <v>1630</v>
      </c>
      <c r="Q498" t="s">
        <v>4134</v>
      </c>
    </row>
    <row r="499" spans="1:17" x14ac:dyDescent="0.3">
      <c r="A499" t="s">
        <v>4135</v>
      </c>
      <c r="B499" t="s">
        <v>4136</v>
      </c>
      <c r="C499" t="s">
        <v>4137</v>
      </c>
      <c r="D499" t="s">
        <v>4138</v>
      </c>
      <c r="E499" t="s">
        <v>1204</v>
      </c>
      <c r="F499" t="s">
        <v>4139</v>
      </c>
      <c r="G499">
        <v>15.178578699999999</v>
      </c>
      <c r="H499">
        <v>120.51842980000001</v>
      </c>
      <c r="I499" t="s">
        <v>4140</v>
      </c>
      <c r="J499" t="s">
        <v>4141</v>
      </c>
      <c r="K499" t="s">
        <v>4142</v>
      </c>
      <c r="L499" t="s">
        <v>4143</v>
      </c>
      <c r="M499" s="1">
        <v>43312</v>
      </c>
      <c r="N499" t="s">
        <v>369</v>
      </c>
      <c r="O499" t="s">
        <v>370</v>
      </c>
      <c r="P499">
        <v>1825</v>
      </c>
      <c r="Q499" t="s">
        <v>4144</v>
      </c>
    </row>
    <row r="500" spans="1:17" x14ac:dyDescent="0.3">
      <c r="A500" t="s">
        <v>4145</v>
      </c>
      <c r="B500" t="s">
        <v>4146</v>
      </c>
      <c r="C500" t="s">
        <v>4147</v>
      </c>
      <c r="D500" t="s">
        <v>4148</v>
      </c>
      <c r="E500" t="s">
        <v>329</v>
      </c>
      <c r="I500" t="s">
        <v>4149</v>
      </c>
      <c r="J500">
        <v>9494575077</v>
      </c>
      <c r="K500" t="s">
        <v>4150</v>
      </c>
      <c r="L500" t="s">
        <v>4151</v>
      </c>
      <c r="M500" s="1">
        <v>43703</v>
      </c>
      <c r="N500" t="s">
        <v>4152</v>
      </c>
      <c r="P500">
        <v>829</v>
      </c>
      <c r="Q500" t="s">
        <v>4153</v>
      </c>
    </row>
    <row r="501" spans="1:17" x14ac:dyDescent="0.3">
      <c r="A501" t="s">
        <v>4154</v>
      </c>
      <c r="B501" t="s">
        <v>4155</v>
      </c>
      <c r="C501" t="s">
        <v>4156</v>
      </c>
      <c r="D501" t="s">
        <v>4157</v>
      </c>
      <c r="E501" t="s">
        <v>2518</v>
      </c>
      <c r="F501" t="s">
        <v>4158</v>
      </c>
      <c r="G501">
        <v>15.178578699999999</v>
      </c>
      <c r="H501">
        <v>120.51842980000001</v>
      </c>
      <c r="I501" t="s">
        <v>4159</v>
      </c>
      <c r="J501" t="s">
        <v>4160</v>
      </c>
      <c r="K501" t="s">
        <v>4161</v>
      </c>
      <c r="L501" t="s">
        <v>4162</v>
      </c>
      <c r="M501" s="1">
        <v>42794</v>
      </c>
      <c r="N501" t="s">
        <v>336</v>
      </c>
      <c r="O501" t="s">
        <v>515</v>
      </c>
      <c r="P501">
        <v>713</v>
      </c>
      <c r="Q501" t="s">
        <v>4163</v>
      </c>
    </row>
    <row r="502" spans="1:17" x14ac:dyDescent="0.3">
      <c r="A502" t="s">
        <v>4164</v>
      </c>
      <c r="B502" t="s">
        <v>4165</v>
      </c>
      <c r="C502" t="s">
        <v>4166</v>
      </c>
      <c r="D502" t="s">
        <v>4167</v>
      </c>
      <c r="E502" t="s">
        <v>4168</v>
      </c>
      <c r="F502" t="s">
        <v>4169</v>
      </c>
      <c r="G502">
        <v>15.1758770402629</v>
      </c>
      <c r="H502">
        <v>120.532840490341</v>
      </c>
      <c r="I502" t="s">
        <v>4170</v>
      </c>
      <c r="J502" t="s">
        <v>4171</v>
      </c>
      <c r="K502" t="s">
        <v>4172</v>
      </c>
      <c r="L502">
        <v>1234</v>
      </c>
      <c r="M502" s="1">
        <v>42414</v>
      </c>
      <c r="N502" t="s">
        <v>369</v>
      </c>
      <c r="O502" t="s">
        <v>370</v>
      </c>
      <c r="P502">
        <v>1060</v>
      </c>
      <c r="Q502" t="s">
        <v>4173</v>
      </c>
    </row>
    <row r="503" spans="1:17" x14ac:dyDescent="0.3">
      <c r="A503" t="s">
        <v>4174</v>
      </c>
      <c r="B503" t="s">
        <v>4175</v>
      </c>
      <c r="C503" t="s">
        <v>2929</v>
      </c>
      <c r="D503" t="s">
        <v>4176</v>
      </c>
      <c r="E503" t="s">
        <v>4177</v>
      </c>
      <c r="F503" t="s">
        <v>4178</v>
      </c>
      <c r="G503">
        <v>15.178578699999999</v>
      </c>
      <c r="H503">
        <v>120.51842980000001</v>
      </c>
      <c r="I503" t="s">
        <v>4179</v>
      </c>
      <c r="J503" t="s">
        <v>4180</v>
      </c>
      <c r="K503" t="s">
        <v>4181</v>
      </c>
      <c r="L503">
        <v>1234</v>
      </c>
      <c r="M503" t="s">
        <v>4182</v>
      </c>
      <c r="N503" t="s">
        <v>16</v>
      </c>
      <c r="O503" t="s">
        <v>412</v>
      </c>
      <c r="P503">
        <v>38</v>
      </c>
    </row>
    <row r="504" spans="1:17" x14ac:dyDescent="0.3">
      <c r="A504" t="s">
        <v>4183</v>
      </c>
      <c r="B504" t="s">
        <v>4184</v>
      </c>
      <c r="C504" t="s">
        <v>4185</v>
      </c>
      <c r="D504" t="s">
        <v>341</v>
      </c>
      <c r="E504" t="s">
        <v>4186</v>
      </c>
      <c r="F504" t="s">
        <v>4187</v>
      </c>
      <c r="G504">
        <v>15.178578699999999</v>
      </c>
      <c r="H504">
        <v>120.51842980000001</v>
      </c>
      <c r="I504" t="s">
        <v>4188</v>
      </c>
      <c r="J504" t="s">
        <v>4189</v>
      </c>
      <c r="K504" t="s">
        <v>4190</v>
      </c>
      <c r="L504" t="s">
        <v>4191</v>
      </c>
      <c r="M504" t="s">
        <v>4192</v>
      </c>
      <c r="N504" t="s">
        <v>16</v>
      </c>
      <c r="O504" t="s">
        <v>3183</v>
      </c>
      <c r="P504">
        <v>94</v>
      </c>
    </row>
    <row r="505" spans="1:17" x14ac:dyDescent="0.3">
      <c r="A505" t="s">
        <v>4193</v>
      </c>
      <c r="F505" t="s">
        <v>4194</v>
      </c>
      <c r="K505" t="s">
        <v>4195</v>
      </c>
      <c r="L505">
        <v>1234</v>
      </c>
      <c r="M505" t="s">
        <v>4196</v>
      </c>
      <c r="N505" t="s">
        <v>4197</v>
      </c>
      <c r="O505" t="s">
        <v>4197</v>
      </c>
      <c r="P505">
        <v>0</v>
      </c>
    </row>
    <row r="506" spans="1:17" x14ac:dyDescent="0.3">
      <c r="A506" t="s">
        <v>4198</v>
      </c>
      <c r="B506" t="s">
        <v>4199</v>
      </c>
      <c r="C506" t="s">
        <v>4200</v>
      </c>
      <c r="D506" t="s">
        <v>1433</v>
      </c>
      <c r="E506" t="s">
        <v>4201</v>
      </c>
      <c r="F506" t="s">
        <v>4202</v>
      </c>
      <c r="G506">
        <v>15.178578699999999</v>
      </c>
      <c r="H506">
        <v>120.51842980000001</v>
      </c>
      <c r="I506" t="s">
        <v>4203</v>
      </c>
      <c r="J506" t="s">
        <v>657</v>
      </c>
      <c r="K506" t="s">
        <v>4204</v>
      </c>
      <c r="L506">
        <v>1234</v>
      </c>
      <c r="M506" t="s">
        <v>4205</v>
      </c>
      <c r="N506" t="s">
        <v>871</v>
      </c>
      <c r="O506" t="s">
        <v>458</v>
      </c>
      <c r="P506">
        <v>409</v>
      </c>
      <c r="Q506" t="s">
        <v>4206</v>
      </c>
    </row>
    <row r="507" spans="1:17" x14ac:dyDescent="0.3">
      <c r="A507" t="s">
        <v>4207</v>
      </c>
      <c r="B507" t="s">
        <v>4208</v>
      </c>
      <c r="C507" t="s">
        <v>2388</v>
      </c>
      <c r="D507" t="s">
        <v>177</v>
      </c>
      <c r="E507" t="s">
        <v>4209</v>
      </c>
      <c r="F507" t="s">
        <v>4210</v>
      </c>
      <c r="G507">
        <v>15.178578699999999</v>
      </c>
      <c r="H507">
        <v>120.51842980000001</v>
      </c>
      <c r="I507" t="s">
        <v>4211</v>
      </c>
      <c r="J507">
        <v>86389898</v>
      </c>
      <c r="K507" t="s">
        <v>4212</v>
      </c>
      <c r="L507">
        <v>1234</v>
      </c>
      <c r="M507" t="s">
        <v>470</v>
      </c>
      <c r="N507" t="s">
        <v>369</v>
      </c>
      <c r="O507" t="s">
        <v>1388</v>
      </c>
      <c r="P507">
        <v>1455</v>
      </c>
      <c r="Q507" t="s">
        <v>4213</v>
      </c>
    </row>
    <row r="508" spans="1:17" x14ac:dyDescent="0.3">
      <c r="A508" t="s">
        <v>4214</v>
      </c>
      <c r="B508" t="s">
        <v>4215</v>
      </c>
      <c r="C508" t="s">
        <v>4216</v>
      </c>
      <c r="D508" t="s">
        <v>4217</v>
      </c>
      <c r="E508" t="s">
        <v>178</v>
      </c>
      <c r="F508" t="s">
        <v>4218</v>
      </c>
      <c r="G508">
        <v>15.178578699999999</v>
      </c>
      <c r="H508">
        <v>120.51842980000001</v>
      </c>
      <c r="I508" t="s">
        <v>4219</v>
      </c>
      <c r="J508">
        <v>9999981389</v>
      </c>
      <c r="K508" t="s">
        <v>4220</v>
      </c>
      <c r="L508">
        <v>1234</v>
      </c>
      <c r="M508" t="s">
        <v>470</v>
      </c>
      <c r="N508" t="s">
        <v>710</v>
      </c>
      <c r="O508" t="s">
        <v>711</v>
      </c>
      <c r="P508">
        <v>1473</v>
      </c>
      <c r="Q508" t="s">
        <v>4221</v>
      </c>
    </row>
    <row r="509" spans="1:17" x14ac:dyDescent="0.3">
      <c r="A509" t="s">
        <v>4222</v>
      </c>
      <c r="B509" t="s">
        <v>4223</v>
      </c>
      <c r="C509" t="s">
        <v>4224</v>
      </c>
      <c r="D509" t="s">
        <v>4225</v>
      </c>
      <c r="E509" t="s">
        <v>4226</v>
      </c>
      <c r="F509" t="s">
        <v>4227</v>
      </c>
      <c r="G509">
        <v>15.1734333199531</v>
      </c>
      <c r="H509">
        <v>120.52200436592101</v>
      </c>
      <c r="I509" t="s">
        <v>4228</v>
      </c>
      <c r="J509" t="s">
        <v>4229</v>
      </c>
      <c r="K509" t="s">
        <v>4230</v>
      </c>
      <c r="L509">
        <v>1234</v>
      </c>
      <c r="M509" t="s">
        <v>139</v>
      </c>
      <c r="N509" t="s">
        <v>57</v>
      </c>
      <c r="O509" t="s">
        <v>17</v>
      </c>
      <c r="P509">
        <v>1806</v>
      </c>
      <c r="Q509" t="s">
        <v>4231</v>
      </c>
    </row>
    <row r="510" spans="1:17" x14ac:dyDescent="0.3">
      <c r="A510" t="s">
        <v>4232</v>
      </c>
      <c r="B510" t="s">
        <v>1976</v>
      </c>
      <c r="C510" t="s">
        <v>4233</v>
      </c>
      <c r="D510" t="s">
        <v>4234</v>
      </c>
      <c r="E510" t="s">
        <v>4235</v>
      </c>
      <c r="F510" t="s">
        <v>4236</v>
      </c>
      <c r="G510">
        <v>15.1754162561807</v>
      </c>
      <c r="H510">
        <v>120.522615909576</v>
      </c>
      <c r="I510" t="s">
        <v>4237</v>
      </c>
      <c r="J510" t="s">
        <v>4238</v>
      </c>
      <c r="K510" t="s">
        <v>4239</v>
      </c>
      <c r="L510" t="s">
        <v>4240</v>
      </c>
      <c r="M510" t="s">
        <v>4205</v>
      </c>
      <c r="N510" t="s">
        <v>16</v>
      </c>
      <c r="O510" t="s">
        <v>292</v>
      </c>
      <c r="P510">
        <v>2481</v>
      </c>
      <c r="Q510" t="s">
        <v>4241</v>
      </c>
    </row>
    <row r="511" spans="1:17" x14ac:dyDescent="0.3">
      <c r="A511" t="s">
        <v>4242</v>
      </c>
      <c r="B511" t="s">
        <v>4243</v>
      </c>
      <c r="C511" t="s">
        <v>4244</v>
      </c>
      <c r="D511" t="s">
        <v>4245</v>
      </c>
      <c r="E511" t="s">
        <v>4246</v>
      </c>
      <c r="F511" t="s">
        <v>4247</v>
      </c>
      <c r="G511">
        <v>15.178578699999999</v>
      </c>
      <c r="H511">
        <v>120.51842980000001</v>
      </c>
      <c r="I511" t="s">
        <v>4248</v>
      </c>
      <c r="J511" t="s">
        <v>4249</v>
      </c>
      <c r="K511" t="s">
        <v>4250</v>
      </c>
      <c r="L511">
        <v>1234</v>
      </c>
      <c r="M511" t="s">
        <v>15</v>
      </c>
      <c r="N511" t="s">
        <v>369</v>
      </c>
      <c r="O511" t="s">
        <v>471</v>
      </c>
      <c r="P511">
        <v>1516</v>
      </c>
    </row>
    <row r="512" spans="1:17" x14ac:dyDescent="0.3">
      <c r="A512" t="s">
        <v>4251</v>
      </c>
      <c r="B512" t="s">
        <v>3768</v>
      </c>
      <c r="C512" t="s">
        <v>4252</v>
      </c>
      <c r="D512" t="s">
        <v>4253</v>
      </c>
      <c r="E512" t="s">
        <v>560</v>
      </c>
      <c r="F512" t="s">
        <v>4254</v>
      </c>
      <c r="G512">
        <v>15.178578699999999</v>
      </c>
      <c r="H512">
        <v>120.51842980000001</v>
      </c>
      <c r="I512" t="s">
        <v>4255</v>
      </c>
      <c r="J512">
        <v>454990059</v>
      </c>
      <c r="K512" t="s">
        <v>4256</v>
      </c>
      <c r="L512">
        <v>1234</v>
      </c>
      <c r="M512" t="s">
        <v>4257</v>
      </c>
      <c r="N512" t="s">
        <v>336</v>
      </c>
      <c r="O512" t="s">
        <v>483</v>
      </c>
      <c r="P512">
        <v>1710</v>
      </c>
    </row>
    <row r="513" spans="1:17" x14ac:dyDescent="0.3">
      <c r="A513" t="s">
        <v>4258</v>
      </c>
      <c r="B513" t="s">
        <v>4259</v>
      </c>
      <c r="C513" t="s">
        <v>4260</v>
      </c>
      <c r="D513" t="s">
        <v>4261</v>
      </c>
      <c r="E513" t="s">
        <v>4262</v>
      </c>
      <c r="F513" t="s">
        <v>4263</v>
      </c>
      <c r="G513">
        <v>15.178578699999999</v>
      </c>
      <c r="H513">
        <v>120.51842980000001</v>
      </c>
      <c r="I513" t="s">
        <v>4264</v>
      </c>
      <c r="J513" t="s">
        <v>4265</v>
      </c>
      <c r="K513" t="s">
        <v>4266</v>
      </c>
      <c r="L513">
        <v>1234</v>
      </c>
      <c r="P513" t="s">
        <v>4267</v>
      </c>
      <c r="Q513" t="s">
        <v>4268</v>
      </c>
    </row>
    <row r="514" spans="1:17" x14ac:dyDescent="0.3">
      <c r="A514" t="s">
        <v>4269</v>
      </c>
      <c r="B514" t="s">
        <v>4270</v>
      </c>
      <c r="C514" t="s">
        <v>4271</v>
      </c>
      <c r="D514" t="s">
        <v>539</v>
      </c>
      <c r="E514" t="s">
        <v>1862</v>
      </c>
      <c r="F514" t="s">
        <v>4272</v>
      </c>
      <c r="G514">
        <v>15.1964456244334</v>
      </c>
      <c r="H514">
        <v>120.52160739898601</v>
      </c>
      <c r="I514" t="s">
        <v>4273</v>
      </c>
      <c r="J514" t="s">
        <v>4274</v>
      </c>
      <c r="K514" t="s">
        <v>4275</v>
      </c>
      <c r="L514" t="s">
        <v>4276</v>
      </c>
      <c r="M514" t="s">
        <v>4277</v>
      </c>
      <c r="N514" t="s">
        <v>779</v>
      </c>
      <c r="O514" t="s">
        <v>780</v>
      </c>
      <c r="P514">
        <v>2426</v>
      </c>
      <c r="Q514" t="s">
        <v>4278</v>
      </c>
    </row>
    <row r="515" spans="1:17" x14ac:dyDescent="0.3">
      <c r="A515" t="s">
        <v>4279</v>
      </c>
      <c r="B515" t="s">
        <v>4280</v>
      </c>
      <c r="C515" t="s">
        <v>902</v>
      </c>
      <c r="D515" t="s">
        <v>4281</v>
      </c>
      <c r="E515" t="s">
        <v>1985</v>
      </c>
      <c r="F515" t="s">
        <v>4282</v>
      </c>
      <c r="G515">
        <v>15.205453132144999</v>
      </c>
      <c r="H515">
        <v>120.532770752906</v>
      </c>
      <c r="I515" t="s">
        <v>4283</v>
      </c>
      <c r="J515" t="s">
        <v>4284</v>
      </c>
      <c r="K515" t="s">
        <v>4285</v>
      </c>
      <c r="L515" t="s">
        <v>4286</v>
      </c>
      <c r="M515" t="s">
        <v>4287</v>
      </c>
      <c r="N515" t="s">
        <v>57</v>
      </c>
      <c r="O515" t="s">
        <v>17</v>
      </c>
      <c r="P515">
        <v>1368</v>
      </c>
      <c r="Q515" t="s">
        <v>4288</v>
      </c>
    </row>
    <row r="516" spans="1:17" x14ac:dyDescent="0.3">
      <c r="A516" t="s">
        <v>4289</v>
      </c>
      <c r="B516" t="s">
        <v>4290</v>
      </c>
      <c r="C516" t="s">
        <v>4291</v>
      </c>
      <c r="D516" t="s">
        <v>4292</v>
      </c>
      <c r="E516" t="s">
        <v>329</v>
      </c>
      <c r="F516" t="s">
        <v>4293</v>
      </c>
      <c r="G516">
        <v>15.178578699999999</v>
      </c>
      <c r="H516">
        <v>120.51842980000001</v>
      </c>
      <c r="I516" t="s">
        <v>4294</v>
      </c>
      <c r="J516">
        <v>9287200474</v>
      </c>
      <c r="K516" t="s">
        <v>4295</v>
      </c>
      <c r="L516">
        <v>1234</v>
      </c>
      <c r="M516" t="s">
        <v>4296</v>
      </c>
      <c r="N516" t="s">
        <v>45</v>
      </c>
      <c r="O516" t="s">
        <v>269</v>
      </c>
      <c r="P516">
        <v>2527</v>
      </c>
    </row>
    <row r="517" spans="1:17" x14ac:dyDescent="0.3">
      <c r="A517" t="s">
        <v>4297</v>
      </c>
      <c r="F517" t="s">
        <v>4298</v>
      </c>
      <c r="K517" t="s">
        <v>4299</v>
      </c>
      <c r="L517" t="s">
        <v>4300</v>
      </c>
      <c r="M517" t="s">
        <v>4301</v>
      </c>
      <c r="N517" t="s">
        <v>398</v>
      </c>
      <c r="O517" t="s">
        <v>752</v>
      </c>
      <c r="P517">
        <v>2062</v>
      </c>
    </row>
    <row r="518" spans="1:17" x14ac:dyDescent="0.3">
      <c r="A518" t="s">
        <v>4302</v>
      </c>
      <c r="B518" t="s">
        <v>4303</v>
      </c>
      <c r="C518" t="s">
        <v>4304</v>
      </c>
      <c r="D518" t="s">
        <v>4305</v>
      </c>
      <c r="E518" t="s">
        <v>4306</v>
      </c>
      <c r="F518" t="s">
        <v>4307</v>
      </c>
      <c r="G518">
        <v>15.197729476629</v>
      </c>
      <c r="H518">
        <v>120.530362129211</v>
      </c>
      <c r="I518" t="s">
        <v>4308</v>
      </c>
      <c r="J518" t="s">
        <v>4309</v>
      </c>
      <c r="K518" t="s">
        <v>4310</v>
      </c>
      <c r="L518">
        <v>1234</v>
      </c>
      <c r="M518" t="s">
        <v>4311</v>
      </c>
      <c r="N518" t="s">
        <v>779</v>
      </c>
      <c r="O518" t="s">
        <v>780</v>
      </c>
      <c r="P518">
        <v>405</v>
      </c>
    </row>
    <row r="519" spans="1:17" x14ac:dyDescent="0.3">
      <c r="A519" t="s">
        <v>4312</v>
      </c>
      <c r="B519" t="s">
        <v>2284</v>
      </c>
      <c r="C519" t="s">
        <v>3685</v>
      </c>
      <c r="D519" t="s">
        <v>4313</v>
      </c>
      <c r="E519" t="s">
        <v>4314</v>
      </c>
      <c r="F519" t="s">
        <v>4315</v>
      </c>
      <c r="G519">
        <v>15.178578699999999</v>
      </c>
      <c r="H519">
        <v>120.51842980000001</v>
      </c>
      <c r="I519" t="s">
        <v>4316</v>
      </c>
      <c r="J519" t="s">
        <v>4317</v>
      </c>
      <c r="K519" t="s">
        <v>4318</v>
      </c>
      <c r="L519">
        <v>1234</v>
      </c>
      <c r="M519" t="s">
        <v>4319</v>
      </c>
      <c r="N519" t="s">
        <v>779</v>
      </c>
      <c r="O519" t="s">
        <v>780</v>
      </c>
      <c r="P519">
        <v>2448</v>
      </c>
      <c r="Q519" t="s">
        <v>4320</v>
      </c>
    </row>
    <row r="520" spans="1:17" x14ac:dyDescent="0.3">
      <c r="A520" t="s">
        <v>4321</v>
      </c>
      <c r="B520" t="s">
        <v>4322</v>
      </c>
      <c r="C520" t="s">
        <v>4323</v>
      </c>
      <c r="D520" t="s">
        <v>3479</v>
      </c>
      <c r="E520" t="s">
        <v>23</v>
      </c>
      <c r="F520" t="s">
        <v>4324</v>
      </c>
      <c r="G520">
        <v>15.178578699999999</v>
      </c>
      <c r="H520">
        <v>120.51842980000001</v>
      </c>
      <c r="I520" t="s">
        <v>4325</v>
      </c>
      <c r="J520">
        <v>9498313720</v>
      </c>
      <c r="K520" t="s">
        <v>4326</v>
      </c>
      <c r="L520" t="s">
        <v>4327</v>
      </c>
      <c r="M520" t="s">
        <v>4328</v>
      </c>
      <c r="N520" t="s">
        <v>369</v>
      </c>
      <c r="O520" t="s">
        <v>370</v>
      </c>
      <c r="P520">
        <v>2550</v>
      </c>
      <c r="Q520" t="s">
        <v>4329</v>
      </c>
    </row>
    <row r="521" spans="1:17" x14ac:dyDescent="0.3">
      <c r="A521" t="s">
        <v>4330</v>
      </c>
      <c r="B521" t="s">
        <v>4331</v>
      </c>
      <c r="C521" t="s">
        <v>4332</v>
      </c>
      <c r="D521" t="s">
        <v>4333</v>
      </c>
      <c r="E521" t="s">
        <v>1110</v>
      </c>
      <c r="F521" t="s">
        <v>4334</v>
      </c>
      <c r="G521">
        <v>15.178578699999999</v>
      </c>
      <c r="H521">
        <v>120.51842980000001</v>
      </c>
      <c r="I521" t="s">
        <v>4335</v>
      </c>
      <c r="J521">
        <v>4992248</v>
      </c>
      <c r="K521" t="s">
        <v>4336</v>
      </c>
      <c r="L521">
        <v>1234</v>
      </c>
      <c r="M521" t="s">
        <v>4337</v>
      </c>
      <c r="N521" t="s">
        <v>369</v>
      </c>
      <c r="O521" t="s">
        <v>4338</v>
      </c>
      <c r="P521">
        <v>1813</v>
      </c>
      <c r="Q521" t="s">
        <v>4339</v>
      </c>
    </row>
    <row r="522" spans="1:17" x14ac:dyDescent="0.3">
      <c r="A522" t="s">
        <v>4340</v>
      </c>
      <c r="B522" t="s">
        <v>4341</v>
      </c>
      <c r="C522" t="s">
        <v>4342</v>
      </c>
      <c r="D522" t="s">
        <v>4343</v>
      </c>
      <c r="E522" t="s">
        <v>4344</v>
      </c>
      <c r="F522" t="s">
        <v>4345</v>
      </c>
      <c r="G522">
        <v>15.178578699999999</v>
      </c>
      <c r="H522">
        <v>120.51842980000001</v>
      </c>
      <c r="I522" t="s">
        <v>4346</v>
      </c>
      <c r="J522" t="s">
        <v>4347</v>
      </c>
      <c r="K522" t="s">
        <v>4348</v>
      </c>
      <c r="L522" t="s">
        <v>4349</v>
      </c>
      <c r="M522" t="s">
        <v>4350</v>
      </c>
      <c r="N522" t="s">
        <v>336</v>
      </c>
      <c r="O522" t="s">
        <v>515</v>
      </c>
      <c r="P522">
        <v>1655</v>
      </c>
    </row>
    <row r="523" spans="1:17" x14ac:dyDescent="0.3">
      <c r="A523" t="s">
        <v>4351</v>
      </c>
      <c r="B523" t="s">
        <v>4352</v>
      </c>
      <c r="C523" t="s">
        <v>4353</v>
      </c>
      <c r="D523" t="s">
        <v>4354</v>
      </c>
      <c r="E523" t="s">
        <v>178</v>
      </c>
      <c r="F523" t="s">
        <v>4355</v>
      </c>
      <c r="G523">
        <v>15.169141208872301</v>
      </c>
      <c r="H523">
        <v>120.575573444366</v>
      </c>
      <c r="I523" t="s">
        <v>4356</v>
      </c>
      <c r="J523" t="s">
        <v>4357</v>
      </c>
      <c r="K523" t="s">
        <v>4358</v>
      </c>
      <c r="L523">
        <v>1234</v>
      </c>
      <c r="M523" t="s">
        <v>4359</v>
      </c>
      <c r="N523" t="s">
        <v>16</v>
      </c>
      <c r="O523" t="s">
        <v>292</v>
      </c>
      <c r="P523">
        <v>1062</v>
      </c>
    </row>
    <row r="524" spans="1:17" x14ac:dyDescent="0.3">
      <c r="A524" t="s">
        <v>4232</v>
      </c>
      <c r="B524" t="s">
        <v>1976</v>
      </c>
      <c r="C524" t="s">
        <v>4233</v>
      </c>
      <c r="D524" t="s">
        <v>4234</v>
      </c>
      <c r="E524" t="s">
        <v>4235</v>
      </c>
      <c r="F524" t="s">
        <v>4236</v>
      </c>
      <c r="G524">
        <v>15.1754162561807</v>
      </c>
      <c r="H524">
        <v>120.522615909576</v>
      </c>
      <c r="I524" t="s">
        <v>4237</v>
      </c>
      <c r="J524" t="s">
        <v>4238</v>
      </c>
      <c r="K524" t="s">
        <v>4239</v>
      </c>
      <c r="L524" t="s">
        <v>4240</v>
      </c>
      <c r="M524" t="s">
        <v>4205</v>
      </c>
      <c r="N524" t="s">
        <v>16</v>
      </c>
      <c r="O524" t="s">
        <v>292</v>
      </c>
      <c r="P524">
        <v>2481</v>
      </c>
      <c r="Q524" t="s">
        <v>4241</v>
      </c>
    </row>
    <row r="525" spans="1:17" x14ac:dyDescent="0.3">
      <c r="A525" t="s">
        <v>4360</v>
      </c>
      <c r="B525" t="s">
        <v>2666</v>
      </c>
      <c r="C525" t="s">
        <v>4361</v>
      </c>
      <c r="D525" t="s">
        <v>4362</v>
      </c>
      <c r="E525" t="s">
        <v>4363</v>
      </c>
      <c r="F525" t="s">
        <v>4364</v>
      </c>
      <c r="G525">
        <v>15.178578699999999</v>
      </c>
      <c r="H525">
        <v>120.51842980000001</v>
      </c>
      <c r="I525" t="s">
        <v>4365</v>
      </c>
      <c r="J525" t="s">
        <v>4366</v>
      </c>
      <c r="K525" t="s">
        <v>4367</v>
      </c>
      <c r="L525" t="s">
        <v>4368</v>
      </c>
      <c r="M525" t="s">
        <v>95</v>
      </c>
      <c r="N525" t="s">
        <v>369</v>
      </c>
      <c r="O525" t="s">
        <v>370</v>
      </c>
      <c r="P525">
        <v>2528</v>
      </c>
    </row>
    <row r="526" spans="1:17" x14ac:dyDescent="0.3">
      <c r="A526" t="s">
        <v>4369</v>
      </c>
      <c r="B526" t="s">
        <v>4370</v>
      </c>
      <c r="C526" t="s">
        <v>4371</v>
      </c>
      <c r="D526" t="s">
        <v>4372</v>
      </c>
      <c r="E526" t="s">
        <v>286</v>
      </c>
      <c r="F526" t="s">
        <v>4373</v>
      </c>
      <c r="G526">
        <v>15.1633785631875</v>
      </c>
      <c r="H526">
        <v>120.549121499061</v>
      </c>
      <c r="I526" t="s">
        <v>4374</v>
      </c>
      <c r="J526">
        <v>9321946716</v>
      </c>
      <c r="K526" t="s">
        <v>4375</v>
      </c>
      <c r="L526">
        <v>1234</v>
      </c>
      <c r="M526" t="s">
        <v>4376</v>
      </c>
      <c r="N526" t="s">
        <v>398</v>
      </c>
      <c r="O526" t="s">
        <v>582</v>
      </c>
      <c r="P526">
        <v>2495</v>
      </c>
    </row>
    <row r="527" spans="1:17" x14ac:dyDescent="0.3">
      <c r="A527" t="s">
        <v>4377</v>
      </c>
      <c r="B527" t="s">
        <v>4378</v>
      </c>
      <c r="C527" t="s">
        <v>4379</v>
      </c>
      <c r="D527" t="s">
        <v>4380</v>
      </c>
      <c r="E527" t="s">
        <v>3153</v>
      </c>
      <c r="F527" t="s">
        <v>4381</v>
      </c>
      <c r="G527">
        <v>15.195544852502399</v>
      </c>
      <c r="H527">
        <v>120.528849363327</v>
      </c>
      <c r="I527" t="s">
        <v>4382</v>
      </c>
      <c r="J527" t="s">
        <v>4383</v>
      </c>
      <c r="K527" t="s">
        <v>4384</v>
      </c>
      <c r="L527">
        <v>1234</v>
      </c>
      <c r="M527" t="s">
        <v>4385</v>
      </c>
      <c r="N527" t="s">
        <v>710</v>
      </c>
      <c r="O527" t="s">
        <v>1932</v>
      </c>
      <c r="P527">
        <v>1068</v>
      </c>
    </row>
    <row r="528" spans="1:17" x14ac:dyDescent="0.3">
      <c r="A528" t="s">
        <v>4386</v>
      </c>
      <c r="B528" t="s">
        <v>4387</v>
      </c>
      <c r="C528" t="s">
        <v>4388</v>
      </c>
      <c r="D528" t="s">
        <v>426</v>
      </c>
      <c r="E528" t="s">
        <v>4389</v>
      </c>
      <c r="F528" t="s">
        <v>4390</v>
      </c>
      <c r="G528">
        <v>15.178578699999999</v>
      </c>
      <c r="H528">
        <v>120.51842980000001</v>
      </c>
      <c r="I528" t="s">
        <v>4391</v>
      </c>
      <c r="J528">
        <v>9325348881</v>
      </c>
      <c r="K528" t="s">
        <v>4392</v>
      </c>
      <c r="L528" t="s">
        <v>4393</v>
      </c>
      <c r="M528" t="s">
        <v>4394</v>
      </c>
      <c r="N528" t="s">
        <v>369</v>
      </c>
      <c r="O528" t="s">
        <v>4395</v>
      </c>
      <c r="P528">
        <v>242</v>
      </c>
      <c r="Q528" t="s">
        <v>4396</v>
      </c>
    </row>
    <row r="529" spans="1:17" x14ac:dyDescent="0.3">
      <c r="A529" t="s">
        <v>4397</v>
      </c>
      <c r="B529" t="s">
        <v>4398</v>
      </c>
      <c r="C529" t="s">
        <v>4399</v>
      </c>
      <c r="D529" t="s">
        <v>3744</v>
      </c>
      <c r="E529" t="s">
        <v>2693</v>
      </c>
      <c r="F529" t="s">
        <v>4400</v>
      </c>
      <c r="G529">
        <v>15.180976662135601</v>
      </c>
      <c r="H529">
        <v>120.52742779254901</v>
      </c>
      <c r="I529" t="s">
        <v>4401</v>
      </c>
      <c r="J529">
        <v>9662843032</v>
      </c>
      <c r="K529" t="s">
        <v>4402</v>
      </c>
      <c r="L529">
        <v>1234</v>
      </c>
      <c r="M529" t="s">
        <v>255</v>
      </c>
      <c r="N529" t="s">
        <v>30</v>
      </c>
      <c r="O529" t="s">
        <v>4403</v>
      </c>
      <c r="P529">
        <v>2571</v>
      </c>
      <c r="Q529" t="s">
        <v>4404</v>
      </c>
    </row>
    <row r="530" spans="1:17" x14ac:dyDescent="0.3">
      <c r="A530" t="s">
        <v>4405</v>
      </c>
      <c r="B530" t="s">
        <v>4406</v>
      </c>
      <c r="C530" t="s">
        <v>4407</v>
      </c>
      <c r="D530" t="s">
        <v>4408</v>
      </c>
      <c r="E530" t="s">
        <v>4409</v>
      </c>
      <c r="F530" t="s">
        <v>4410</v>
      </c>
      <c r="G530">
        <v>15.178578699999999</v>
      </c>
      <c r="H530">
        <v>120.51842980000001</v>
      </c>
      <c r="I530" t="s">
        <v>4411</v>
      </c>
      <c r="J530">
        <v>9173350576</v>
      </c>
      <c r="K530" t="s">
        <v>4412</v>
      </c>
      <c r="L530">
        <v>1234</v>
      </c>
      <c r="M530" t="s">
        <v>4413</v>
      </c>
      <c r="N530" t="s">
        <v>398</v>
      </c>
      <c r="O530" t="s">
        <v>685</v>
      </c>
      <c r="P530">
        <v>2513</v>
      </c>
    </row>
    <row r="531" spans="1:17" x14ac:dyDescent="0.3">
      <c r="A531" t="s">
        <v>4414</v>
      </c>
      <c r="B531" t="s">
        <v>4415</v>
      </c>
      <c r="C531" t="s">
        <v>4416</v>
      </c>
      <c r="D531" t="s">
        <v>4417</v>
      </c>
      <c r="E531" t="s">
        <v>4418</v>
      </c>
      <c r="F531" t="s">
        <v>4419</v>
      </c>
      <c r="G531">
        <v>15.182167419051501</v>
      </c>
      <c r="H531">
        <v>120.521478652954</v>
      </c>
      <c r="I531" t="s">
        <v>4420</v>
      </c>
      <c r="J531">
        <v>9750276826</v>
      </c>
      <c r="K531" t="s">
        <v>4421</v>
      </c>
      <c r="L531" t="s">
        <v>4422</v>
      </c>
      <c r="M531" t="s">
        <v>4423</v>
      </c>
      <c r="N531" t="s">
        <v>45</v>
      </c>
      <c r="O531" t="s">
        <v>269</v>
      </c>
      <c r="P531">
        <v>377</v>
      </c>
    </row>
    <row r="532" spans="1:17" x14ac:dyDescent="0.3">
      <c r="A532" t="s">
        <v>4424</v>
      </c>
      <c r="B532" t="s">
        <v>4425</v>
      </c>
      <c r="C532" t="s">
        <v>4426</v>
      </c>
      <c r="D532" t="s">
        <v>4427</v>
      </c>
      <c r="E532" t="s">
        <v>1454</v>
      </c>
      <c r="F532" t="s">
        <v>4428</v>
      </c>
      <c r="G532">
        <v>15.163487293805501</v>
      </c>
      <c r="H532">
        <v>120.549577474594</v>
      </c>
      <c r="I532" t="s">
        <v>4429</v>
      </c>
      <c r="J532">
        <v>9177006006</v>
      </c>
      <c r="K532" t="s">
        <v>4430</v>
      </c>
      <c r="L532">
        <v>1234</v>
      </c>
      <c r="M532" t="s">
        <v>4431</v>
      </c>
      <c r="N532" t="s">
        <v>369</v>
      </c>
      <c r="O532" t="s">
        <v>2181</v>
      </c>
      <c r="P532">
        <v>2522</v>
      </c>
      <c r="Q532" t="s">
        <v>4432</v>
      </c>
    </row>
    <row r="533" spans="1:17" x14ac:dyDescent="0.3">
      <c r="A533" t="s">
        <v>4433</v>
      </c>
      <c r="B533" t="s">
        <v>4434</v>
      </c>
      <c r="C533" t="s">
        <v>4435</v>
      </c>
      <c r="D533" t="s">
        <v>4427</v>
      </c>
      <c r="E533" t="s">
        <v>23</v>
      </c>
      <c r="F533" t="s">
        <v>4436</v>
      </c>
      <c r="G533">
        <v>15.178578699999999</v>
      </c>
      <c r="H533">
        <v>120.51842980000001</v>
      </c>
      <c r="I533" t="s">
        <v>4437</v>
      </c>
      <c r="J533" t="s">
        <v>4438</v>
      </c>
      <c r="K533" t="s">
        <v>4439</v>
      </c>
      <c r="L533" t="s">
        <v>4440</v>
      </c>
      <c r="M533" t="s">
        <v>4441</v>
      </c>
      <c r="N533" t="s">
        <v>16</v>
      </c>
      <c r="O533" t="s">
        <v>412</v>
      </c>
      <c r="P533">
        <v>2574</v>
      </c>
    </row>
    <row r="534" spans="1:17" x14ac:dyDescent="0.3">
      <c r="A534" t="s">
        <v>4442</v>
      </c>
      <c r="B534" t="s">
        <v>351</v>
      </c>
      <c r="C534" t="s">
        <v>973</v>
      </c>
      <c r="D534" t="s">
        <v>3095</v>
      </c>
      <c r="E534" t="s">
        <v>477</v>
      </c>
      <c r="F534" t="s">
        <v>4443</v>
      </c>
      <c r="G534">
        <v>15.178578699999999</v>
      </c>
      <c r="H534">
        <v>120.51842980000001</v>
      </c>
      <c r="I534" t="s">
        <v>3451</v>
      </c>
      <c r="J534" t="s">
        <v>4444</v>
      </c>
      <c r="K534" t="s">
        <v>4445</v>
      </c>
      <c r="L534" t="s">
        <v>3454</v>
      </c>
      <c r="M534" t="s">
        <v>4446</v>
      </c>
      <c r="N534" t="s">
        <v>369</v>
      </c>
      <c r="O534" t="s">
        <v>370</v>
      </c>
      <c r="P534">
        <v>2573</v>
      </c>
      <c r="Q534" t="s">
        <v>4447</v>
      </c>
    </row>
    <row r="535" spans="1:17" x14ac:dyDescent="0.3">
      <c r="A535" t="s">
        <v>4448</v>
      </c>
      <c r="B535" t="s">
        <v>88</v>
      </c>
      <c r="C535" t="s">
        <v>3281</v>
      </c>
      <c r="D535" t="s">
        <v>426</v>
      </c>
      <c r="E535" t="s">
        <v>1572</v>
      </c>
      <c r="F535" t="s">
        <v>4449</v>
      </c>
      <c r="G535">
        <v>15.178578699999999</v>
      </c>
      <c r="H535">
        <v>120.51842980000001</v>
      </c>
      <c r="I535" t="s">
        <v>4450</v>
      </c>
      <c r="J535" t="s">
        <v>4451</v>
      </c>
      <c r="K535" t="s">
        <v>4452</v>
      </c>
      <c r="L535">
        <v>1234</v>
      </c>
      <c r="M535" t="s">
        <v>4453</v>
      </c>
      <c r="N535" t="s">
        <v>398</v>
      </c>
      <c r="O535" t="s">
        <v>853</v>
      </c>
      <c r="P535">
        <v>1194</v>
      </c>
    </row>
    <row r="536" spans="1:17" x14ac:dyDescent="0.3">
      <c r="A536" t="s">
        <v>4454</v>
      </c>
      <c r="B536" t="s">
        <v>2122</v>
      </c>
      <c r="C536" t="s">
        <v>4127</v>
      </c>
      <c r="D536" t="s">
        <v>4455</v>
      </c>
      <c r="E536" t="s">
        <v>3579</v>
      </c>
      <c r="F536" t="s">
        <v>4456</v>
      </c>
      <c r="G536">
        <v>15.1755922861734</v>
      </c>
      <c r="H536">
        <v>120.524423718452</v>
      </c>
      <c r="I536" t="s">
        <v>4457</v>
      </c>
      <c r="J536" t="s">
        <v>4458</v>
      </c>
      <c r="K536" t="s">
        <v>4459</v>
      </c>
      <c r="L536" t="s">
        <v>4460</v>
      </c>
      <c r="M536" t="s">
        <v>4461</v>
      </c>
      <c r="N536" t="s">
        <v>16</v>
      </c>
      <c r="O536" t="s">
        <v>4462</v>
      </c>
      <c r="P536">
        <v>169</v>
      </c>
      <c r="Q536" t="s">
        <v>4463</v>
      </c>
    </row>
    <row r="537" spans="1:17" x14ac:dyDescent="0.3">
      <c r="A537" t="s">
        <v>4464</v>
      </c>
      <c r="B537" t="s">
        <v>4465</v>
      </c>
      <c r="C537" t="s">
        <v>4466</v>
      </c>
      <c r="D537" t="s">
        <v>4467</v>
      </c>
      <c r="E537" t="s">
        <v>4468</v>
      </c>
      <c r="F537" t="s">
        <v>4469</v>
      </c>
      <c r="G537">
        <v>15.178578699999999</v>
      </c>
      <c r="H537">
        <v>120.51842980000001</v>
      </c>
      <c r="I537" t="s">
        <v>4470</v>
      </c>
      <c r="J537">
        <v>9384409555</v>
      </c>
      <c r="K537" t="s">
        <v>4471</v>
      </c>
      <c r="L537" t="s">
        <v>4472</v>
      </c>
      <c r="M537" t="s">
        <v>4473</v>
      </c>
      <c r="N537" t="s">
        <v>16</v>
      </c>
      <c r="O537" t="s">
        <v>292</v>
      </c>
      <c r="P537">
        <v>2054</v>
      </c>
    </row>
    <row r="538" spans="1:17" x14ac:dyDescent="0.3">
      <c r="A538" t="s">
        <v>4474</v>
      </c>
      <c r="B538" t="s">
        <v>2635</v>
      </c>
      <c r="C538" t="s">
        <v>4475</v>
      </c>
      <c r="D538" t="s">
        <v>4476</v>
      </c>
      <c r="E538" t="s">
        <v>1121</v>
      </c>
      <c r="F538" t="s">
        <v>4477</v>
      </c>
      <c r="G538">
        <v>15.178578699999999</v>
      </c>
      <c r="H538">
        <v>120.51842980000001</v>
      </c>
      <c r="I538" t="s">
        <v>4478</v>
      </c>
      <c r="J538" t="s">
        <v>4479</v>
      </c>
      <c r="K538" t="s">
        <v>4480</v>
      </c>
      <c r="L538" t="s">
        <v>4481</v>
      </c>
      <c r="M538" t="s">
        <v>4482</v>
      </c>
      <c r="N538" t="s">
        <v>398</v>
      </c>
      <c r="O538" t="s">
        <v>4483</v>
      </c>
      <c r="P538">
        <v>342</v>
      </c>
      <c r="Q538" t="s">
        <v>4484</v>
      </c>
    </row>
    <row r="539" spans="1:17" x14ac:dyDescent="0.3">
      <c r="A539" t="s">
        <v>4485</v>
      </c>
      <c r="B539" t="s">
        <v>4486</v>
      </c>
      <c r="C539" t="s">
        <v>4487</v>
      </c>
      <c r="D539" t="s">
        <v>4488</v>
      </c>
      <c r="E539" t="s">
        <v>1110</v>
      </c>
      <c r="F539" t="s">
        <v>4489</v>
      </c>
      <c r="G539">
        <v>15.178578699999999</v>
      </c>
      <c r="H539">
        <v>120.51842980000001</v>
      </c>
      <c r="I539" t="s">
        <v>4490</v>
      </c>
      <c r="J539">
        <v>9190638584</v>
      </c>
      <c r="K539" t="s">
        <v>4491</v>
      </c>
      <c r="L539" t="s">
        <v>4492</v>
      </c>
      <c r="M539" t="s">
        <v>4493</v>
      </c>
      <c r="N539" t="s">
        <v>369</v>
      </c>
      <c r="O539" t="s">
        <v>370</v>
      </c>
      <c r="P539">
        <v>2425</v>
      </c>
      <c r="Q539" t="s">
        <v>4494</v>
      </c>
    </row>
    <row r="540" spans="1:17" x14ac:dyDescent="0.3">
      <c r="A540" t="s">
        <v>4495</v>
      </c>
      <c r="B540" t="s">
        <v>3568</v>
      </c>
      <c r="C540" t="s">
        <v>4496</v>
      </c>
      <c r="D540" t="s">
        <v>4497</v>
      </c>
      <c r="E540" t="s">
        <v>212</v>
      </c>
      <c r="F540" t="s">
        <v>4498</v>
      </c>
      <c r="I540" t="s">
        <v>4499</v>
      </c>
      <c r="J540" t="s">
        <v>4500</v>
      </c>
      <c r="K540" t="s">
        <v>4501</v>
      </c>
      <c r="L540">
        <v>1234</v>
      </c>
      <c r="M540" t="s">
        <v>4502</v>
      </c>
      <c r="N540" t="s">
        <v>398</v>
      </c>
      <c r="O540" t="s">
        <v>752</v>
      </c>
      <c r="P540">
        <v>2361</v>
      </c>
    </row>
    <row r="541" spans="1:17" x14ac:dyDescent="0.3">
      <c r="A541" t="s">
        <v>4503</v>
      </c>
      <c r="B541" t="s">
        <v>200</v>
      </c>
      <c r="C541" t="s">
        <v>4504</v>
      </c>
      <c r="D541" t="s">
        <v>4505</v>
      </c>
      <c r="E541" t="s">
        <v>4506</v>
      </c>
      <c r="F541" t="s">
        <v>4507</v>
      </c>
      <c r="G541">
        <v>15.178574419050801</v>
      </c>
      <c r="H541">
        <v>120.518367290496</v>
      </c>
      <c r="I541" t="s">
        <v>4508</v>
      </c>
      <c r="J541" t="s">
        <v>4509</v>
      </c>
      <c r="K541" t="s">
        <v>4510</v>
      </c>
      <c r="L541">
        <v>1234</v>
      </c>
      <c r="M541" t="s">
        <v>4511</v>
      </c>
      <c r="N541" t="s">
        <v>369</v>
      </c>
      <c r="O541" t="s">
        <v>370</v>
      </c>
      <c r="P541">
        <v>2540</v>
      </c>
    </row>
    <row r="542" spans="1:17" x14ac:dyDescent="0.3">
      <c r="A542" t="s">
        <v>4512</v>
      </c>
      <c r="B542" t="s">
        <v>4513</v>
      </c>
      <c r="C542" t="s">
        <v>4514</v>
      </c>
      <c r="D542" t="s">
        <v>4515</v>
      </c>
      <c r="E542" t="s">
        <v>2048</v>
      </c>
      <c r="F542" t="s">
        <v>4516</v>
      </c>
      <c r="G542">
        <v>15.178578699999999</v>
      </c>
      <c r="H542">
        <v>120.51842980000001</v>
      </c>
      <c r="I542" t="s">
        <v>4517</v>
      </c>
      <c r="J542" t="s">
        <v>4518</v>
      </c>
      <c r="K542" t="s">
        <v>4519</v>
      </c>
      <c r="L542" t="s">
        <v>4520</v>
      </c>
      <c r="M542" t="s">
        <v>4521</v>
      </c>
      <c r="N542" t="s">
        <v>57</v>
      </c>
      <c r="O542" t="s">
        <v>256</v>
      </c>
      <c r="P542">
        <v>728</v>
      </c>
    </row>
    <row r="543" spans="1:17" x14ac:dyDescent="0.3">
      <c r="A543" t="s">
        <v>4522</v>
      </c>
      <c r="B543" t="s">
        <v>1442</v>
      </c>
      <c r="C543" t="s">
        <v>4523</v>
      </c>
      <c r="D543" t="s">
        <v>4524</v>
      </c>
      <c r="E543" t="s">
        <v>4525</v>
      </c>
      <c r="F543" t="s">
        <v>4526</v>
      </c>
      <c r="I543" t="s">
        <v>4527</v>
      </c>
      <c r="J543" t="s">
        <v>4528</v>
      </c>
      <c r="K543" t="s">
        <v>4529</v>
      </c>
      <c r="L543">
        <v>1234</v>
      </c>
      <c r="M543" t="s">
        <v>482</v>
      </c>
      <c r="N543" t="s">
        <v>4530</v>
      </c>
      <c r="O543" t="s">
        <v>441</v>
      </c>
      <c r="P543">
        <v>1612</v>
      </c>
    </row>
    <row r="544" spans="1:17" x14ac:dyDescent="0.3">
      <c r="A544" t="s">
        <v>4531</v>
      </c>
      <c r="B544" t="s">
        <v>4532</v>
      </c>
      <c r="C544" t="s">
        <v>4533</v>
      </c>
      <c r="D544" t="s">
        <v>4534</v>
      </c>
      <c r="E544" t="s">
        <v>4535</v>
      </c>
      <c r="F544" t="s">
        <v>4536</v>
      </c>
      <c r="G544">
        <v>15.178578699999999</v>
      </c>
      <c r="H544">
        <v>120.51842980000001</v>
      </c>
      <c r="I544" t="s">
        <v>4537</v>
      </c>
      <c r="J544" t="s">
        <v>4538</v>
      </c>
      <c r="K544" t="s">
        <v>4539</v>
      </c>
      <c r="L544">
        <v>1234</v>
      </c>
      <c r="M544" t="s">
        <v>4540</v>
      </c>
      <c r="N544" t="s">
        <v>16</v>
      </c>
      <c r="O544" t="s">
        <v>17</v>
      </c>
      <c r="P544">
        <v>203</v>
      </c>
      <c r="Q544" t="s">
        <v>4541</v>
      </c>
    </row>
    <row r="545" spans="1:17" x14ac:dyDescent="0.3">
      <c r="A545" t="s">
        <v>4542</v>
      </c>
      <c r="B545" t="s">
        <v>326</v>
      </c>
      <c r="C545" t="s">
        <v>4543</v>
      </c>
      <c r="D545" t="s">
        <v>4544</v>
      </c>
      <c r="E545" t="s">
        <v>4545</v>
      </c>
      <c r="F545" t="s">
        <v>4546</v>
      </c>
      <c r="G545">
        <v>15.177352578032799</v>
      </c>
      <c r="H545">
        <v>120.519332885742</v>
      </c>
      <c r="I545" t="s">
        <v>4547</v>
      </c>
      <c r="J545">
        <v>4990397</v>
      </c>
      <c r="K545" t="s">
        <v>4548</v>
      </c>
      <c r="L545">
        <v>1234</v>
      </c>
      <c r="M545" t="s">
        <v>139</v>
      </c>
      <c r="N545" t="s">
        <v>336</v>
      </c>
      <c r="O545" t="s">
        <v>515</v>
      </c>
      <c r="P545">
        <v>2562</v>
      </c>
    </row>
    <row r="546" spans="1:17" x14ac:dyDescent="0.3">
      <c r="K546" t="s">
        <v>4549</v>
      </c>
      <c r="L546" t="s">
        <v>4550</v>
      </c>
      <c r="P546" t="s">
        <v>4551</v>
      </c>
    </row>
    <row r="547" spans="1:17" x14ac:dyDescent="0.3">
      <c r="A547" t="s">
        <v>4552</v>
      </c>
      <c r="B547" t="s">
        <v>2582</v>
      </c>
      <c r="C547" t="s">
        <v>273</v>
      </c>
      <c r="D547" t="s">
        <v>4553</v>
      </c>
      <c r="E547" t="s">
        <v>4554</v>
      </c>
      <c r="F547" t="s">
        <v>4555</v>
      </c>
      <c r="G547">
        <v>15.178595128159699</v>
      </c>
      <c r="H547">
        <v>120.527379512786</v>
      </c>
      <c r="I547" t="s">
        <v>4556</v>
      </c>
      <c r="J547" t="s">
        <v>4557</v>
      </c>
      <c r="K547" t="s">
        <v>4558</v>
      </c>
      <c r="L547" t="s">
        <v>4559</v>
      </c>
      <c r="M547" t="s">
        <v>405</v>
      </c>
      <c r="N547" t="s">
        <v>336</v>
      </c>
      <c r="O547" t="s">
        <v>441</v>
      </c>
      <c r="P547">
        <v>2139</v>
      </c>
      <c r="Q547" t="s">
        <v>4560</v>
      </c>
    </row>
    <row r="548" spans="1:17" x14ac:dyDescent="0.3">
      <c r="A548" t="s">
        <v>4561</v>
      </c>
      <c r="B548" t="s">
        <v>20</v>
      </c>
      <c r="C548" t="s">
        <v>21</v>
      </c>
      <c r="D548" t="s">
        <v>22</v>
      </c>
      <c r="E548" t="s">
        <v>3363</v>
      </c>
      <c r="F548" t="s">
        <v>4562</v>
      </c>
      <c r="G548">
        <v>0</v>
      </c>
      <c r="H548">
        <v>0</v>
      </c>
      <c r="I548" t="s">
        <v>25</v>
      </c>
      <c r="J548" t="s">
        <v>26</v>
      </c>
      <c r="K548" t="s">
        <v>42</v>
      </c>
      <c r="L548" t="s">
        <v>43</v>
      </c>
      <c r="M548" t="s">
        <v>44</v>
      </c>
      <c r="N548" t="s">
        <v>45</v>
      </c>
      <c r="O548" t="s">
        <v>46</v>
      </c>
      <c r="P548">
        <v>2303</v>
      </c>
    </row>
    <row r="549" spans="1:17" x14ac:dyDescent="0.3">
      <c r="A549" t="s">
        <v>4563</v>
      </c>
      <c r="B549" t="s">
        <v>4564</v>
      </c>
      <c r="C549" t="s">
        <v>4565</v>
      </c>
      <c r="D549" t="s">
        <v>4566</v>
      </c>
      <c r="E549" t="s">
        <v>4567</v>
      </c>
      <c r="F549" t="s">
        <v>4568</v>
      </c>
      <c r="G549">
        <v>2.5212764739332801E-4</v>
      </c>
      <c r="H549">
        <v>0</v>
      </c>
      <c r="I549" t="s">
        <v>4569</v>
      </c>
      <c r="J549" t="s">
        <v>4570</v>
      </c>
      <c r="K549" t="s">
        <v>4571</v>
      </c>
      <c r="L549">
        <v>1234</v>
      </c>
      <c r="M549" t="s">
        <v>4287</v>
      </c>
      <c r="N549" t="s">
        <v>57</v>
      </c>
      <c r="O549" t="s">
        <v>58</v>
      </c>
      <c r="P549">
        <v>2577</v>
      </c>
      <c r="Q549" t="s">
        <v>4572</v>
      </c>
    </row>
    <row r="550" spans="1:17" x14ac:dyDescent="0.3">
      <c r="A550" t="s">
        <v>4563</v>
      </c>
      <c r="B550" t="s">
        <v>4564</v>
      </c>
      <c r="C550" t="s">
        <v>4565</v>
      </c>
      <c r="D550" t="s">
        <v>4566</v>
      </c>
      <c r="E550" t="s">
        <v>4567</v>
      </c>
      <c r="F550" t="s">
        <v>4568</v>
      </c>
      <c r="G550">
        <v>2.5212764739332801E-4</v>
      </c>
      <c r="H550">
        <v>0</v>
      </c>
      <c r="I550" t="s">
        <v>4569</v>
      </c>
      <c r="J550" t="s">
        <v>4570</v>
      </c>
      <c r="K550" t="s">
        <v>4571</v>
      </c>
      <c r="L550">
        <v>1234</v>
      </c>
      <c r="M550" t="s">
        <v>4287</v>
      </c>
      <c r="N550" t="s">
        <v>57</v>
      </c>
      <c r="O550" t="s">
        <v>58</v>
      </c>
      <c r="P550">
        <v>2577</v>
      </c>
      <c r="Q550" t="s">
        <v>4572</v>
      </c>
    </row>
    <row r="551" spans="1:17" x14ac:dyDescent="0.3">
      <c r="A551" t="s">
        <v>4573</v>
      </c>
      <c r="B551" t="s">
        <v>4574</v>
      </c>
      <c r="C551" t="s">
        <v>4118</v>
      </c>
      <c r="D551" t="s">
        <v>4575</v>
      </c>
      <c r="E551" t="s">
        <v>4576</v>
      </c>
      <c r="F551" t="s">
        <v>4577</v>
      </c>
      <c r="I551" t="s">
        <v>4578</v>
      </c>
      <c r="J551" t="s">
        <v>4579</v>
      </c>
      <c r="K551" t="s">
        <v>4580</v>
      </c>
      <c r="L551">
        <v>52006</v>
      </c>
      <c r="M551" t="s">
        <v>4581</v>
      </c>
      <c r="N551" t="s">
        <v>16</v>
      </c>
      <c r="O551" t="s">
        <v>292</v>
      </c>
      <c r="P551">
        <v>1313</v>
      </c>
      <c r="Q551" t="s">
        <v>4582</v>
      </c>
    </row>
    <row r="552" spans="1:17" x14ac:dyDescent="0.3">
      <c r="A552" t="s">
        <v>4583</v>
      </c>
      <c r="B552" t="s">
        <v>1817</v>
      </c>
      <c r="C552" t="s">
        <v>4584</v>
      </c>
      <c r="D552" t="s">
        <v>4585</v>
      </c>
      <c r="E552" t="s">
        <v>4586</v>
      </c>
      <c r="F552" t="s">
        <v>4587</v>
      </c>
      <c r="G552">
        <v>19.311143355064601</v>
      </c>
      <c r="H552">
        <v>77.343749999999901</v>
      </c>
      <c r="I552" t="s">
        <v>4588</v>
      </c>
      <c r="J552" t="s">
        <v>4589</v>
      </c>
      <c r="K552" t="s">
        <v>4590</v>
      </c>
      <c r="L552">
        <v>1234</v>
      </c>
      <c r="M552" t="s">
        <v>4591</v>
      </c>
      <c r="N552" t="s">
        <v>369</v>
      </c>
      <c r="O552" t="s">
        <v>2181</v>
      </c>
      <c r="P552">
        <v>2584</v>
      </c>
    </row>
    <row r="553" spans="1:17" x14ac:dyDescent="0.3">
      <c r="A553" t="s">
        <v>4592</v>
      </c>
      <c r="B553" t="s">
        <v>4593</v>
      </c>
      <c r="C553" t="s">
        <v>4594</v>
      </c>
      <c r="D553" t="s">
        <v>4595</v>
      </c>
      <c r="E553" t="s">
        <v>3153</v>
      </c>
      <c r="F553" t="s">
        <v>4596</v>
      </c>
      <c r="G553">
        <v>15.172050948700999</v>
      </c>
      <c r="H553">
        <v>120.53122043609601</v>
      </c>
      <c r="I553" t="s">
        <v>4597</v>
      </c>
      <c r="J553" t="s">
        <v>4598</v>
      </c>
      <c r="K553" t="s">
        <v>4599</v>
      </c>
      <c r="L553">
        <v>1234</v>
      </c>
      <c r="M553" t="s">
        <v>4600</v>
      </c>
      <c r="N553" t="s">
        <v>398</v>
      </c>
      <c r="O553" t="s">
        <v>1326</v>
      </c>
      <c r="P553">
        <v>2457</v>
      </c>
    </row>
    <row r="554" spans="1:17" x14ac:dyDescent="0.3">
      <c r="A554" t="s">
        <v>4601</v>
      </c>
      <c r="B554" t="s">
        <v>4602</v>
      </c>
      <c r="C554" t="s">
        <v>327</v>
      </c>
      <c r="D554" t="s">
        <v>3017</v>
      </c>
      <c r="E554" t="s">
        <v>4603</v>
      </c>
      <c r="F554" t="s">
        <v>4604</v>
      </c>
      <c r="G554">
        <v>0</v>
      </c>
      <c r="H554">
        <v>0</v>
      </c>
      <c r="I554" t="s">
        <v>4605</v>
      </c>
      <c r="J554">
        <v>9178635819</v>
      </c>
      <c r="K554" t="s">
        <v>4606</v>
      </c>
      <c r="L554">
        <v>71977</v>
      </c>
      <c r="M554" t="s">
        <v>4446</v>
      </c>
      <c r="N554" t="s">
        <v>369</v>
      </c>
      <c r="O554" t="s">
        <v>370</v>
      </c>
      <c r="P554">
        <v>2160</v>
      </c>
    </row>
    <row r="555" spans="1:17" x14ac:dyDescent="0.3">
      <c r="A555" t="s">
        <v>4607</v>
      </c>
      <c r="B555" t="s">
        <v>326</v>
      </c>
      <c r="C555" t="s">
        <v>4608</v>
      </c>
      <c r="D555" t="s">
        <v>4609</v>
      </c>
      <c r="E555" t="s">
        <v>4610</v>
      </c>
      <c r="F555" t="s">
        <v>4611</v>
      </c>
      <c r="G555">
        <v>0</v>
      </c>
      <c r="H555">
        <v>0</v>
      </c>
      <c r="I555" t="s">
        <v>4612</v>
      </c>
      <c r="J555" t="s">
        <v>4613</v>
      </c>
      <c r="K555" t="s">
        <v>4614</v>
      </c>
      <c r="L555" t="s">
        <v>4615</v>
      </c>
      <c r="M555" t="s">
        <v>4616</v>
      </c>
      <c r="N555" t="s">
        <v>16</v>
      </c>
      <c r="O555" t="s">
        <v>292</v>
      </c>
      <c r="P555">
        <v>2101</v>
      </c>
      <c r="Q555" t="s">
        <v>4617</v>
      </c>
    </row>
    <row r="556" spans="1:17" x14ac:dyDescent="0.3">
      <c r="A556" t="s">
        <v>4607</v>
      </c>
      <c r="B556" t="s">
        <v>326</v>
      </c>
      <c r="C556" t="s">
        <v>4608</v>
      </c>
      <c r="D556" t="s">
        <v>4609</v>
      </c>
      <c r="E556" t="s">
        <v>4610</v>
      </c>
      <c r="F556" t="s">
        <v>4611</v>
      </c>
      <c r="G556">
        <v>0</v>
      </c>
      <c r="H556">
        <v>0</v>
      </c>
      <c r="I556" t="s">
        <v>4612</v>
      </c>
      <c r="J556" t="s">
        <v>4613</v>
      </c>
      <c r="K556" t="s">
        <v>4614</v>
      </c>
      <c r="L556" t="s">
        <v>4615</v>
      </c>
      <c r="M556" t="s">
        <v>4591</v>
      </c>
      <c r="N556" t="s">
        <v>16</v>
      </c>
      <c r="O556" t="s">
        <v>292</v>
      </c>
      <c r="P556">
        <v>2101</v>
      </c>
      <c r="Q556" t="s">
        <v>4617</v>
      </c>
    </row>
    <row r="557" spans="1:17" x14ac:dyDescent="0.3">
      <c r="A557" t="s">
        <v>4116</v>
      </c>
      <c r="B557" t="s">
        <v>4117</v>
      </c>
      <c r="C557" t="s">
        <v>4118</v>
      </c>
      <c r="D557" t="s">
        <v>4119</v>
      </c>
      <c r="E557" t="s">
        <v>1572</v>
      </c>
      <c r="F557" t="s">
        <v>4120</v>
      </c>
      <c r="G557">
        <v>15.171885270640599</v>
      </c>
      <c r="H557">
        <v>120.57237625122001</v>
      </c>
      <c r="I557" t="s">
        <v>4121</v>
      </c>
      <c r="J557" t="s">
        <v>4122</v>
      </c>
      <c r="K557" t="s">
        <v>4123</v>
      </c>
      <c r="L557" t="s">
        <v>4124</v>
      </c>
      <c r="M557" t="s">
        <v>4618</v>
      </c>
      <c r="N557" t="s">
        <v>16</v>
      </c>
      <c r="O557" t="s">
        <v>292</v>
      </c>
      <c r="P557">
        <v>200</v>
      </c>
    </row>
    <row r="558" spans="1:17" x14ac:dyDescent="0.3">
      <c r="A558" t="s">
        <v>953</v>
      </c>
      <c r="B558" t="s">
        <v>954</v>
      </c>
      <c r="C558" t="s">
        <v>955</v>
      </c>
      <c r="D558" t="s">
        <v>956</v>
      </c>
      <c r="E558" t="s">
        <v>957</v>
      </c>
      <c r="F558" t="s">
        <v>958</v>
      </c>
      <c r="G558">
        <v>15.178578699999999</v>
      </c>
      <c r="H558">
        <v>120.51842980000001</v>
      </c>
      <c r="I558" t="s">
        <v>959</v>
      </c>
      <c r="J558" t="s">
        <v>960</v>
      </c>
      <c r="K558" t="s">
        <v>961</v>
      </c>
      <c r="L558" t="s">
        <v>962</v>
      </c>
      <c r="M558" t="s">
        <v>4337</v>
      </c>
      <c r="N558" t="s">
        <v>16</v>
      </c>
      <c r="O558" t="s">
        <v>412</v>
      </c>
      <c r="P558">
        <v>1319</v>
      </c>
    </row>
    <row r="559" spans="1:17" x14ac:dyDescent="0.3">
      <c r="A559" t="s">
        <v>4619</v>
      </c>
      <c r="B559" t="s">
        <v>4620</v>
      </c>
      <c r="C559" t="s">
        <v>2345</v>
      </c>
      <c r="E559" t="s">
        <v>3153</v>
      </c>
      <c r="F559" t="s">
        <v>4621</v>
      </c>
      <c r="I559" t="s">
        <v>4622</v>
      </c>
      <c r="J559">
        <v>9391519672</v>
      </c>
      <c r="K559" t="s">
        <v>4623</v>
      </c>
      <c r="L559" t="s">
        <v>4624</v>
      </c>
      <c r="M559" t="s">
        <v>645</v>
      </c>
      <c r="N559" t="s">
        <v>710</v>
      </c>
      <c r="O559" t="s">
        <v>1932</v>
      </c>
      <c r="P559">
        <v>2588</v>
      </c>
      <c r="Q559" t="s">
        <v>4625</v>
      </c>
    </row>
    <row r="560" spans="1:17" x14ac:dyDescent="0.3">
      <c r="A560" t="s">
        <v>233</v>
      </c>
      <c r="B560" t="s">
        <v>234</v>
      </c>
      <c r="C560" t="s">
        <v>235</v>
      </c>
      <c r="D560" t="s">
        <v>236</v>
      </c>
      <c r="E560" t="s">
        <v>237</v>
      </c>
      <c r="F560" t="s">
        <v>238</v>
      </c>
      <c r="G560">
        <v>15.178578699999999</v>
      </c>
      <c r="H560">
        <v>120.51842980000001</v>
      </c>
      <c r="I560" t="s">
        <v>239</v>
      </c>
      <c r="J560" t="s">
        <v>240</v>
      </c>
      <c r="K560" t="s">
        <v>241</v>
      </c>
      <c r="L560">
        <v>1234</v>
      </c>
      <c r="M560" t="s">
        <v>242</v>
      </c>
      <c r="N560" t="s">
        <v>243</v>
      </c>
      <c r="O560" t="s">
        <v>244</v>
      </c>
      <c r="P560">
        <v>576</v>
      </c>
    </row>
    <row r="561" spans="1:17" x14ac:dyDescent="0.3">
      <c r="A561" t="s">
        <v>526</v>
      </c>
      <c r="B561" t="s">
        <v>527</v>
      </c>
      <c r="C561" t="s">
        <v>528</v>
      </c>
      <c r="D561" t="s">
        <v>529</v>
      </c>
      <c r="E561" t="s">
        <v>530</v>
      </c>
      <c r="F561" t="s">
        <v>531</v>
      </c>
      <c r="G561">
        <v>15.178578699999999</v>
      </c>
      <c r="H561">
        <v>120.51842980000001</v>
      </c>
      <c r="I561" t="s">
        <v>532</v>
      </c>
      <c r="J561">
        <v>9326260573</v>
      </c>
      <c r="K561" t="s">
        <v>533</v>
      </c>
      <c r="L561">
        <v>1234</v>
      </c>
      <c r="M561" s="1">
        <v>43814</v>
      </c>
      <c r="N561" t="s">
        <v>16</v>
      </c>
      <c r="O561" t="s">
        <v>292</v>
      </c>
      <c r="P561">
        <v>1432</v>
      </c>
      <c r="Q561" t="s">
        <v>535</v>
      </c>
    </row>
    <row r="562" spans="1:17" x14ac:dyDescent="0.3">
      <c r="A562" t="s">
        <v>1839</v>
      </c>
      <c r="B562" t="s">
        <v>1180</v>
      </c>
      <c r="C562" t="s">
        <v>1181</v>
      </c>
      <c r="D562" t="s">
        <v>1182</v>
      </c>
      <c r="E562" t="s">
        <v>1183</v>
      </c>
      <c r="F562" t="s">
        <v>1840</v>
      </c>
      <c r="G562">
        <v>15.178578699999999</v>
      </c>
      <c r="H562">
        <v>120.51842980000001</v>
      </c>
      <c r="I562" t="s">
        <v>1185</v>
      </c>
      <c r="J562" t="s">
        <v>1186</v>
      </c>
      <c r="K562" t="s">
        <v>1841</v>
      </c>
      <c r="L562">
        <v>1234</v>
      </c>
      <c r="M562" s="1">
        <v>43361</v>
      </c>
      <c r="N562" t="s">
        <v>398</v>
      </c>
      <c r="O562" t="s">
        <v>1228</v>
      </c>
      <c r="P562">
        <v>1382</v>
      </c>
    </row>
    <row r="563" spans="1:17" x14ac:dyDescent="0.3">
      <c r="A563" t="s">
        <v>4626</v>
      </c>
      <c r="B563" t="s">
        <v>4627</v>
      </c>
      <c r="C563" t="s">
        <v>4628</v>
      </c>
      <c r="D563" t="s">
        <v>4629</v>
      </c>
      <c r="E563" t="s">
        <v>4630</v>
      </c>
      <c r="F563" t="s">
        <v>4631</v>
      </c>
      <c r="G563">
        <v>0</v>
      </c>
      <c r="H563">
        <v>0</v>
      </c>
      <c r="I563" t="s">
        <v>4632</v>
      </c>
      <c r="J563">
        <v>9171037779</v>
      </c>
      <c r="K563" t="s">
        <v>4633</v>
      </c>
      <c r="L563" t="s">
        <v>4634</v>
      </c>
      <c r="M563" t="s">
        <v>645</v>
      </c>
      <c r="N563" t="s">
        <v>336</v>
      </c>
      <c r="O563" t="s">
        <v>515</v>
      </c>
      <c r="P563">
        <v>2549</v>
      </c>
    </row>
    <row r="564" spans="1:17" x14ac:dyDescent="0.3">
      <c r="A564" t="s">
        <v>873</v>
      </c>
      <c r="B564" t="s">
        <v>874</v>
      </c>
      <c r="C564" t="s">
        <v>875</v>
      </c>
      <c r="D564" t="s">
        <v>876</v>
      </c>
      <c r="E564" t="s">
        <v>877</v>
      </c>
      <c r="F564" t="s">
        <v>878</v>
      </c>
      <c r="G564">
        <v>15.170829069951701</v>
      </c>
      <c r="H564">
        <v>120.529042482376</v>
      </c>
      <c r="I564" t="s">
        <v>879</v>
      </c>
      <c r="J564" t="s">
        <v>880</v>
      </c>
      <c r="K564" t="s">
        <v>881</v>
      </c>
      <c r="L564" t="s">
        <v>882</v>
      </c>
      <c r="M564" s="1">
        <v>43008</v>
      </c>
      <c r="N564" t="s">
        <v>871</v>
      </c>
      <c r="O564" t="s">
        <v>458</v>
      </c>
      <c r="P564">
        <v>2243</v>
      </c>
      <c r="Q564" t="s">
        <v>883</v>
      </c>
    </row>
    <row r="565" spans="1:17" x14ac:dyDescent="0.3">
      <c r="A565" t="s">
        <v>4635</v>
      </c>
      <c r="B565" t="s">
        <v>236</v>
      </c>
      <c r="C565" t="s">
        <v>4636</v>
      </c>
      <c r="D565" t="s">
        <v>4292</v>
      </c>
      <c r="E565" t="s">
        <v>859</v>
      </c>
      <c r="F565" t="s">
        <v>4637</v>
      </c>
      <c r="G565">
        <v>0</v>
      </c>
      <c r="H565">
        <v>0</v>
      </c>
      <c r="I565" t="s">
        <v>4638</v>
      </c>
      <c r="J565">
        <v>9756659258</v>
      </c>
      <c r="K565" t="s">
        <v>4639</v>
      </c>
      <c r="L565">
        <v>1234</v>
      </c>
      <c r="M565" s="1">
        <v>42613</v>
      </c>
      <c r="N565" t="s">
        <v>398</v>
      </c>
      <c r="O565" t="s">
        <v>582</v>
      </c>
      <c r="P565">
        <v>1571</v>
      </c>
    </row>
    <row r="566" spans="1:17" x14ac:dyDescent="0.3">
      <c r="A566" t="s">
        <v>4640</v>
      </c>
      <c r="B566" t="s">
        <v>4641</v>
      </c>
      <c r="C566" t="s">
        <v>4642</v>
      </c>
      <c r="D566" t="s">
        <v>4643</v>
      </c>
      <c r="E566" t="s">
        <v>1080</v>
      </c>
      <c r="F566" t="s">
        <v>4644</v>
      </c>
      <c r="G566">
        <v>-4.2915344236620903E-5</v>
      </c>
      <c r="H566">
        <v>4.4417381286620998E-3</v>
      </c>
      <c r="I566" t="s">
        <v>4645</v>
      </c>
      <c r="J566">
        <v>9977208857</v>
      </c>
      <c r="K566" t="s">
        <v>4646</v>
      </c>
      <c r="L566" t="s">
        <v>4647</v>
      </c>
      <c r="M566" t="s">
        <v>645</v>
      </c>
      <c r="N566" t="s">
        <v>243</v>
      </c>
      <c r="O566" t="s">
        <v>280</v>
      </c>
      <c r="P566">
        <v>2564</v>
      </c>
      <c r="Q566" t="s">
        <v>4648</v>
      </c>
    </row>
    <row r="567" spans="1:17" x14ac:dyDescent="0.3">
      <c r="A567" t="s">
        <v>4649</v>
      </c>
      <c r="B567" t="s">
        <v>4650</v>
      </c>
      <c r="C567" t="s">
        <v>4651</v>
      </c>
      <c r="D567" t="s">
        <v>1968</v>
      </c>
      <c r="E567" t="s">
        <v>4652</v>
      </c>
      <c r="F567" t="s">
        <v>4653</v>
      </c>
      <c r="G567">
        <v>0</v>
      </c>
      <c r="H567">
        <v>0</v>
      </c>
      <c r="I567" t="s">
        <v>4654</v>
      </c>
      <c r="J567">
        <v>9054568225</v>
      </c>
      <c r="K567" t="s">
        <v>4655</v>
      </c>
      <c r="L567" t="s">
        <v>4656</v>
      </c>
      <c r="M567" t="s">
        <v>645</v>
      </c>
      <c r="N567" t="s">
        <v>30</v>
      </c>
      <c r="O567" t="s">
        <v>4657</v>
      </c>
      <c r="P567">
        <v>2467</v>
      </c>
      <c r="Q567" t="s">
        <v>4658</v>
      </c>
    </row>
    <row r="568" spans="1:17" x14ac:dyDescent="0.3">
      <c r="A568" t="s">
        <v>3234</v>
      </c>
      <c r="B568" t="s">
        <v>603</v>
      </c>
      <c r="C568" t="s">
        <v>3235</v>
      </c>
      <c r="D568" t="s">
        <v>3236</v>
      </c>
      <c r="E568" t="s">
        <v>363</v>
      </c>
      <c r="F568" t="s">
        <v>3237</v>
      </c>
      <c r="G568">
        <v>15.178578699999999</v>
      </c>
      <c r="H568">
        <v>120.51842980000001</v>
      </c>
      <c r="I568" t="s">
        <v>3238</v>
      </c>
      <c r="J568">
        <f>-45- 599-6836</f>
        <v>-7480</v>
      </c>
      <c r="K568" t="s">
        <v>3239</v>
      </c>
      <c r="L568">
        <v>1234</v>
      </c>
      <c r="M568" s="1">
        <v>42735</v>
      </c>
      <c r="N568" t="s">
        <v>16</v>
      </c>
      <c r="O568" t="s">
        <v>292</v>
      </c>
      <c r="P568">
        <v>145</v>
      </c>
    </row>
    <row r="569" spans="1:17" x14ac:dyDescent="0.3">
      <c r="A569" t="s">
        <v>1751</v>
      </c>
      <c r="B569" t="s">
        <v>1752</v>
      </c>
      <c r="C569" t="s">
        <v>1753</v>
      </c>
      <c r="D569" t="s">
        <v>1555</v>
      </c>
      <c r="E569" t="s">
        <v>201</v>
      </c>
      <c r="F569" t="s">
        <v>1754</v>
      </c>
      <c r="G569">
        <v>15.178578699999999</v>
      </c>
      <c r="H569">
        <v>120.51842980000001</v>
      </c>
      <c r="I569" t="s">
        <v>1755</v>
      </c>
      <c r="J569">
        <v>9954937899</v>
      </c>
      <c r="K569" t="s">
        <v>1756</v>
      </c>
      <c r="L569">
        <v>1234</v>
      </c>
      <c r="M569" s="1">
        <v>43643</v>
      </c>
      <c r="N569" t="s">
        <v>779</v>
      </c>
      <c r="O569" t="s">
        <v>1757</v>
      </c>
      <c r="P569">
        <v>1052</v>
      </c>
    </row>
    <row r="570" spans="1:17" x14ac:dyDescent="0.3">
      <c r="A570" t="s">
        <v>4659</v>
      </c>
      <c r="B570" t="s">
        <v>4660</v>
      </c>
      <c r="C570" t="s">
        <v>4661</v>
      </c>
      <c r="D570" t="s">
        <v>1571</v>
      </c>
      <c r="E570" t="s">
        <v>329</v>
      </c>
      <c r="F570" t="s">
        <v>4662</v>
      </c>
      <c r="G570">
        <v>15.198666476725901</v>
      </c>
      <c r="H570">
        <v>120.52250325679699</v>
      </c>
      <c r="I570" t="s">
        <v>4663</v>
      </c>
      <c r="J570" t="s">
        <v>4664</v>
      </c>
      <c r="K570" t="s">
        <v>4665</v>
      </c>
      <c r="L570">
        <v>1234</v>
      </c>
      <c r="M570" t="s">
        <v>645</v>
      </c>
      <c r="N570" t="s">
        <v>779</v>
      </c>
      <c r="O570" t="s">
        <v>780</v>
      </c>
      <c r="P570">
        <v>2615</v>
      </c>
    </row>
    <row r="571" spans="1:17" x14ac:dyDescent="0.3">
      <c r="A571" t="s">
        <v>1450</v>
      </c>
      <c r="B571" t="s">
        <v>1451</v>
      </c>
      <c r="C571" t="s">
        <v>1452</v>
      </c>
      <c r="D571" t="s">
        <v>1453</v>
      </c>
      <c r="E571" t="s">
        <v>1454</v>
      </c>
      <c r="F571" t="s">
        <v>1455</v>
      </c>
      <c r="G571">
        <v>15.178578699999999</v>
      </c>
      <c r="H571">
        <v>120.51842980000001</v>
      </c>
      <c r="I571" t="s">
        <v>1456</v>
      </c>
      <c r="J571" t="s">
        <v>1457</v>
      </c>
      <c r="K571" t="s">
        <v>1458</v>
      </c>
      <c r="L571">
        <v>1234</v>
      </c>
      <c r="M571" s="1">
        <v>42809</v>
      </c>
      <c r="N571" t="s">
        <v>16</v>
      </c>
      <c r="O571" t="s">
        <v>17</v>
      </c>
      <c r="P571">
        <v>2592</v>
      </c>
    </row>
    <row r="572" spans="1:17" x14ac:dyDescent="0.3">
      <c r="A572" t="s">
        <v>1876</v>
      </c>
      <c r="B572" t="s">
        <v>1877</v>
      </c>
      <c r="C572" t="s">
        <v>1878</v>
      </c>
      <c r="D572" t="s">
        <v>1879</v>
      </c>
      <c r="E572" t="s">
        <v>1880</v>
      </c>
      <c r="F572" t="s">
        <v>1881</v>
      </c>
      <c r="G572">
        <v>15.178578699999999</v>
      </c>
      <c r="H572">
        <v>120.51842980000001</v>
      </c>
      <c r="I572" t="s">
        <v>1882</v>
      </c>
      <c r="J572" t="s">
        <v>1883</v>
      </c>
      <c r="K572" t="s">
        <v>1884</v>
      </c>
      <c r="L572">
        <v>1234</v>
      </c>
      <c r="M572" s="1">
        <v>42961</v>
      </c>
      <c r="N572" t="s">
        <v>931</v>
      </c>
      <c r="O572" t="s">
        <v>1885</v>
      </c>
      <c r="P572">
        <v>384</v>
      </c>
    </row>
    <row r="573" spans="1:17" x14ac:dyDescent="0.3">
      <c r="A573" t="s">
        <v>1876</v>
      </c>
      <c r="B573" t="s">
        <v>1877</v>
      </c>
      <c r="C573" t="s">
        <v>1878</v>
      </c>
      <c r="D573" t="s">
        <v>1879</v>
      </c>
      <c r="E573" t="s">
        <v>1880</v>
      </c>
      <c r="F573" t="s">
        <v>1881</v>
      </c>
      <c r="G573">
        <v>15.178578699999999</v>
      </c>
      <c r="H573">
        <v>120.51842980000001</v>
      </c>
      <c r="I573" t="s">
        <v>1882</v>
      </c>
      <c r="J573" t="s">
        <v>1883</v>
      </c>
      <c r="K573" t="s">
        <v>1884</v>
      </c>
      <c r="L573">
        <v>1234</v>
      </c>
      <c r="M573" s="1">
        <v>42961</v>
      </c>
      <c r="N573" t="s">
        <v>931</v>
      </c>
      <c r="O573" t="s">
        <v>1885</v>
      </c>
      <c r="P573">
        <v>384</v>
      </c>
    </row>
    <row r="574" spans="1:17" x14ac:dyDescent="0.3">
      <c r="A574" t="s">
        <v>4474</v>
      </c>
      <c r="B574" t="s">
        <v>2635</v>
      </c>
      <c r="C574" t="s">
        <v>4475</v>
      </c>
      <c r="D574" t="s">
        <v>4476</v>
      </c>
      <c r="E574" t="s">
        <v>1121</v>
      </c>
      <c r="F574" t="s">
        <v>4477</v>
      </c>
      <c r="G574">
        <v>15.178578699999999</v>
      </c>
      <c r="H574">
        <v>120.51842980000001</v>
      </c>
      <c r="I574" t="s">
        <v>4478</v>
      </c>
      <c r="J574" t="s">
        <v>4479</v>
      </c>
      <c r="K574" t="s">
        <v>4480</v>
      </c>
      <c r="L574" t="s">
        <v>4481</v>
      </c>
      <c r="M574" t="s">
        <v>4482</v>
      </c>
      <c r="N574" t="s">
        <v>398</v>
      </c>
      <c r="O574" t="s">
        <v>4483</v>
      </c>
      <c r="P574">
        <v>342</v>
      </c>
      <c r="Q574" t="s">
        <v>4484</v>
      </c>
    </row>
    <row r="575" spans="1:17" x14ac:dyDescent="0.3">
      <c r="A575" t="s">
        <v>610</v>
      </c>
      <c r="B575" t="s">
        <v>163</v>
      </c>
      <c r="C575" t="s">
        <v>611</v>
      </c>
      <c r="D575" t="s">
        <v>612</v>
      </c>
      <c r="E575" t="s">
        <v>613</v>
      </c>
      <c r="F575" t="s">
        <v>614</v>
      </c>
      <c r="G575">
        <v>15.168840913157201</v>
      </c>
      <c r="H575">
        <v>120.567054748535</v>
      </c>
      <c r="I575" t="s">
        <v>615</v>
      </c>
      <c r="J575" t="s">
        <v>616</v>
      </c>
      <c r="K575" t="s">
        <v>617</v>
      </c>
      <c r="L575">
        <v>1234</v>
      </c>
      <c r="M575" s="1">
        <v>43588</v>
      </c>
      <c r="N575" t="s">
        <v>16</v>
      </c>
      <c r="O575" t="s">
        <v>292</v>
      </c>
      <c r="P575">
        <v>1</v>
      </c>
    </row>
    <row r="576" spans="1:17" x14ac:dyDescent="0.3">
      <c r="A576" t="s">
        <v>3649</v>
      </c>
      <c r="B576" t="s">
        <v>3650</v>
      </c>
      <c r="C576" t="s">
        <v>3651</v>
      </c>
      <c r="D576" t="s">
        <v>3652</v>
      </c>
      <c r="E576" t="s">
        <v>643</v>
      </c>
      <c r="F576" t="s">
        <v>3653</v>
      </c>
      <c r="G576">
        <v>15.1791542733318</v>
      </c>
      <c r="H576">
        <v>120.50931215286199</v>
      </c>
      <c r="I576" t="s">
        <v>3654</v>
      </c>
      <c r="J576" t="s">
        <v>3655</v>
      </c>
      <c r="K576" t="s">
        <v>3656</v>
      </c>
      <c r="L576">
        <v>1234</v>
      </c>
      <c r="M576" s="1">
        <v>43732</v>
      </c>
      <c r="N576" t="s">
        <v>398</v>
      </c>
      <c r="O576" t="s">
        <v>582</v>
      </c>
      <c r="P576">
        <v>1755</v>
      </c>
    </row>
    <row r="577" spans="1:17" x14ac:dyDescent="0.3">
      <c r="A577" t="s">
        <v>4666</v>
      </c>
      <c r="B577" t="s">
        <v>687</v>
      </c>
      <c r="C577" t="s">
        <v>688</v>
      </c>
      <c r="D577" t="s">
        <v>689</v>
      </c>
      <c r="E577" t="s">
        <v>342</v>
      </c>
      <c r="F577" t="s">
        <v>4667</v>
      </c>
      <c r="G577">
        <v>0</v>
      </c>
      <c r="H577">
        <v>0</v>
      </c>
      <c r="I577" t="s">
        <v>690</v>
      </c>
      <c r="J577">
        <v>9175928858</v>
      </c>
      <c r="K577" t="s">
        <v>4668</v>
      </c>
      <c r="L577" t="s">
        <v>4669</v>
      </c>
      <c r="M577" s="1">
        <v>42886</v>
      </c>
      <c r="N577" t="s">
        <v>871</v>
      </c>
      <c r="O577" t="s">
        <v>458</v>
      </c>
      <c r="P577">
        <v>1585</v>
      </c>
      <c r="Q577" t="s">
        <v>4670</v>
      </c>
    </row>
    <row r="578" spans="1:17" x14ac:dyDescent="0.3">
      <c r="A578" t="s">
        <v>4671</v>
      </c>
      <c r="B578" t="s">
        <v>4672</v>
      </c>
      <c r="C578" t="s">
        <v>4673</v>
      </c>
      <c r="D578" t="s">
        <v>4674</v>
      </c>
      <c r="E578" t="s">
        <v>4675</v>
      </c>
      <c r="F578" t="s">
        <v>4676</v>
      </c>
      <c r="G578">
        <v>0</v>
      </c>
      <c r="H578">
        <v>0</v>
      </c>
      <c r="I578" t="s">
        <v>4677</v>
      </c>
      <c r="J578">
        <v>9173088947</v>
      </c>
      <c r="K578" t="s">
        <v>4678</v>
      </c>
      <c r="L578">
        <v>1234</v>
      </c>
      <c r="M578" t="s">
        <v>645</v>
      </c>
      <c r="N578" t="s">
        <v>398</v>
      </c>
      <c r="O578" t="s">
        <v>399</v>
      </c>
      <c r="P578">
        <v>2603</v>
      </c>
    </row>
    <row r="579" spans="1:17" x14ac:dyDescent="0.3">
      <c r="A579" t="s">
        <v>4679</v>
      </c>
      <c r="B579" t="s">
        <v>974</v>
      </c>
      <c r="C579" t="s">
        <v>4680</v>
      </c>
      <c r="D579" t="s">
        <v>3317</v>
      </c>
      <c r="E579" t="s">
        <v>4681</v>
      </c>
      <c r="F579" t="s">
        <v>4682</v>
      </c>
      <c r="I579" t="s">
        <v>4683</v>
      </c>
      <c r="J579">
        <v>9428363779</v>
      </c>
      <c r="K579" t="s">
        <v>4684</v>
      </c>
      <c r="L579">
        <v>1234</v>
      </c>
      <c r="P579" t="s">
        <v>4267</v>
      </c>
    </row>
    <row r="580" spans="1:17" x14ac:dyDescent="0.3">
      <c r="A580" t="s">
        <v>4685</v>
      </c>
      <c r="F580" t="s">
        <v>4686</v>
      </c>
      <c r="K580" t="s">
        <v>4687</v>
      </c>
      <c r="L580">
        <v>1234</v>
      </c>
      <c r="P580" t="s">
        <v>4267</v>
      </c>
    </row>
    <row r="581" spans="1:17" x14ac:dyDescent="0.3">
      <c r="A581" t="s">
        <v>4688</v>
      </c>
      <c r="F581" t="s">
        <v>4689</v>
      </c>
      <c r="K581" t="s">
        <v>4690</v>
      </c>
      <c r="L581" t="s">
        <v>4691</v>
      </c>
      <c r="P581" t="s">
        <v>4267</v>
      </c>
      <c r="Q581" t="s">
        <v>4692</v>
      </c>
    </row>
    <row r="582" spans="1:17" x14ac:dyDescent="0.3">
      <c r="A582" t="s">
        <v>3241</v>
      </c>
      <c r="B582" t="s">
        <v>3242</v>
      </c>
      <c r="C582" t="s">
        <v>3243</v>
      </c>
      <c r="D582" t="s">
        <v>3244</v>
      </c>
      <c r="E582" t="s">
        <v>2253</v>
      </c>
      <c r="F582" t="s">
        <v>3245</v>
      </c>
      <c r="G582">
        <v>15.178578699999999</v>
      </c>
      <c r="H582">
        <v>120.51842980000001</v>
      </c>
      <c r="I582" t="s">
        <v>3246</v>
      </c>
      <c r="J582" t="s">
        <v>3247</v>
      </c>
      <c r="K582" t="s">
        <v>3248</v>
      </c>
      <c r="L582" t="s">
        <v>3249</v>
      </c>
      <c r="M582" s="1">
        <v>42800</v>
      </c>
      <c r="N582" t="s">
        <v>398</v>
      </c>
      <c r="O582" t="s">
        <v>853</v>
      </c>
      <c r="P582">
        <v>1607</v>
      </c>
      <c r="Q582" t="s">
        <v>3250</v>
      </c>
    </row>
    <row r="583" spans="1:17" x14ac:dyDescent="0.3">
      <c r="A583" t="s">
        <v>4693</v>
      </c>
      <c r="B583" t="s">
        <v>4694</v>
      </c>
      <c r="C583" t="s">
        <v>4695</v>
      </c>
      <c r="D583" t="s">
        <v>4696</v>
      </c>
      <c r="E583" t="s">
        <v>1311</v>
      </c>
      <c r="F583" t="s">
        <v>4697</v>
      </c>
      <c r="G583">
        <v>15.176343000672199</v>
      </c>
      <c r="H583">
        <v>120.521103143692</v>
      </c>
      <c r="I583" t="s">
        <v>4698</v>
      </c>
      <c r="J583">
        <v>9177065882</v>
      </c>
      <c r="K583" t="s">
        <v>4699</v>
      </c>
      <c r="L583" t="s">
        <v>4700</v>
      </c>
      <c r="M583" t="s">
        <v>645</v>
      </c>
      <c r="N583" t="s">
        <v>243</v>
      </c>
      <c r="O583" t="s">
        <v>4701</v>
      </c>
      <c r="P583">
        <v>2543</v>
      </c>
      <c r="Q583" t="s">
        <v>4702</v>
      </c>
    </row>
    <row r="584" spans="1:17" x14ac:dyDescent="0.3">
      <c r="A584" t="s">
        <v>2846</v>
      </c>
      <c r="B584" t="s">
        <v>2847</v>
      </c>
      <c r="C584" t="s">
        <v>2848</v>
      </c>
      <c r="D584" t="s">
        <v>2849</v>
      </c>
      <c r="E584" t="s">
        <v>2850</v>
      </c>
      <c r="F584" t="s">
        <v>2851</v>
      </c>
      <c r="G584">
        <v>15.178578699999999</v>
      </c>
      <c r="H584">
        <v>120.51842980000001</v>
      </c>
      <c r="I584" t="s">
        <v>2852</v>
      </c>
      <c r="J584" t="s">
        <v>2853</v>
      </c>
      <c r="K584" t="s">
        <v>2854</v>
      </c>
      <c r="L584" t="s">
        <v>2855</v>
      </c>
      <c r="M584" s="1">
        <v>42725</v>
      </c>
      <c r="N584" t="s">
        <v>16</v>
      </c>
      <c r="O584" t="s">
        <v>292</v>
      </c>
      <c r="P584">
        <v>807</v>
      </c>
    </row>
    <row r="585" spans="1:17" x14ac:dyDescent="0.3">
      <c r="A585" t="s">
        <v>631</v>
      </c>
      <c r="B585" t="s">
        <v>632</v>
      </c>
      <c r="C585" t="s">
        <v>633</v>
      </c>
      <c r="D585" t="s">
        <v>634</v>
      </c>
      <c r="E585" t="s">
        <v>635</v>
      </c>
      <c r="F585" t="s">
        <v>636</v>
      </c>
      <c r="G585">
        <v>11.523087506868499</v>
      </c>
      <c r="H585">
        <v>122.51953124999901</v>
      </c>
      <c r="I585" t="s">
        <v>637</v>
      </c>
      <c r="J585" t="s">
        <v>638</v>
      </c>
      <c r="K585" t="s">
        <v>639</v>
      </c>
      <c r="L585">
        <v>1234</v>
      </c>
      <c r="M585" s="1">
        <v>43008</v>
      </c>
      <c r="N585" t="s">
        <v>336</v>
      </c>
      <c r="O585" t="s">
        <v>441</v>
      </c>
      <c r="P585">
        <v>1478</v>
      </c>
    </row>
    <row r="586" spans="1:17" x14ac:dyDescent="0.3">
      <c r="A586" t="s">
        <v>3994</v>
      </c>
      <c r="B586" t="s">
        <v>944</v>
      </c>
      <c r="C586" t="s">
        <v>3995</v>
      </c>
      <c r="D586" t="s">
        <v>3996</v>
      </c>
      <c r="E586" t="s">
        <v>286</v>
      </c>
      <c r="F586" t="s">
        <v>3997</v>
      </c>
      <c r="G586">
        <v>15.178578699999999</v>
      </c>
      <c r="H586">
        <v>120.51842980000001</v>
      </c>
      <c r="I586" t="s">
        <v>3998</v>
      </c>
      <c r="J586">
        <v>5998458</v>
      </c>
      <c r="K586" t="s">
        <v>3999</v>
      </c>
      <c r="L586">
        <v>1234</v>
      </c>
      <c r="M586" s="1">
        <v>43325</v>
      </c>
      <c r="N586" t="s">
        <v>779</v>
      </c>
      <c r="O586" t="s">
        <v>780</v>
      </c>
      <c r="P586">
        <v>1943</v>
      </c>
    </row>
    <row r="587" spans="1:17" x14ac:dyDescent="0.3">
      <c r="A587" t="s">
        <v>1432</v>
      </c>
      <c r="B587" t="s">
        <v>1433</v>
      </c>
      <c r="C587" t="s">
        <v>1434</v>
      </c>
      <c r="D587" t="s">
        <v>1435</v>
      </c>
      <c r="E587" t="s">
        <v>1276</v>
      </c>
      <c r="F587" t="s">
        <v>1436</v>
      </c>
      <c r="G587">
        <v>15.178578699999999</v>
      </c>
      <c r="H587">
        <v>120.51842980000001</v>
      </c>
      <c r="I587" t="s">
        <v>1437</v>
      </c>
      <c r="J587">
        <v>9174654195</v>
      </c>
      <c r="K587" t="s">
        <v>1438</v>
      </c>
      <c r="L587">
        <v>1234</v>
      </c>
      <c r="M587" s="1">
        <v>42947</v>
      </c>
      <c r="N587" t="s">
        <v>398</v>
      </c>
      <c r="O587" t="s">
        <v>685</v>
      </c>
      <c r="P587">
        <v>2193</v>
      </c>
    </row>
    <row r="588" spans="1:17" x14ac:dyDescent="0.3">
      <c r="A588" t="s">
        <v>4015</v>
      </c>
      <c r="B588" t="s">
        <v>678</v>
      </c>
      <c r="C588" t="s">
        <v>4016</v>
      </c>
      <c r="D588" t="s">
        <v>4017</v>
      </c>
      <c r="E588" t="s">
        <v>643</v>
      </c>
      <c r="F588" t="s">
        <v>4018</v>
      </c>
      <c r="G588">
        <v>15.1944007630679</v>
      </c>
      <c r="H588">
        <v>120.53279221057799</v>
      </c>
      <c r="I588" t="s">
        <v>645</v>
      </c>
      <c r="J588" t="s">
        <v>4019</v>
      </c>
      <c r="K588" t="s">
        <v>4020</v>
      </c>
      <c r="L588" t="s">
        <v>4021</v>
      </c>
      <c r="M588" s="1">
        <v>43628</v>
      </c>
      <c r="N588" t="s">
        <v>16</v>
      </c>
      <c r="O588" t="s">
        <v>17</v>
      </c>
      <c r="P588">
        <v>1161</v>
      </c>
      <c r="Q588" t="s">
        <v>4022</v>
      </c>
    </row>
    <row r="589" spans="1:17" x14ac:dyDescent="0.3">
      <c r="A589" t="s">
        <v>4703</v>
      </c>
      <c r="B589" t="s">
        <v>4704</v>
      </c>
      <c r="C589" t="s">
        <v>260</v>
      </c>
      <c r="D589" t="s">
        <v>4705</v>
      </c>
      <c r="E589" t="s">
        <v>1080</v>
      </c>
      <c r="F589" t="s">
        <v>4706</v>
      </c>
      <c r="G589">
        <v>0</v>
      </c>
      <c r="H589">
        <v>0</v>
      </c>
      <c r="I589" t="s">
        <v>4707</v>
      </c>
      <c r="J589" t="s">
        <v>4708</v>
      </c>
      <c r="K589" t="s">
        <v>4709</v>
      </c>
      <c r="L589">
        <v>1234</v>
      </c>
      <c r="M589" t="s">
        <v>645</v>
      </c>
      <c r="N589" t="s">
        <v>151</v>
      </c>
      <c r="O589" t="s">
        <v>152</v>
      </c>
      <c r="P589">
        <v>2593</v>
      </c>
    </row>
    <row r="590" spans="1:17" x14ac:dyDescent="0.3">
      <c r="A590" t="s">
        <v>3707</v>
      </c>
      <c r="B590" t="s">
        <v>3708</v>
      </c>
      <c r="C590" t="s">
        <v>3709</v>
      </c>
      <c r="D590" t="s">
        <v>3710</v>
      </c>
      <c r="E590" t="s">
        <v>477</v>
      </c>
      <c r="F590" t="s">
        <v>3711</v>
      </c>
      <c r="G590">
        <v>15.178578699999999</v>
      </c>
      <c r="H590">
        <v>120.51842980000001</v>
      </c>
      <c r="I590" t="s">
        <v>3712</v>
      </c>
      <c r="J590" t="s">
        <v>3713</v>
      </c>
      <c r="K590" t="s">
        <v>3714</v>
      </c>
      <c r="L590" t="s">
        <v>3715</v>
      </c>
      <c r="M590" s="1">
        <v>43190</v>
      </c>
      <c r="N590" t="s">
        <v>16</v>
      </c>
      <c r="O590" t="s">
        <v>292</v>
      </c>
      <c r="P590">
        <v>174</v>
      </c>
    </row>
    <row r="591" spans="1:17" x14ac:dyDescent="0.3">
      <c r="A591" t="s">
        <v>1568</v>
      </c>
      <c r="B591" t="s">
        <v>1569</v>
      </c>
      <c r="C591" t="s">
        <v>1570</v>
      </c>
      <c r="D591" t="s">
        <v>1571</v>
      </c>
      <c r="E591" t="s">
        <v>1572</v>
      </c>
      <c r="F591" t="s">
        <v>1573</v>
      </c>
      <c r="G591">
        <v>15.178578699999999</v>
      </c>
      <c r="H591">
        <v>120.51842980000001</v>
      </c>
      <c r="I591" t="s">
        <v>1574</v>
      </c>
      <c r="J591">
        <v>9176241992</v>
      </c>
      <c r="K591" t="s">
        <v>1575</v>
      </c>
      <c r="L591" t="s">
        <v>1576</v>
      </c>
      <c r="M591" s="1">
        <v>43782</v>
      </c>
      <c r="N591" t="s">
        <v>16</v>
      </c>
      <c r="O591" t="s">
        <v>412</v>
      </c>
      <c r="P591">
        <v>54</v>
      </c>
    </row>
    <row r="592" spans="1:17" x14ac:dyDescent="0.3">
      <c r="A592" t="s">
        <v>3108</v>
      </c>
      <c r="B592" t="s">
        <v>326</v>
      </c>
      <c r="C592" t="s">
        <v>3109</v>
      </c>
      <c r="D592" t="s">
        <v>944</v>
      </c>
      <c r="E592" t="s">
        <v>1284</v>
      </c>
      <c r="F592" t="s">
        <v>3110</v>
      </c>
      <c r="G592">
        <v>15.178578699999999</v>
      </c>
      <c r="H592">
        <v>120.51842980000001</v>
      </c>
      <c r="I592" t="s">
        <v>3111</v>
      </c>
      <c r="J592" t="s">
        <v>3112</v>
      </c>
      <c r="K592" t="s">
        <v>3113</v>
      </c>
      <c r="L592" t="s">
        <v>3114</v>
      </c>
      <c r="M592" s="1">
        <v>43789</v>
      </c>
      <c r="N592" t="s">
        <v>16</v>
      </c>
      <c r="O592" t="s">
        <v>292</v>
      </c>
      <c r="P592">
        <v>2466</v>
      </c>
      <c r="Q592" t="s">
        <v>3115</v>
      </c>
    </row>
    <row r="593" spans="1:17" x14ac:dyDescent="0.3">
      <c r="A593" t="s">
        <v>4710</v>
      </c>
      <c r="B593" t="s">
        <v>4711</v>
      </c>
      <c r="C593" t="s">
        <v>4712</v>
      </c>
      <c r="D593" t="s">
        <v>4713</v>
      </c>
      <c r="E593" t="s">
        <v>4714</v>
      </c>
      <c r="F593" t="s">
        <v>4715</v>
      </c>
      <c r="G593" t="s">
        <v>4716</v>
      </c>
      <c r="H593" t="s">
        <v>4716</v>
      </c>
      <c r="I593" t="s">
        <v>4717</v>
      </c>
      <c r="J593">
        <v>9060390911</v>
      </c>
      <c r="K593" t="s">
        <v>4718</v>
      </c>
      <c r="L593" t="s">
        <v>4719</v>
      </c>
      <c r="M593" t="s">
        <v>645</v>
      </c>
      <c r="N593" t="s">
        <v>57</v>
      </c>
      <c r="O593" t="s">
        <v>58</v>
      </c>
      <c r="P593">
        <v>2610</v>
      </c>
      <c r="Q593" t="s">
        <v>4720</v>
      </c>
    </row>
    <row r="594" spans="1:17" x14ac:dyDescent="0.3">
      <c r="A594" t="s">
        <v>4721</v>
      </c>
      <c r="B594" t="s">
        <v>4722</v>
      </c>
      <c r="C594" t="s">
        <v>4723</v>
      </c>
      <c r="D594" t="s">
        <v>4724</v>
      </c>
      <c r="E594" t="s">
        <v>77</v>
      </c>
      <c r="F594" t="s">
        <v>4725</v>
      </c>
      <c r="G594">
        <v>0</v>
      </c>
      <c r="H594">
        <v>0</v>
      </c>
      <c r="I594" t="s">
        <v>4726</v>
      </c>
      <c r="J594">
        <v>9285240522</v>
      </c>
      <c r="K594" t="s">
        <v>4727</v>
      </c>
      <c r="L594">
        <v>1234</v>
      </c>
      <c r="M594" t="s">
        <v>645</v>
      </c>
      <c r="N594" t="s">
        <v>369</v>
      </c>
      <c r="O594" t="s">
        <v>370</v>
      </c>
      <c r="P594">
        <v>2544</v>
      </c>
    </row>
    <row r="595" spans="1:17" x14ac:dyDescent="0.3">
      <c r="A595" t="s">
        <v>4728</v>
      </c>
      <c r="B595" t="s">
        <v>792</v>
      </c>
      <c r="C595" t="s">
        <v>4729</v>
      </c>
      <c r="D595" t="s">
        <v>4730</v>
      </c>
      <c r="E595" t="s">
        <v>1393</v>
      </c>
      <c r="F595" t="s">
        <v>4731</v>
      </c>
      <c r="G595">
        <v>0</v>
      </c>
      <c r="H595">
        <v>0</v>
      </c>
      <c r="I595" t="s">
        <v>4732</v>
      </c>
      <c r="J595">
        <f>-45- 599-3487- 599-3284- -639177748025</f>
        <v>639177740011</v>
      </c>
      <c r="K595" t="s">
        <v>4733</v>
      </c>
      <c r="L595">
        <v>1234</v>
      </c>
      <c r="M595" t="s">
        <v>645</v>
      </c>
      <c r="N595" t="s">
        <v>4734</v>
      </c>
      <c r="O595" t="s">
        <v>441</v>
      </c>
      <c r="P595">
        <v>2015</v>
      </c>
      <c r="Q595" t="s">
        <v>4735</v>
      </c>
    </row>
    <row r="596" spans="1:17" x14ac:dyDescent="0.3">
      <c r="A596" t="s">
        <v>2327</v>
      </c>
      <c r="B596" t="s">
        <v>585</v>
      </c>
      <c r="C596" t="s">
        <v>2328</v>
      </c>
      <c r="D596" t="s">
        <v>2329</v>
      </c>
      <c r="E596" t="s">
        <v>286</v>
      </c>
      <c r="F596" t="s">
        <v>2330</v>
      </c>
      <c r="G596">
        <v>15.178578699999999</v>
      </c>
      <c r="H596">
        <v>120.51842980000001</v>
      </c>
      <c r="I596" t="s">
        <v>2331</v>
      </c>
      <c r="J596">
        <v>9198729910</v>
      </c>
      <c r="K596" t="s">
        <v>2332</v>
      </c>
      <c r="L596">
        <v>1234</v>
      </c>
      <c r="M596" s="1">
        <v>42185</v>
      </c>
      <c r="N596" t="s">
        <v>398</v>
      </c>
      <c r="O596" t="s">
        <v>685</v>
      </c>
      <c r="P596">
        <v>1706</v>
      </c>
    </row>
    <row r="597" spans="1:17" x14ac:dyDescent="0.3">
      <c r="A597" t="s">
        <v>4736</v>
      </c>
      <c r="B597" t="s">
        <v>4737</v>
      </c>
      <c r="C597" t="s">
        <v>4738</v>
      </c>
      <c r="D597" t="s">
        <v>1734</v>
      </c>
      <c r="E597" t="s">
        <v>4739</v>
      </c>
      <c r="F597" t="s">
        <v>4740</v>
      </c>
      <c r="G597">
        <v>0</v>
      </c>
      <c r="H597">
        <v>0</v>
      </c>
      <c r="I597" t="s">
        <v>4741</v>
      </c>
      <c r="J597">
        <v>9177093286</v>
      </c>
      <c r="K597" t="s">
        <v>4742</v>
      </c>
      <c r="L597">
        <v>1234</v>
      </c>
      <c r="M597" t="s">
        <v>645</v>
      </c>
      <c r="N597" t="s">
        <v>779</v>
      </c>
      <c r="O597" t="s">
        <v>4743</v>
      </c>
      <c r="P597">
        <v>1106</v>
      </c>
    </row>
    <row r="598" spans="1:17" x14ac:dyDescent="0.3">
      <c r="A598" t="s">
        <v>4744</v>
      </c>
      <c r="B598" t="s">
        <v>4745</v>
      </c>
      <c r="C598" t="s">
        <v>4746</v>
      </c>
      <c r="D598" t="s">
        <v>1709</v>
      </c>
      <c r="E598" t="s">
        <v>1985</v>
      </c>
      <c r="F598" t="s">
        <v>4747</v>
      </c>
      <c r="G598">
        <v>0</v>
      </c>
      <c r="H598">
        <v>0</v>
      </c>
      <c r="I598" t="s">
        <v>4748</v>
      </c>
      <c r="J598">
        <f>-45- 499-5165</f>
        <v>-5709</v>
      </c>
      <c r="K598" t="s">
        <v>4749</v>
      </c>
      <c r="L598" t="s">
        <v>4750</v>
      </c>
      <c r="M598" t="s">
        <v>645</v>
      </c>
      <c r="N598" t="s">
        <v>304</v>
      </c>
      <c r="O598" t="s">
        <v>305</v>
      </c>
      <c r="P598">
        <v>2612</v>
      </c>
    </row>
    <row r="599" spans="1:17" x14ac:dyDescent="0.3">
      <c r="A599" t="s">
        <v>4751</v>
      </c>
      <c r="K599" t="s">
        <v>4752</v>
      </c>
      <c r="L599">
        <v>1234</v>
      </c>
      <c r="P599" t="s">
        <v>4267</v>
      </c>
    </row>
    <row r="600" spans="1:17" x14ac:dyDescent="0.3">
      <c r="A600" t="s">
        <v>4753</v>
      </c>
      <c r="B600" t="s">
        <v>4754</v>
      </c>
      <c r="C600" t="s">
        <v>4755</v>
      </c>
      <c r="D600" t="s">
        <v>4756</v>
      </c>
      <c r="E600" t="s">
        <v>262</v>
      </c>
      <c r="F600" t="s">
        <v>4757</v>
      </c>
      <c r="G600">
        <v>0</v>
      </c>
      <c r="H600">
        <v>0</v>
      </c>
      <c r="I600" t="s">
        <v>4758</v>
      </c>
      <c r="J600">
        <v>9171089614</v>
      </c>
      <c r="K600" t="s">
        <v>4759</v>
      </c>
      <c r="L600">
        <v>1234</v>
      </c>
      <c r="M600" t="s">
        <v>645</v>
      </c>
      <c r="N600" t="s">
        <v>398</v>
      </c>
      <c r="O600" t="s">
        <v>399</v>
      </c>
      <c r="P600">
        <v>2547</v>
      </c>
    </row>
    <row r="601" spans="1:17" x14ac:dyDescent="0.3">
      <c r="A601" t="s">
        <v>4760</v>
      </c>
      <c r="B601" t="s">
        <v>351</v>
      </c>
      <c r="C601" t="s">
        <v>973</v>
      </c>
      <c r="D601" t="s">
        <v>3095</v>
      </c>
      <c r="E601" t="s">
        <v>477</v>
      </c>
      <c r="F601" t="s">
        <v>4761</v>
      </c>
      <c r="G601">
        <v>0</v>
      </c>
      <c r="H601">
        <v>0</v>
      </c>
      <c r="I601" t="s">
        <v>3451</v>
      </c>
      <c r="J601">
        <v>4993268</v>
      </c>
      <c r="K601" t="s">
        <v>4762</v>
      </c>
      <c r="L601" t="s">
        <v>4763</v>
      </c>
      <c r="M601" t="s">
        <v>645</v>
      </c>
      <c r="N601" t="s">
        <v>369</v>
      </c>
      <c r="O601" t="s">
        <v>370</v>
      </c>
      <c r="P601">
        <v>2589</v>
      </c>
    </row>
    <row r="602" spans="1:17" x14ac:dyDescent="0.3">
      <c r="A602" t="s">
        <v>4764</v>
      </c>
      <c r="B602" t="s">
        <v>326</v>
      </c>
      <c r="C602" t="s">
        <v>75</v>
      </c>
      <c r="D602" t="s">
        <v>372</v>
      </c>
      <c r="E602" t="s">
        <v>402</v>
      </c>
      <c r="F602" t="s">
        <v>4765</v>
      </c>
      <c r="G602">
        <v>0</v>
      </c>
      <c r="H602">
        <v>0</v>
      </c>
      <c r="I602" t="s">
        <v>1341</v>
      </c>
      <c r="J602">
        <v>9752563874</v>
      </c>
      <c r="K602" t="s">
        <v>4766</v>
      </c>
      <c r="L602">
        <v>1234</v>
      </c>
      <c r="M602" t="s">
        <v>645</v>
      </c>
      <c r="N602" t="s">
        <v>336</v>
      </c>
      <c r="O602" t="s">
        <v>515</v>
      </c>
      <c r="P602">
        <v>2097</v>
      </c>
      <c r="Q602" t="s">
        <v>4767</v>
      </c>
    </row>
    <row r="603" spans="1:17" x14ac:dyDescent="0.3">
      <c r="A603" t="s">
        <v>4768</v>
      </c>
      <c r="B603" t="s">
        <v>620</v>
      </c>
      <c r="C603" t="s">
        <v>4769</v>
      </c>
      <c r="D603" t="s">
        <v>2304</v>
      </c>
      <c r="E603" t="s">
        <v>4770</v>
      </c>
      <c r="F603" t="s">
        <v>4771</v>
      </c>
      <c r="G603">
        <v>15.1737905604913</v>
      </c>
      <c r="H603">
        <v>120.531392097473</v>
      </c>
      <c r="I603" t="s">
        <v>4772</v>
      </c>
      <c r="J603">
        <v>9682828411</v>
      </c>
      <c r="K603" t="s">
        <v>4773</v>
      </c>
      <c r="L603">
        <v>1234</v>
      </c>
      <c r="M603" t="s">
        <v>645</v>
      </c>
      <c r="N603" t="s">
        <v>1326</v>
      </c>
      <c r="O603" t="s">
        <v>4774</v>
      </c>
      <c r="P603">
        <v>2599</v>
      </c>
      <c r="Q603" t="s">
        <v>4775</v>
      </c>
    </row>
    <row r="604" spans="1:17" x14ac:dyDescent="0.3">
      <c r="A604" t="s">
        <v>4776</v>
      </c>
      <c r="B604" t="s">
        <v>4777</v>
      </c>
      <c r="C604" t="s">
        <v>4778</v>
      </c>
      <c r="D604" t="s">
        <v>703</v>
      </c>
      <c r="E604" t="s">
        <v>1062</v>
      </c>
      <c r="F604" t="s">
        <v>4779</v>
      </c>
      <c r="G604">
        <v>0</v>
      </c>
      <c r="H604">
        <v>0</v>
      </c>
      <c r="I604" t="s">
        <v>4780</v>
      </c>
      <c r="J604">
        <v>9171805745</v>
      </c>
      <c r="K604" t="s">
        <v>4781</v>
      </c>
      <c r="L604">
        <v>1234</v>
      </c>
      <c r="M604" t="s">
        <v>645</v>
      </c>
      <c r="N604" t="s">
        <v>369</v>
      </c>
      <c r="O604" t="s">
        <v>370</v>
      </c>
      <c r="P604">
        <v>2605</v>
      </c>
    </row>
    <row r="605" spans="1:17" x14ac:dyDescent="0.3">
      <c r="A605" t="s">
        <v>4782</v>
      </c>
      <c r="B605" t="s">
        <v>4783</v>
      </c>
      <c r="C605" t="s">
        <v>4784</v>
      </c>
      <c r="D605" t="s">
        <v>4785</v>
      </c>
      <c r="E605" t="s">
        <v>4786</v>
      </c>
      <c r="F605" t="s">
        <v>4787</v>
      </c>
      <c r="G605">
        <v>0</v>
      </c>
      <c r="H605">
        <v>0</v>
      </c>
      <c r="I605" t="s">
        <v>4788</v>
      </c>
      <c r="J605">
        <v>9999932778</v>
      </c>
      <c r="K605" t="s">
        <v>4789</v>
      </c>
      <c r="L605" t="s">
        <v>4790</v>
      </c>
      <c r="M605" t="s">
        <v>645</v>
      </c>
      <c r="N605" t="s">
        <v>369</v>
      </c>
      <c r="O605" t="s">
        <v>4791</v>
      </c>
      <c r="P605">
        <v>2609</v>
      </c>
      <c r="Q605" t="s">
        <v>4792</v>
      </c>
    </row>
    <row r="606" spans="1:17" x14ac:dyDescent="0.3">
      <c r="A606" t="s">
        <v>4793</v>
      </c>
      <c r="B606" t="s">
        <v>4794</v>
      </c>
      <c r="C606" t="s">
        <v>4795</v>
      </c>
      <c r="D606" t="s">
        <v>520</v>
      </c>
      <c r="E606" t="s">
        <v>4796</v>
      </c>
      <c r="F606" t="s">
        <v>4797</v>
      </c>
      <c r="G606">
        <v>0</v>
      </c>
      <c r="H606">
        <v>0</v>
      </c>
      <c r="I606" t="s">
        <v>4798</v>
      </c>
      <c r="J606">
        <v>-639772362291</v>
      </c>
      <c r="K606" t="s">
        <v>4799</v>
      </c>
      <c r="L606">
        <v>1234</v>
      </c>
      <c r="M606" t="s">
        <v>645</v>
      </c>
      <c r="N606" t="s">
        <v>16</v>
      </c>
      <c r="O606" t="s">
        <v>292</v>
      </c>
      <c r="P606">
        <v>2628</v>
      </c>
      <c r="Q606" t="s">
        <v>4800</v>
      </c>
    </row>
    <row r="607" spans="1:17" x14ac:dyDescent="0.3">
      <c r="A607" t="s">
        <v>4801</v>
      </c>
      <c r="B607" t="s">
        <v>4802</v>
      </c>
      <c r="C607" t="s">
        <v>1434</v>
      </c>
      <c r="D607" t="s">
        <v>4803</v>
      </c>
      <c r="E607" t="s">
        <v>4804</v>
      </c>
      <c r="F607" t="s">
        <v>4805</v>
      </c>
      <c r="G607">
        <v>1.9226073857954599E-2</v>
      </c>
      <c r="H607">
        <v>0.608367919921875</v>
      </c>
      <c r="I607" t="s">
        <v>4806</v>
      </c>
      <c r="J607">
        <v>9177123309</v>
      </c>
      <c r="K607" t="s">
        <v>4807</v>
      </c>
      <c r="L607">
        <v>1234</v>
      </c>
      <c r="M607" t="s">
        <v>645</v>
      </c>
      <c r="N607" t="s">
        <v>83</v>
      </c>
      <c r="O607" t="s">
        <v>2181</v>
      </c>
      <c r="P607">
        <v>2619</v>
      </c>
      <c r="Q607" t="s">
        <v>4808</v>
      </c>
    </row>
    <row r="608" spans="1:17" x14ac:dyDescent="0.3">
      <c r="A608" t="s">
        <v>4809</v>
      </c>
      <c r="F608" t="s">
        <v>4810</v>
      </c>
      <c r="K608" t="s">
        <v>4811</v>
      </c>
      <c r="L608" t="s">
        <v>4812</v>
      </c>
      <c r="M608" t="s">
        <v>4521</v>
      </c>
      <c r="N608" t="s">
        <v>16</v>
      </c>
      <c r="O608" t="s">
        <v>412</v>
      </c>
      <c r="P608">
        <v>2546</v>
      </c>
    </row>
    <row r="609" spans="1:17" x14ac:dyDescent="0.3">
      <c r="A609" t="s">
        <v>4813</v>
      </c>
      <c r="B609" t="s">
        <v>4303</v>
      </c>
      <c r="C609" t="s">
        <v>4304</v>
      </c>
      <c r="D609" t="s">
        <v>4305</v>
      </c>
      <c r="E609" t="s">
        <v>4814</v>
      </c>
      <c r="F609" t="s">
        <v>4815</v>
      </c>
      <c r="G609">
        <v>0</v>
      </c>
      <c r="H609">
        <v>0</v>
      </c>
      <c r="I609" t="s">
        <v>4816</v>
      </c>
      <c r="J609" t="s">
        <v>4817</v>
      </c>
      <c r="K609" t="s">
        <v>4818</v>
      </c>
      <c r="L609">
        <v>1234</v>
      </c>
      <c r="M609" t="s">
        <v>645</v>
      </c>
      <c r="N609" t="s">
        <v>45</v>
      </c>
      <c r="O609" t="s">
        <v>269</v>
      </c>
      <c r="P609">
        <v>1066</v>
      </c>
    </row>
    <row r="610" spans="1:17" x14ac:dyDescent="0.3">
      <c r="A610" t="s">
        <v>4819</v>
      </c>
      <c r="B610" t="s">
        <v>585</v>
      </c>
      <c r="C610" t="s">
        <v>1108</v>
      </c>
      <c r="D610" t="s">
        <v>832</v>
      </c>
      <c r="E610" t="s">
        <v>1240</v>
      </c>
      <c r="F610" t="s">
        <v>4820</v>
      </c>
      <c r="G610">
        <v>0</v>
      </c>
      <c r="H610">
        <v>0</v>
      </c>
      <c r="I610" t="s">
        <v>4821</v>
      </c>
      <c r="J610">
        <v>9199442353</v>
      </c>
      <c r="K610">
        <v>2637</v>
      </c>
      <c r="L610" t="s">
        <v>4822</v>
      </c>
      <c r="M610" t="s">
        <v>645</v>
      </c>
      <c r="N610" t="s">
        <v>398</v>
      </c>
      <c r="O610" t="s">
        <v>1104</v>
      </c>
      <c r="P610">
        <v>2637</v>
      </c>
    </row>
    <row r="611" spans="1:17" x14ac:dyDescent="0.3">
      <c r="A611" t="s">
        <v>4823</v>
      </c>
      <c r="B611" t="s">
        <v>4824</v>
      </c>
      <c r="C611" t="s">
        <v>4825</v>
      </c>
      <c r="D611" t="s">
        <v>4826</v>
      </c>
      <c r="E611" t="s">
        <v>4827</v>
      </c>
      <c r="F611" t="s">
        <v>4828</v>
      </c>
      <c r="G611">
        <v>0</v>
      </c>
      <c r="H611">
        <v>0</v>
      </c>
      <c r="I611" t="s">
        <v>4829</v>
      </c>
      <c r="J611">
        <v>9479943295</v>
      </c>
      <c r="K611" t="s">
        <v>4830</v>
      </c>
      <c r="L611" t="s">
        <v>4831</v>
      </c>
      <c r="M611" t="s">
        <v>645</v>
      </c>
      <c r="N611" t="s">
        <v>369</v>
      </c>
      <c r="O611" t="s">
        <v>370</v>
      </c>
      <c r="P611">
        <v>2563</v>
      </c>
    </row>
    <row r="612" spans="1:17" x14ac:dyDescent="0.3">
      <c r="A612" t="s">
        <v>4832</v>
      </c>
      <c r="F612" t="s">
        <v>4833</v>
      </c>
      <c r="K612" t="s">
        <v>4834</v>
      </c>
      <c r="L612">
        <v>1234</v>
      </c>
      <c r="P612" t="s">
        <v>4267</v>
      </c>
    </row>
    <row r="613" spans="1:17" x14ac:dyDescent="0.3">
      <c r="A613" t="s">
        <v>4835</v>
      </c>
      <c r="B613" t="s">
        <v>687</v>
      </c>
      <c r="C613" t="s">
        <v>4836</v>
      </c>
      <c r="D613" t="s">
        <v>974</v>
      </c>
      <c r="E613" t="s">
        <v>4837</v>
      </c>
      <c r="F613" t="s">
        <v>4838</v>
      </c>
      <c r="G613">
        <v>0</v>
      </c>
      <c r="H613">
        <v>0</v>
      </c>
      <c r="I613" t="s">
        <v>4839</v>
      </c>
      <c r="J613">
        <v>9778543393</v>
      </c>
      <c r="K613" t="s">
        <v>4840</v>
      </c>
      <c r="L613" t="s">
        <v>4841</v>
      </c>
      <c r="M613" t="s">
        <v>645</v>
      </c>
      <c r="N613" t="s">
        <v>336</v>
      </c>
      <c r="O613" t="s">
        <v>4842</v>
      </c>
      <c r="P613">
        <v>2590</v>
      </c>
      <c r="Q613" t="s">
        <v>4843</v>
      </c>
    </row>
    <row r="614" spans="1:17" x14ac:dyDescent="0.3">
      <c r="A614" t="s">
        <v>4844</v>
      </c>
      <c r="F614" t="s">
        <v>4845</v>
      </c>
      <c r="K614" t="s">
        <v>4846</v>
      </c>
      <c r="L614">
        <v>1234</v>
      </c>
      <c r="P614" t="s">
        <v>4267</v>
      </c>
    </row>
    <row r="615" spans="1:17" x14ac:dyDescent="0.3">
      <c r="A615" t="s">
        <v>4847</v>
      </c>
      <c r="F615" t="s">
        <v>4848</v>
      </c>
      <c r="K615" t="s">
        <v>4849</v>
      </c>
      <c r="L615">
        <v>1234</v>
      </c>
      <c r="P615" t="s">
        <v>4267</v>
      </c>
      <c r="Q615" t="s">
        <v>4850</v>
      </c>
    </row>
    <row r="616" spans="1:17" x14ac:dyDescent="0.3">
      <c r="A616" t="s">
        <v>4851</v>
      </c>
      <c r="F616" t="s">
        <v>4852</v>
      </c>
      <c r="K616" t="s">
        <v>4851</v>
      </c>
      <c r="L616">
        <v>1234</v>
      </c>
      <c r="P616" t="s">
        <v>4267</v>
      </c>
    </row>
    <row r="617" spans="1:17" x14ac:dyDescent="0.3">
      <c r="A617" t="s">
        <v>4853</v>
      </c>
      <c r="B617" t="s">
        <v>4854</v>
      </c>
      <c r="C617" t="s">
        <v>4855</v>
      </c>
      <c r="D617" t="s">
        <v>4856</v>
      </c>
      <c r="E617" t="s">
        <v>4857</v>
      </c>
      <c r="F617" t="s">
        <v>4858</v>
      </c>
      <c r="G617">
        <v>0</v>
      </c>
      <c r="H617">
        <v>0</v>
      </c>
      <c r="I617" t="s">
        <v>4859</v>
      </c>
      <c r="J617">
        <v>9988466053</v>
      </c>
      <c r="K617" t="s">
        <v>4860</v>
      </c>
      <c r="L617">
        <v>1234</v>
      </c>
      <c r="M617" t="s">
        <v>645</v>
      </c>
      <c r="N617" t="s">
        <v>398</v>
      </c>
      <c r="O617" t="s">
        <v>1104</v>
      </c>
      <c r="P617">
        <v>2631</v>
      </c>
    </row>
    <row r="618" spans="1:17" x14ac:dyDescent="0.3">
      <c r="A618" t="s">
        <v>4861</v>
      </c>
      <c r="B618" t="s">
        <v>1824</v>
      </c>
      <c r="C618" t="s">
        <v>2636</v>
      </c>
      <c r="D618" t="s">
        <v>200</v>
      </c>
      <c r="E618" t="s">
        <v>2674</v>
      </c>
      <c r="F618" t="s">
        <v>4862</v>
      </c>
      <c r="I618" t="s">
        <v>4863</v>
      </c>
      <c r="J618">
        <v>9194438189</v>
      </c>
      <c r="K618" t="s">
        <v>4864</v>
      </c>
      <c r="L618">
        <v>1234</v>
      </c>
      <c r="M618" t="s">
        <v>645</v>
      </c>
      <c r="N618" t="s">
        <v>398</v>
      </c>
      <c r="O618" t="s">
        <v>685</v>
      </c>
      <c r="P618">
        <v>2482</v>
      </c>
    </row>
    <row r="619" spans="1:17" x14ac:dyDescent="0.3">
      <c r="A619" t="s">
        <v>4865</v>
      </c>
      <c r="B619" t="s">
        <v>4513</v>
      </c>
      <c r="C619" t="s">
        <v>4866</v>
      </c>
      <c r="D619" t="s">
        <v>4867</v>
      </c>
      <c r="E619" t="s">
        <v>4868</v>
      </c>
      <c r="F619" t="s">
        <v>4869</v>
      </c>
      <c r="G619">
        <v>0</v>
      </c>
      <c r="H619">
        <v>0</v>
      </c>
      <c r="I619" t="s">
        <v>4870</v>
      </c>
      <c r="J619">
        <f>-45-598-2039</f>
        <v>-2682</v>
      </c>
      <c r="K619" t="s">
        <v>4871</v>
      </c>
      <c r="L619" t="s">
        <v>4872</v>
      </c>
      <c r="M619" t="s">
        <v>645</v>
      </c>
      <c r="N619" t="s">
        <v>369</v>
      </c>
      <c r="O619" t="s">
        <v>370</v>
      </c>
      <c r="P619">
        <v>2575</v>
      </c>
      <c r="Q619" t="s">
        <v>4873</v>
      </c>
    </row>
    <row r="620" spans="1:17" x14ac:dyDescent="0.3">
      <c r="A620" t="s">
        <v>4874</v>
      </c>
      <c r="B620" t="s">
        <v>3003</v>
      </c>
      <c r="C620" t="s">
        <v>4875</v>
      </c>
      <c r="D620" t="s">
        <v>1391</v>
      </c>
      <c r="E620" t="s">
        <v>4876</v>
      </c>
      <c r="F620" t="s">
        <v>4877</v>
      </c>
      <c r="I620" t="s">
        <v>4878</v>
      </c>
      <c r="J620">
        <v>9198118201</v>
      </c>
      <c r="K620" t="s">
        <v>4879</v>
      </c>
      <c r="L620" t="s">
        <v>4880</v>
      </c>
      <c r="P620" t="s">
        <v>4267</v>
      </c>
    </row>
    <row r="621" spans="1:17" x14ac:dyDescent="0.3">
      <c r="A621" t="s">
        <v>4881</v>
      </c>
      <c r="B621" t="s">
        <v>603</v>
      </c>
      <c r="C621" t="s">
        <v>4882</v>
      </c>
      <c r="D621" t="s">
        <v>1163</v>
      </c>
      <c r="E621" t="s">
        <v>698</v>
      </c>
      <c r="F621" t="s">
        <v>4883</v>
      </c>
      <c r="G621">
        <v>0</v>
      </c>
      <c r="H621">
        <v>0</v>
      </c>
      <c r="I621" t="s">
        <v>4884</v>
      </c>
      <c r="J621">
        <v>9176541140</v>
      </c>
      <c r="K621" t="s">
        <v>4885</v>
      </c>
      <c r="L621" t="s">
        <v>4886</v>
      </c>
      <c r="M621" t="s">
        <v>645</v>
      </c>
      <c r="N621" t="s">
        <v>336</v>
      </c>
      <c r="O621" t="s">
        <v>515</v>
      </c>
      <c r="P621">
        <v>2534</v>
      </c>
    </row>
    <row r="622" spans="1:17" x14ac:dyDescent="0.3">
      <c r="A622" t="s">
        <v>4887</v>
      </c>
      <c r="B622" t="s">
        <v>3938</v>
      </c>
      <c r="C622" t="s">
        <v>4888</v>
      </c>
      <c r="D622" t="s">
        <v>4889</v>
      </c>
      <c r="E622" t="s">
        <v>4890</v>
      </c>
      <c r="F622" t="s">
        <v>4891</v>
      </c>
      <c r="I622" t="s">
        <v>4892</v>
      </c>
      <c r="J622">
        <v>9152369661</v>
      </c>
      <c r="K622" t="s">
        <v>4893</v>
      </c>
      <c r="L622" t="s">
        <v>4894</v>
      </c>
      <c r="M622" t="s">
        <v>645</v>
      </c>
      <c r="N622" t="s">
        <v>398</v>
      </c>
      <c r="O622" t="s">
        <v>399</v>
      </c>
      <c r="P622">
        <v>2335</v>
      </c>
      <c r="Q622" t="s">
        <v>4895</v>
      </c>
    </row>
    <row r="623" spans="1:17" x14ac:dyDescent="0.3">
      <c r="A623" t="s">
        <v>4896</v>
      </c>
      <c r="F623" t="s">
        <v>4897</v>
      </c>
      <c r="K623" t="s">
        <v>4898</v>
      </c>
      <c r="L623">
        <v>1234</v>
      </c>
      <c r="M623" t="s">
        <v>645</v>
      </c>
      <c r="N623" t="s">
        <v>398</v>
      </c>
      <c r="O623" t="s">
        <v>582</v>
      </c>
      <c r="P623">
        <v>2551</v>
      </c>
    </row>
    <row r="624" spans="1:17" x14ac:dyDescent="0.3">
      <c r="A624" t="s">
        <v>4899</v>
      </c>
      <c r="B624" t="s">
        <v>4900</v>
      </c>
      <c r="C624" t="s">
        <v>4901</v>
      </c>
      <c r="D624" t="s">
        <v>4902</v>
      </c>
      <c r="E624" t="s">
        <v>4903</v>
      </c>
      <c r="F624" t="s">
        <v>4904</v>
      </c>
      <c r="G624">
        <v>0</v>
      </c>
      <c r="H624">
        <v>0</v>
      </c>
      <c r="I624" t="s">
        <v>4905</v>
      </c>
      <c r="J624">
        <v>9053915742</v>
      </c>
      <c r="K624" t="s">
        <v>4906</v>
      </c>
      <c r="L624">
        <v>1234</v>
      </c>
      <c r="M624" t="s">
        <v>645</v>
      </c>
      <c r="N624" t="s">
        <v>398</v>
      </c>
      <c r="O624" t="s">
        <v>582</v>
      </c>
      <c r="P624">
        <v>2500</v>
      </c>
    </row>
    <row r="625" spans="1:17" x14ac:dyDescent="0.3">
      <c r="A625" t="s">
        <v>4907</v>
      </c>
      <c r="B625" t="s">
        <v>4908</v>
      </c>
      <c r="C625" t="s">
        <v>4909</v>
      </c>
      <c r="D625" t="s">
        <v>4910</v>
      </c>
      <c r="E625" t="s">
        <v>1443</v>
      </c>
      <c r="F625" t="s">
        <v>4911</v>
      </c>
      <c r="G625">
        <v>0</v>
      </c>
      <c r="H625">
        <v>0</v>
      </c>
      <c r="I625" t="s">
        <v>4912</v>
      </c>
      <c r="J625" t="s">
        <v>4913</v>
      </c>
      <c r="K625" t="s">
        <v>4914</v>
      </c>
      <c r="L625">
        <v>1234</v>
      </c>
      <c r="M625" t="s">
        <v>645</v>
      </c>
      <c r="N625" t="s">
        <v>369</v>
      </c>
      <c r="O625" t="s">
        <v>370</v>
      </c>
      <c r="P625">
        <v>2658</v>
      </c>
    </row>
    <row r="626" spans="1:17" x14ac:dyDescent="0.3">
      <c r="A626" t="s">
        <v>4915</v>
      </c>
      <c r="B626" t="s">
        <v>4916</v>
      </c>
      <c r="C626" t="s">
        <v>4917</v>
      </c>
      <c r="D626" t="s">
        <v>4918</v>
      </c>
      <c r="E626" t="s">
        <v>342</v>
      </c>
      <c r="F626" t="s">
        <v>4919</v>
      </c>
      <c r="G626">
        <v>0</v>
      </c>
      <c r="H626">
        <v>0</v>
      </c>
      <c r="I626" t="s">
        <v>4920</v>
      </c>
      <c r="J626" t="s">
        <v>4921</v>
      </c>
      <c r="K626" t="s">
        <v>4922</v>
      </c>
      <c r="L626">
        <v>1234</v>
      </c>
      <c r="M626" t="s">
        <v>645</v>
      </c>
      <c r="N626" t="s">
        <v>16</v>
      </c>
      <c r="O626" t="s">
        <v>292</v>
      </c>
      <c r="P626">
        <v>2661</v>
      </c>
      <c r="Q626" t="s">
        <v>4923</v>
      </c>
    </row>
    <row r="627" spans="1:17" x14ac:dyDescent="0.3">
      <c r="A627" t="s">
        <v>4924</v>
      </c>
      <c r="B627" t="s">
        <v>4925</v>
      </c>
      <c r="C627" t="s">
        <v>4926</v>
      </c>
      <c r="D627" t="s">
        <v>1968</v>
      </c>
      <c r="E627" t="s">
        <v>680</v>
      </c>
      <c r="F627" t="s">
        <v>4927</v>
      </c>
      <c r="G627">
        <v>0</v>
      </c>
      <c r="H627">
        <v>0</v>
      </c>
      <c r="I627" t="s">
        <v>4928</v>
      </c>
      <c r="J627">
        <v>9300861339</v>
      </c>
      <c r="K627" t="s">
        <v>4929</v>
      </c>
      <c r="L627">
        <v>1234</v>
      </c>
      <c r="M627" t="s">
        <v>645</v>
      </c>
      <c r="N627" t="s">
        <v>398</v>
      </c>
      <c r="O627" t="s">
        <v>685</v>
      </c>
      <c r="P627">
        <v>2657</v>
      </c>
    </row>
    <row r="628" spans="1:17" x14ac:dyDescent="0.3">
      <c r="A628" t="s">
        <v>4930</v>
      </c>
      <c r="B628" t="s">
        <v>4931</v>
      </c>
      <c r="C628" t="s">
        <v>4932</v>
      </c>
      <c r="D628" t="s">
        <v>4660</v>
      </c>
      <c r="E628" t="s">
        <v>477</v>
      </c>
      <c r="F628" t="s">
        <v>4933</v>
      </c>
      <c r="G628">
        <v>15.1864644425108</v>
      </c>
      <c r="H628">
        <v>120.556583404541</v>
      </c>
      <c r="I628" t="s">
        <v>4934</v>
      </c>
      <c r="J628">
        <v>9457227979</v>
      </c>
      <c r="K628" t="s">
        <v>4935</v>
      </c>
      <c r="L628">
        <v>1234</v>
      </c>
      <c r="M628" t="s">
        <v>645</v>
      </c>
      <c r="N628" t="s">
        <v>871</v>
      </c>
      <c r="O628" t="s">
        <v>1628</v>
      </c>
      <c r="P628">
        <v>2514</v>
      </c>
    </row>
    <row r="629" spans="1:17" x14ac:dyDescent="0.3">
      <c r="A629" t="s">
        <v>4936</v>
      </c>
      <c r="B629" t="s">
        <v>4937</v>
      </c>
      <c r="C629" t="s">
        <v>4938</v>
      </c>
      <c r="D629" t="s">
        <v>4939</v>
      </c>
      <c r="E629" t="s">
        <v>4940</v>
      </c>
      <c r="F629" t="s">
        <v>4941</v>
      </c>
      <c r="G629">
        <v>0</v>
      </c>
      <c r="H629">
        <v>0</v>
      </c>
      <c r="I629" t="s">
        <v>4942</v>
      </c>
      <c r="J629">
        <v>9165460519</v>
      </c>
      <c r="K629" t="s">
        <v>4943</v>
      </c>
      <c r="L629">
        <v>1234</v>
      </c>
      <c r="M629" t="s">
        <v>645</v>
      </c>
      <c r="N629" t="s">
        <v>398</v>
      </c>
      <c r="O629" t="s">
        <v>853</v>
      </c>
      <c r="P629">
        <v>2645</v>
      </c>
    </row>
    <row r="630" spans="1:17" x14ac:dyDescent="0.3">
      <c r="A630" t="s">
        <v>4944</v>
      </c>
      <c r="B630" t="s">
        <v>4945</v>
      </c>
      <c r="C630" t="s">
        <v>1798</v>
      </c>
      <c r="D630" t="s">
        <v>4946</v>
      </c>
      <c r="E630" t="s">
        <v>4947</v>
      </c>
      <c r="F630" t="s">
        <v>4948</v>
      </c>
      <c r="G630">
        <v>0</v>
      </c>
      <c r="H630">
        <v>0</v>
      </c>
      <c r="I630" t="s">
        <v>4949</v>
      </c>
      <c r="J630">
        <v>9225350733</v>
      </c>
      <c r="K630">
        <v>1839</v>
      </c>
      <c r="L630">
        <v>1234</v>
      </c>
      <c r="M630" t="s">
        <v>645</v>
      </c>
      <c r="N630" t="s">
        <v>710</v>
      </c>
      <c r="O630" t="s">
        <v>789</v>
      </c>
      <c r="P630">
        <v>1839</v>
      </c>
    </row>
    <row r="631" spans="1:17" x14ac:dyDescent="0.3">
      <c r="A631" t="s">
        <v>4950</v>
      </c>
      <c r="B631" t="s">
        <v>4951</v>
      </c>
      <c r="C631" t="s">
        <v>4952</v>
      </c>
      <c r="D631" t="s">
        <v>4953</v>
      </c>
      <c r="E631" t="s">
        <v>4954</v>
      </c>
      <c r="F631" t="s">
        <v>4955</v>
      </c>
      <c r="G631">
        <v>15.198309278285</v>
      </c>
      <c r="H631">
        <v>120.575809478759</v>
      </c>
      <c r="I631" t="s">
        <v>4956</v>
      </c>
      <c r="J631">
        <v>9173088916</v>
      </c>
      <c r="K631" t="s">
        <v>4957</v>
      </c>
      <c r="L631">
        <v>1234</v>
      </c>
      <c r="M631" t="s">
        <v>645</v>
      </c>
      <c r="N631" t="s">
        <v>398</v>
      </c>
      <c r="O631" t="s">
        <v>685</v>
      </c>
      <c r="P631">
        <v>2675</v>
      </c>
      <c r="Q631" t="s">
        <v>4958</v>
      </c>
    </row>
    <row r="632" spans="1:17" x14ac:dyDescent="0.3">
      <c r="A632" t="s">
        <v>4959</v>
      </c>
      <c r="B632" t="s">
        <v>4960</v>
      </c>
      <c r="C632" t="s">
        <v>4961</v>
      </c>
      <c r="D632" t="s">
        <v>1976</v>
      </c>
      <c r="E632" t="s">
        <v>4962</v>
      </c>
      <c r="F632" t="s">
        <v>4963</v>
      </c>
      <c r="G632">
        <v>1.0299682616661801E-3</v>
      </c>
      <c r="H632">
        <v>-1.54495239257812E-3</v>
      </c>
      <c r="I632" t="s">
        <v>4964</v>
      </c>
      <c r="J632">
        <v>-9271401154</v>
      </c>
      <c r="K632" t="s">
        <v>4965</v>
      </c>
      <c r="L632" t="s">
        <v>4966</v>
      </c>
      <c r="M632" t="s">
        <v>645</v>
      </c>
      <c r="N632" t="s">
        <v>336</v>
      </c>
      <c r="O632" t="s">
        <v>515</v>
      </c>
      <c r="P632">
        <v>2579</v>
      </c>
      <c r="Q632" t="s">
        <v>4967</v>
      </c>
    </row>
    <row r="633" spans="1:17" x14ac:dyDescent="0.3">
      <c r="A633" t="s">
        <v>4968</v>
      </c>
      <c r="B633" t="s">
        <v>2097</v>
      </c>
      <c r="C633" t="s">
        <v>1518</v>
      </c>
      <c r="E633" t="s">
        <v>2994</v>
      </c>
      <c r="F633" t="s">
        <v>4969</v>
      </c>
      <c r="G633">
        <v>0</v>
      </c>
      <c r="H633">
        <v>0</v>
      </c>
      <c r="I633" t="s">
        <v>4970</v>
      </c>
      <c r="J633" t="s">
        <v>4971</v>
      </c>
      <c r="K633" t="s">
        <v>4972</v>
      </c>
      <c r="L633">
        <v>1234</v>
      </c>
      <c r="M633" s="1">
        <v>43197</v>
      </c>
      <c r="N633" t="s">
        <v>16</v>
      </c>
      <c r="O633" t="s">
        <v>292</v>
      </c>
      <c r="P633">
        <v>2113</v>
      </c>
    </row>
    <row r="634" spans="1:17" x14ac:dyDescent="0.3">
      <c r="A634" t="s">
        <v>4973</v>
      </c>
      <c r="B634" t="s">
        <v>4974</v>
      </c>
      <c r="C634" t="s">
        <v>4975</v>
      </c>
      <c r="D634" t="s">
        <v>4976</v>
      </c>
      <c r="E634" t="s">
        <v>560</v>
      </c>
      <c r="F634" t="s">
        <v>4977</v>
      </c>
      <c r="G634">
        <v>0</v>
      </c>
      <c r="H634">
        <v>0</v>
      </c>
      <c r="I634" t="s">
        <v>4978</v>
      </c>
      <c r="J634" t="s">
        <v>4979</v>
      </c>
      <c r="K634" t="s">
        <v>4980</v>
      </c>
      <c r="L634">
        <v>4321</v>
      </c>
      <c r="M634" t="s">
        <v>645</v>
      </c>
      <c r="N634" t="s">
        <v>710</v>
      </c>
      <c r="O634" t="s">
        <v>789</v>
      </c>
      <c r="P634">
        <v>2480</v>
      </c>
    </row>
    <row r="635" spans="1:17" x14ac:dyDescent="0.3">
      <c r="A635" t="s">
        <v>4981</v>
      </c>
      <c r="B635" t="s">
        <v>1976</v>
      </c>
      <c r="C635" t="s">
        <v>75</v>
      </c>
      <c r="D635" t="s">
        <v>4982</v>
      </c>
      <c r="E635" t="s">
        <v>4983</v>
      </c>
      <c r="F635" t="s">
        <v>4984</v>
      </c>
      <c r="G635">
        <v>0</v>
      </c>
      <c r="H635">
        <v>0</v>
      </c>
      <c r="I635" t="s">
        <v>4985</v>
      </c>
      <c r="J635">
        <v>9985926361</v>
      </c>
      <c r="K635" t="s">
        <v>4986</v>
      </c>
      <c r="L635">
        <v>1234</v>
      </c>
      <c r="M635" t="s">
        <v>645</v>
      </c>
      <c r="N635" t="s">
        <v>369</v>
      </c>
      <c r="O635" t="s">
        <v>370</v>
      </c>
      <c r="P635">
        <v>1025</v>
      </c>
      <c r="Q635" t="s">
        <v>4987</v>
      </c>
    </row>
    <row r="636" spans="1:17" x14ac:dyDescent="0.3">
      <c r="A636" t="s">
        <v>4988</v>
      </c>
      <c r="B636" t="s">
        <v>4010</v>
      </c>
      <c r="C636" t="s">
        <v>4388</v>
      </c>
      <c r="D636" t="s">
        <v>4989</v>
      </c>
      <c r="E636" t="s">
        <v>4990</v>
      </c>
      <c r="F636" t="s">
        <v>4991</v>
      </c>
      <c r="G636">
        <v>0</v>
      </c>
      <c r="H636">
        <v>0</v>
      </c>
      <c r="I636" t="s">
        <v>4992</v>
      </c>
      <c r="J636" t="s">
        <v>4993</v>
      </c>
      <c r="K636" t="s">
        <v>4994</v>
      </c>
      <c r="L636">
        <v>1234</v>
      </c>
      <c r="M636" t="s">
        <v>645</v>
      </c>
      <c r="N636" t="s">
        <v>369</v>
      </c>
      <c r="O636" t="s">
        <v>370</v>
      </c>
      <c r="P636">
        <v>2520</v>
      </c>
    </row>
    <row r="637" spans="1:17" x14ac:dyDescent="0.3">
      <c r="A637" t="s">
        <v>4995</v>
      </c>
      <c r="B637" t="s">
        <v>4996</v>
      </c>
      <c r="C637" t="s">
        <v>4997</v>
      </c>
      <c r="D637" t="s">
        <v>4998</v>
      </c>
      <c r="E637" t="s">
        <v>4999</v>
      </c>
      <c r="F637" t="s">
        <v>5000</v>
      </c>
      <c r="G637">
        <v>15.1972325025126</v>
      </c>
      <c r="H637">
        <v>120.557270050048</v>
      </c>
      <c r="I637" t="s">
        <v>5001</v>
      </c>
      <c r="J637">
        <v>9690114075</v>
      </c>
      <c r="K637" t="s">
        <v>5002</v>
      </c>
      <c r="L637" t="s">
        <v>5003</v>
      </c>
      <c r="M637" t="s">
        <v>645</v>
      </c>
      <c r="N637" t="s">
        <v>398</v>
      </c>
      <c r="O637" t="s">
        <v>582</v>
      </c>
      <c r="P637">
        <v>2553</v>
      </c>
    </row>
    <row r="638" spans="1:17" x14ac:dyDescent="0.3">
      <c r="A638" t="s">
        <v>5004</v>
      </c>
      <c r="B638" t="s">
        <v>5005</v>
      </c>
      <c r="C638" t="s">
        <v>5006</v>
      </c>
      <c r="D638" t="s">
        <v>5007</v>
      </c>
      <c r="E638" t="s">
        <v>477</v>
      </c>
      <c r="F638" t="s">
        <v>5008</v>
      </c>
      <c r="G638">
        <v>0</v>
      </c>
      <c r="H638">
        <v>0</v>
      </c>
      <c r="I638" t="s">
        <v>5009</v>
      </c>
      <c r="J638">
        <v>9505836199</v>
      </c>
      <c r="K638" t="s">
        <v>5010</v>
      </c>
      <c r="L638" t="s">
        <v>5011</v>
      </c>
      <c r="M638" t="s">
        <v>645</v>
      </c>
      <c r="N638" t="s">
        <v>779</v>
      </c>
      <c r="O638" t="s">
        <v>2414</v>
      </c>
      <c r="P638">
        <v>2641</v>
      </c>
    </row>
    <row r="639" spans="1:17" x14ac:dyDescent="0.3">
      <c r="A639" t="s">
        <v>5012</v>
      </c>
      <c r="B639" t="s">
        <v>5013</v>
      </c>
      <c r="C639" t="s">
        <v>5014</v>
      </c>
      <c r="D639" t="s">
        <v>539</v>
      </c>
      <c r="E639" t="s">
        <v>342</v>
      </c>
      <c r="F639" t="s">
        <v>5015</v>
      </c>
      <c r="G639">
        <v>0</v>
      </c>
      <c r="H639">
        <v>0</v>
      </c>
      <c r="I639" t="s">
        <v>5016</v>
      </c>
      <c r="J639" t="s">
        <v>5017</v>
      </c>
      <c r="K639" t="s">
        <v>5018</v>
      </c>
      <c r="L639" t="s">
        <v>5019</v>
      </c>
      <c r="M639" t="s">
        <v>645</v>
      </c>
      <c r="N639" t="s">
        <v>398</v>
      </c>
      <c r="O639" t="s">
        <v>1228</v>
      </c>
      <c r="P639">
        <v>591</v>
      </c>
    </row>
    <row r="640" spans="1:17" x14ac:dyDescent="0.3">
      <c r="A640" t="s">
        <v>5020</v>
      </c>
      <c r="B640" t="s">
        <v>723</v>
      </c>
      <c r="C640" t="s">
        <v>5021</v>
      </c>
      <c r="D640" t="s">
        <v>5022</v>
      </c>
      <c r="E640" t="s">
        <v>1110</v>
      </c>
      <c r="F640" t="s">
        <v>5023</v>
      </c>
      <c r="G640">
        <v>0</v>
      </c>
      <c r="H640">
        <v>0</v>
      </c>
      <c r="I640" t="s">
        <v>5024</v>
      </c>
      <c r="J640">
        <v>9176320986</v>
      </c>
      <c r="K640" t="s">
        <v>5025</v>
      </c>
      <c r="L640">
        <v>1234</v>
      </c>
      <c r="M640" t="s">
        <v>645</v>
      </c>
      <c r="N640" t="s">
        <v>5026</v>
      </c>
      <c r="O640" t="s">
        <v>5027</v>
      </c>
      <c r="P640">
        <v>2651</v>
      </c>
    </row>
    <row r="641" spans="1:17" x14ac:dyDescent="0.3">
      <c r="A641" t="s">
        <v>5028</v>
      </c>
      <c r="B641" t="s">
        <v>2919</v>
      </c>
      <c r="C641" t="s">
        <v>5029</v>
      </c>
      <c r="D641" t="s">
        <v>5030</v>
      </c>
      <c r="E641" t="s">
        <v>5031</v>
      </c>
      <c r="F641" t="s">
        <v>5032</v>
      </c>
      <c r="G641">
        <v>-1.3732910154828099E-3</v>
      </c>
      <c r="H641">
        <v>6.0939788818359297E-3</v>
      </c>
      <c r="I641" t="s">
        <v>5033</v>
      </c>
      <c r="J641">
        <f>-45-499-8388</f>
        <v>-8932</v>
      </c>
      <c r="K641" t="s">
        <v>5034</v>
      </c>
      <c r="L641">
        <v>1234</v>
      </c>
      <c r="M641" t="s">
        <v>645</v>
      </c>
      <c r="N641" t="s">
        <v>369</v>
      </c>
      <c r="O641" t="s">
        <v>83</v>
      </c>
      <c r="P641">
        <v>2648</v>
      </c>
      <c r="Q641" t="s">
        <v>5035</v>
      </c>
    </row>
    <row r="642" spans="1:17" x14ac:dyDescent="0.3">
      <c r="A642" t="s">
        <v>3486</v>
      </c>
      <c r="B642" t="s">
        <v>3487</v>
      </c>
      <c r="C642" t="s">
        <v>3488</v>
      </c>
      <c r="D642" t="s">
        <v>2666</v>
      </c>
      <c r="E642" t="s">
        <v>3153</v>
      </c>
      <c r="F642" t="s">
        <v>3489</v>
      </c>
      <c r="G642">
        <v>15.178578699999999</v>
      </c>
      <c r="H642">
        <v>120.51842980000001</v>
      </c>
      <c r="I642" t="s">
        <v>3490</v>
      </c>
      <c r="J642">
        <v>9178993205</v>
      </c>
      <c r="K642" t="s">
        <v>3491</v>
      </c>
      <c r="L642">
        <v>1234</v>
      </c>
      <c r="M642" s="1">
        <v>43776</v>
      </c>
      <c r="N642" t="s">
        <v>931</v>
      </c>
      <c r="O642" t="s">
        <v>398</v>
      </c>
      <c r="P642">
        <v>1888</v>
      </c>
    </row>
    <row r="643" spans="1:17" x14ac:dyDescent="0.3">
      <c r="A643" t="s">
        <v>5036</v>
      </c>
      <c r="B643" t="s">
        <v>5037</v>
      </c>
      <c r="C643" t="s">
        <v>5038</v>
      </c>
      <c r="D643" t="s">
        <v>5039</v>
      </c>
      <c r="E643" t="s">
        <v>5040</v>
      </c>
      <c r="F643" t="s">
        <v>5041</v>
      </c>
      <c r="G643">
        <v>1.48057937604892E-3</v>
      </c>
      <c r="H643">
        <v>-2.7894973754882802E-4</v>
      </c>
      <c r="I643" t="s">
        <v>5042</v>
      </c>
      <c r="J643">
        <v>9088853848</v>
      </c>
      <c r="K643" t="s">
        <v>5043</v>
      </c>
      <c r="L643">
        <v>1234</v>
      </c>
      <c r="M643" t="s">
        <v>645</v>
      </c>
      <c r="N643" t="s">
        <v>710</v>
      </c>
      <c r="O643" t="s">
        <v>711</v>
      </c>
      <c r="P643">
        <v>2569</v>
      </c>
    </row>
    <row r="644" spans="1:17" x14ac:dyDescent="0.3">
      <c r="A644" t="s">
        <v>5044</v>
      </c>
      <c r="B644" t="s">
        <v>5045</v>
      </c>
      <c r="C644" t="s">
        <v>5046</v>
      </c>
      <c r="D644" t="s">
        <v>2576</v>
      </c>
      <c r="E644" t="s">
        <v>477</v>
      </c>
      <c r="F644" t="s">
        <v>5047</v>
      </c>
      <c r="G644">
        <v>15.180919712723499</v>
      </c>
      <c r="H644">
        <v>120.529938340187</v>
      </c>
      <c r="I644" t="s">
        <v>5048</v>
      </c>
      <c r="J644">
        <v>9667303153</v>
      </c>
      <c r="K644" t="s">
        <v>5049</v>
      </c>
      <c r="L644" t="s">
        <v>5050</v>
      </c>
      <c r="M644" t="s">
        <v>645</v>
      </c>
      <c r="N644" t="s">
        <v>398</v>
      </c>
      <c r="O644" t="s">
        <v>582</v>
      </c>
      <c r="P644">
        <v>2650</v>
      </c>
      <c r="Q644" t="s">
        <v>5051</v>
      </c>
    </row>
    <row r="645" spans="1:17" x14ac:dyDescent="0.3">
      <c r="A645" t="s">
        <v>5052</v>
      </c>
      <c r="B645" t="s">
        <v>725</v>
      </c>
      <c r="C645" t="s">
        <v>5053</v>
      </c>
      <c r="D645" t="s">
        <v>3025</v>
      </c>
      <c r="E645" t="s">
        <v>5054</v>
      </c>
      <c r="F645" t="s">
        <v>5055</v>
      </c>
      <c r="G645">
        <v>0</v>
      </c>
      <c r="H645">
        <v>0</v>
      </c>
      <c r="I645" t="s">
        <v>5056</v>
      </c>
      <c r="J645" t="s">
        <v>5057</v>
      </c>
      <c r="K645" t="s">
        <v>5058</v>
      </c>
      <c r="L645">
        <v>1234</v>
      </c>
      <c r="M645" t="s">
        <v>645</v>
      </c>
      <c r="N645" t="s">
        <v>336</v>
      </c>
      <c r="O645" t="s">
        <v>515</v>
      </c>
      <c r="P645">
        <v>2580</v>
      </c>
    </row>
    <row r="646" spans="1:17" x14ac:dyDescent="0.3">
      <c r="A646" t="s">
        <v>5059</v>
      </c>
      <c r="B646" t="s">
        <v>200</v>
      </c>
      <c r="C646" t="s">
        <v>5060</v>
      </c>
      <c r="D646" t="s">
        <v>2682</v>
      </c>
      <c r="E646" t="s">
        <v>5061</v>
      </c>
      <c r="F646" t="s">
        <v>5062</v>
      </c>
      <c r="G646">
        <v>15.1949753969984</v>
      </c>
      <c r="H646">
        <v>120.532561540603</v>
      </c>
      <c r="I646" t="s">
        <v>5063</v>
      </c>
      <c r="J646">
        <f>-45-499-3139</f>
        <v>-3683</v>
      </c>
      <c r="K646" t="s">
        <v>5064</v>
      </c>
      <c r="L646" t="s">
        <v>5065</v>
      </c>
      <c r="M646" t="s">
        <v>5066</v>
      </c>
      <c r="N646" t="s">
        <v>931</v>
      </c>
      <c r="O646" t="s">
        <v>5067</v>
      </c>
      <c r="P646">
        <v>2043</v>
      </c>
      <c r="Q646" t="s">
        <v>5068</v>
      </c>
    </row>
    <row r="647" spans="1:17" x14ac:dyDescent="0.3">
      <c r="A647" t="s">
        <v>5069</v>
      </c>
      <c r="B647" t="s">
        <v>5070</v>
      </c>
      <c r="C647" t="s">
        <v>5071</v>
      </c>
      <c r="D647" t="s">
        <v>5072</v>
      </c>
      <c r="E647" t="s">
        <v>698</v>
      </c>
      <c r="F647" t="s">
        <v>5073</v>
      </c>
      <c r="G647">
        <v>0</v>
      </c>
      <c r="H647">
        <v>0</v>
      </c>
      <c r="I647" t="s">
        <v>5074</v>
      </c>
      <c r="J647">
        <v>9498157555</v>
      </c>
      <c r="K647" t="s">
        <v>5075</v>
      </c>
      <c r="L647">
        <v>1234</v>
      </c>
      <c r="M647" t="s">
        <v>645</v>
      </c>
      <c r="N647" t="s">
        <v>16</v>
      </c>
      <c r="O647" t="s">
        <v>292</v>
      </c>
      <c r="P647">
        <v>2683</v>
      </c>
      <c r="Q647" t="s">
        <v>5076</v>
      </c>
    </row>
    <row r="648" spans="1:17" x14ac:dyDescent="0.3">
      <c r="A648" t="s">
        <v>5077</v>
      </c>
      <c r="B648" t="s">
        <v>5078</v>
      </c>
      <c r="C648" t="s">
        <v>5079</v>
      </c>
      <c r="D648" t="s">
        <v>3354</v>
      </c>
      <c r="E648" t="s">
        <v>5080</v>
      </c>
      <c r="F648" t="s">
        <v>5081</v>
      </c>
      <c r="I648" t="s">
        <v>5082</v>
      </c>
      <c r="J648">
        <v>9176943097</v>
      </c>
      <c r="K648" t="s">
        <v>5083</v>
      </c>
      <c r="L648">
        <v>1234</v>
      </c>
      <c r="M648" t="s">
        <v>645</v>
      </c>
      <c r="N648" t="s">
        <v>304</v>
      </c>
      <c r="O648" t="s">
        <v>323</v>
      </c>
      <c r="P648">
        <v>2594</v>
      </c>
    </row>
    <row r="649" spans="1:17" x14ac:dyDescent="0.3">
      <c r="A649" t="s">
        <v>5084</v>
      </c>
      <c r="B649" t="s">
        <v>5085</v>
      </c>
      <c r="C649" t="s">
        <v>5086</v>
      </c>
      <c r="D649" t="s">
        <v>2461</v>
      </c>
      <c r="E649" t="s">
        <v>2185</v>
      </c>
      <c r="F649" t="s">
        <v>5087</v>
      </c>
      <c r="G649">
        <v>0</v>
      </c>
      <c r="H649">
        <v>0</v>
      </c>
      <c r="I649" t="s">
        <v>5088</v>
      </c>
      <c r="J649" t="s">
        <v>5089</v>
      </c>
      <c r="K649" t="s">
        <v>5090</v>
      </c>
      <c r="L649">
        <v>1234</v>
      </c>
      <c r="M649" t="s">
        <v>645</v>
      </c>
      <c r="N649" t="s">
        <v>931</v>
      </c>
      <c r="O649" t="s">
        <v>5091</v>
      </c>
      <c r="P649">
        <v>2536</v>
      </c>
    </row>
    <row r="650" spans="1:17" x14ac:dyDescent="0.3">
      <c r="A650" t="s">
        <v>5092</v>
      </c>
      <c r="B650" t="s">
        <v>5093</v>
      </c>
      <c r="C650" t="s">
        <v>5094</v>
      </c>
      <c r="D650" t="s">
        <v>5095</v>
      </c>
      <c r="E650" t="s">
        <v>793</v>
      </c>
      <c r="F650" t="s">
        <v>5096</v>
      </c>
      <c r="G650">
        <v>0</v>
      </c>
      <c r="H650">
        <v>0</v>
      </c>
      <c r="I650" t="s">
        <v>5097</v>
      </c>
      <c r="J650">
        <v>9164650669</v>
      </c>
      <c r="K650" t="s">
        <v>5098</v>
      </c>
      <c r="L650">
        <v>1234</v>
      </c>
      <c r="M650" t="s">
        <v>645</v>
      </c>
      <c r="N650" t="s">
        <v>398</v>
      </c>
      <c r="O650" t="s">
        <v>853</v>
      </c>
      <c r="P650">
        <v>2515</v>
      </c>
    </row>
    <row r="651" spans="1:17" x14ac:dyDescent="0.3">
      <c r="A651" t="s">
        <v>5092</v>
      </c>
      <c r="B651" t="s">
        <v>5093</v>
      </c>
      <c r="C651" t="s">
        <v>5094</v>
      </c>
      <c r="D651" t="s">
        <v>5095</v>
      </c>
      <c r="E651" t="s">
        <v>793</v>
      </c>
      <c r="F651" t="s">
        <v>5096</v>
      </c>
      <c r="G651">
        <v>0</v>
      </c>
      <c r="H651">
        <v>0</v>
      </c>
      <c r="I651" t="s">
        <v>5097</v>
      </c>
      <c r="J651">
        <v>9164650669</v>
      </c>
      <c r="K651" t="s">
        <v>5098</v>
      </c>
      <c r="L651">
        <v>1234</v>
      </c>
      <c r="M651" t="s">
        <v>645</v>
      </c>
      <c r="N651" t="s">
        <v>398</v>
      </c>
      <c r="O651" t="s">
        <v>853</v>
      </c>
      <c r="P651">
        <v>2515</v>
      </c>
    </row>
    <row r="652" spans="1:17" x14ac:dyDescent="0.3">
      <c r="A652" t="s">
        <v>5099</v>
      </c>
      <c r="B652" t="s">
        <v>4030</v>
      </c>
      <c r="C652" t="s">
        <v>4031</v>
      </c>
      <c r="D652" t="s">
        <v>4032</v>
      </c>
      <c r="E652" t="s">
        <v>4033</v>
      </c>
      <c r="F652" t="s">
        <v>4034</v>
      </c>
      <c r="G652">
        <v>1.50203704840895E-4</v>
      </c>
      <c r="H652">
        <v>-6.4373016357421794E-5</v>
      </c>
      <c r="I652" t="s">
        <v>4035</v>
      </c>
      <c r="J652" t="s">
        <v>4036</v>
      </c>
      <c r="K652" t="s">
        <v>5100</v>
      </c>
      <c r="L652">
        <v>1234</v>
      </c>
      <c r="M652" t="s">
        <v>645</v>
      </c>
      <c r="N652" t="s">
        <v>336</v>
      </c>
      <c r="O652" t="s">
        <v>441</v>
      </c>
      <c r="P652">
        <v>2600</v>
      </c>
    </row>
    <row r="653" spans="1:17" x14ac:dyDescent="0.3">
      <c r="A653" t="s">
        <v>5101</v>
      </c>
      <c r="B653" t="s">
        <v>5102</v>
      </c>
      <c r="C653" t="s">
        <v>5103</v>
      </c>
      <c r="D653" t="s">
        <v>2635</v>
      </c>
      <c r="E653" t="s">
        <v>1311</v>
      </c>
      <c r="F653" t="s">
        <v>5104</v>
      </c>
      <c r="G653">
        <v>0</v>
      </c>
      <c r="H653">
        <v>0</v>
      </c>
      <c r="I653" t="s">
        <v>5105</v>
      </c>
      <c r="J653">
        <v>9661901538</v>
      </c>
      <c r="K653" t="s">
        <v>5106</v>
      </c>
      <c r="L653">
        <v>1234</v>
      </c>
      <c r="M653" t="s">
        <v>645</v>
      </c>
      <c r="N653" t="s">
        <v>336</v>
      </c>
      <c r="O653" t="s">
        <v>515</v>
      </c>
      <c r="P653">
        <v>2682</v>
      </c>
      <c r="Q653" t="s">
        <v>5107</v>
      </c>
    </row>
    <row r="654" spans="1:17" x14ac:dyDescent="0.3">
      <c r="A654" t="s">
        <v>5108</v>
      </c>
      <c r="B654" t="s">
        <v>5109</v>
      </c>
      <c r="C654" t="s">
        <v>1666</v>
      </c>
      <c r="D654" t="s">
        <v>5110</v>
      </c>
      <c r="E654" t="s">
        <v>5111</v>
      </c>
      <c r="F654" t="s">
        <v>5112</v>
      </c>
      <c r="G654">
        <v>0</v>
      </c>
      <c r="H654">
        <v>0</v>
      </c>
      <c r="I654" t="s">
        <v>5113</v>
      </c>
      <c r="J654">
        <v>9178330713</v>
      </c>
      <c r="K654" t="s">
        <v>5114</v>
      </c>
      <c r="L654">
        <v>4321</v>
      </c>
      <c r="M654" t="s">
        <v>645</v>
      </c>
      <c r="N654" t="s">
        <v>336</v>
      </c>
      <c r="O654" t="s">
        <v>515</v>
      </c>
      <c r="P654">
        <v>1668</v>
      </c>
    </row>
    <row r="655" spans="1:17" x14ac:dyDescent="0.3">
      <c r="A655" t="s">
        <v>5115</v>
      </c>
      <c r="B655" t="s">
        <v>5116</v>
      </c>
      <c r="C655" t="s">
        <v>5117</v>
      </c>
      <c r="D655" t="s">
        <v>5118</v>
      </c>
      <c r="E655" t="s">
        <v>5119</v>
      </c>
      <c r="F655" t="s">
        <v>5120</v>
      </c>
      <c r="G655">
        <v>0</v>
      </c>
      <c r="H655">
        <v>0</v>
      </c>
      <c r="I655" t="s">
        <v>5121</v>
      </c>
      <c r="J655" t="s">
        <v>5122</v>
      </c>
      <c r="K655" t="s">
        <v>5123</v>
      </c>
      <c r="L655" t="s">
        <v>5124</v>
      </c>
      <c r="M655" t="s">
        <v>645</v>
      </c>
      <c r="N655" t="s">
        <v>5125</v>
      </c>
      <c r="O655" t="s">
        <v>441</v>
      </c>
      <c r="P655">
        <v>2695</v>
      </c>
    </row>
    <row r="656" spans="1:17" x14ac:dyDescent="0.3">
      <c r="A656" t="s">
        <v>5126</v>
      </c>
      <c r="B656" t="s">
        <v>5127</v>
      </c>
      <c r="C656" t="s">
        <v>5128</v>
      </c>
      <c r="D656" t="s">
        <v>5129</v>
      </c>
      <c r="E656" t="s">
        <v>5130</v>
      </c>
      <c r="F656" t="s">
        <v>5131</v>
      </c>
      <c r="G656">
        <v>0</v>
      </c>
      <c r="H656">
        <v>0</v>
      </c>
      <c r="I656" t="s">
        <v>5132</v>
      </c>
      <c r="J656">
        <v>9171585042</v>
      </c>
      <c r="K656" t="s">
        <v>5133</v>
      </c>
      <c r="L656">
        <v>1234</v>
      </c>
      <c r="M656" t="s">
        <v>645</v>
      </c>
      <c r="N656" t="s">
        <v>336</v>
      </c>
      <c r="O656" t="s">
        <v>5134</v>
      </c>
      <c r="P656">
        <v>1110</v>
      </c>
    </row>
    <row r="657" spans="1:17" x14ac:dyDescent="0.3">
      <c r="A657" t="s">
        <v>5135</v>
      </c>
      <c r="B657" t="s">
        <v>5136</v>
      </c>
      <c r="C657" t="s">
        <v>5137</v>
      </c>
      <c r="D657" t="s">
        <v>5138</v>
      </c>
      <c r="E657" t="s">
        <v>5139</v>
      </c>
      <c r="F657" t="s">
        <v>5140</v>
      </c>
      <c r="G657">
        <v>0</v>
      </c>
      <c r="H657">
        <v>0</v>
      </c>
      <c r="I657" t="s">
        <v>5141</v>
      </c>
      <c r="J657">
        <v>9271292660</v>
      </c>
      <c r="K657" t="s">
        <v>5142</v>
      </c>
      <c r="L657" t="s">
        <v>5143</v>
      </c>
      <c r="M657" t="s">
        <v>645</v>
      </c>
      <c r="N657" t="s">
        <v>398</v>
      </c>
      <c r="O657" t="s">
        <v>685</v>
      </c>
      <c r="P657">
        <v>2523</v>
      </c>
    </row>
    <row r="658" spans="1:17" x14ac:dyDescent="0.3">
      <c r="A658" t="s">
        <v>5144</v>
      </c>
      <c r="B658" t="s">
        <v>1154</v>
      </c>
      <c r="C658" t="s">
        <v>5145</v>
      </c>
      <c r="D658" t="s">
        <v>539</v>
      </c>
      <c r="E658" t="s">
        <v>1276</v>
      </c>
      <c r="F658" t="s">
        <v>5146</v>
      </c>
      <c r="I658" t="s">
        <v>5147</v>
      </c>
      <c r="J658" t="s">
        <v>5148</v>
      </c>
      <c r="K658" t="s">
        <v>5149</v>
      </c>
      <c r="L658">
        <v>1234</v>
      </c>
      <c r="M658" t="s">
        <v>645</v>
      </c>
      <c r="N658" t="s">
        <v>398</v>
      </c>
      <c r="O658" t="s">
        <v>685</v>
      </c>
      <c r="P658">
        <v>2620</v>
      </c>
    </row>
    <row r="659" spans="1:17" x14ac:dyDescent="0.3">
      <c r="A659" t="s">
        <v>5150</v>
      </c>
      <c r="B659" t="s">
        <v>559</v>
      </c>
      <c r="C659" t="s">
        <v>5151</v>
      </c>
      <c r="D659" t="s">
        <v>5152</v>
      </c>
      <c r="E659" t="s">
        <v>5153</v>
      </c>
      <c r="F659" t="s">
        <v>5154</v>
      </c>
      <c r="G659">
        <v>0</v>
      </c>
      <c r="H659">
        <v>0</v>
      </c>
      <c r="I659" t="s">
        <v>5155</v>
      </c>
      <c r="J659" t="s">
        <v>5156</v>
      </c>
      <c r="K659" t="s">
        <v>5157</v>
      </c>
      <c r="L659" t="s">
        <v>5158</v>
      </c>
      <c r="M659" t="s">
        <v>645</v>
      </c>
      <c r="N659" t="s">
        <v>398</v>
      </c>
      <c r="O659" t="s">
        <v>1161</v>
      </c>
      <c r="P659">
        <v>219</v>
      </c>
    </row>
    <row r="660" spans="1:17" x14ac:dyDescent="0.3">
      <c r="A660" t="s">
        <v>5159</v>
      </c>
      <c r="B660" t="s">
        <v>5160</v>
      </c>
      <c r="C660" t="s">
        <v>5161</v>
      </c>
      <c r="D660" t="s">
        <v>5162</v>
      </c>
      <c r="E660" t="s">
        <v>5163</v>
      </c>
      <c r="F660" t="s">
        <v>5164</v>
      </c>
      <c r="I660" t="s">
        <v>5165</v>
      </c>
      <c r="J660">
        <v>9175184678</v>
      </c>
      <c r="K660" t="s">
        <v>5166</v>
      </c>
      <c r="L660">
        <v>1234</v>
      </c>
      <c r="M660" t="s">
        <v>645</v>
      </c>
      <c r="N660" t="s">
        <v>398</v>
      </c>
      <c r="O660" t="s">
        <v>685</v>
      </c>
      <c r="P660">
        <v>2033</v>
      </c>
    </row>
    <row r="661" spans="1:17" x14ac:dyDescent="0.3">
      <c r="A661" t="s">
        <v>5167</v>
      </c>
      <c r="B661" t="s">
        <v>5168</v>
      </c>
      <c r="C661" t="s">
        <v>1641</v>
      </c>
      <c r="D661" t="s">
        <v>5169</v>
      </c>
      <c r="E661" t="s">
        <v>704</v>
      </c>
      <c r="F661" t="s">
        <v>5170</v>
      </c>
      <c r="G661">
        <v>0</v>
      </c>
      <c r="H661">
        <v>0</v>
      </c>
      <c r="I661" t="s">
        <v>5171</v>
      </c>
      <c r="J661">
        <v>9173114449</v>
      </c>
      <c r="K661" t="s">
        <v>5172</v>
      </c>
      <c r="L661">
        <v>1234</v>
      </c>
      <c r="M661" t="s">
        <v>645</v>
      </c>
      <c r="N661" t="s">
        <v>336</v>
      </c>
      <c r="O661" t="s">
        <v>441</v>
      </c>
      <c r="P661">
        <v>2491</v>
      </c>
    </row>
    <row r="662" spans="1:17" x14ac:dyDescent="0.3">
      <c r="A662" t="s">
        <v>5173</v>
      </c>
      <c r="B662" t="s">
        <v>5174</v>
      </c>
      <c r="C662" t="s">
        <v>5175</v>
      </c>
      <c r="D662" t="s">
        <v>5176</v>
      </c>
      <c r="E662" t="s">
        <v>5177</v>
      </c>
      <c r="F662" t="s">
        <v>5178</v>
      </c>
      <c r="G662">
        <v>2.1457672118310401E-5</v>
      </c>
      <c r="H662">
        <v>8.58306884765625E-5</v>
      </c>
      <c r="I662" t="s">
        <v>5179</v>
      </c>
      <c r="J662" t="s">
        <v>5180</v>
      </c>
      <c r="K662" t="s">
        <v>5181</v>
      </c>
      <c r="L662">
        <v>1234</v>
      </c>
      <c r="M662" t="s">
        <v>645</v>
      </c>
      <c r="N662" t="s">
        <v>336</v>
      </c>
      <c r="O662" t="s">
        <v>441</v>
      </c>
      <c r="P662">
        <v>1591</v>
      </c>
    </row>
    <row r="663" spans="1:17" x14ac:dyDescent="0.3">
      <c r="A663" t="s">
        <v>5182</v>
      </c>
      <c r="B663" t="s">
        <v>5183</v>
      </c>
      <c r="C663" t="s">
        <v>5184</v>
      </c>
      <c r="D663" t="s">
        <v>5185</v>
      </c>
      <c r="E663" t="s">
        <v>2518</v>
      </c>
      <c r="F663" t="s">
        <v>5186</v>
      </c>
      <c r="G663">
        <v>0</v>
      </c>
      <c r="H663">
        <v>0</v>
      </c>
      <c r="I663" t="s">
        <v>5187</v>
      </c>
      <c r="J663">
        <v>9985963130</v>
      </c>
      <c r="K663" t="s">
        <v>5188</v>
      </c>
      <c r="L663" t="s">
        <v>5189</v>
      </c>
      <c r="M663" t="s">
        <v>645</v>
      </c>
      <c r="N663" t="s">
        <v>369</v>
      </c>
      <c r="O663" t="s">
        <v>370</v>
      </c>
      <c r="P663">
        <v>2672</v>
      </c>
      <c r="Q663" t="s">
        <v>5190</v>
      </c>
    </row>
    <row r="664" spans="1:17" x14ac:dyDescent="0.3">
      <c r="A664" t="s">
        <v>5191</v>
      </c>
      <c r="B664" t="s">
        <v>5192</v>
      </c>
      <c r="C664" t="s">
        <v>5193</v>
      </c>
      <c r="D664" t="s">
        <v>20</v>
      </c>
      <c r="E664" t="s">
        <v>5194</v>
      </c>
      <c r="F664" t="s">
        <v>5195</v>
      </c>
      <c r="G664">
        <v>0</v>
      </c>
      <c r="H664">
        <v>0</v>
      </c>
      <c r="I664" t="s">
        <v>5196</v>
      </c>
      <c r="J664">
        <v>9958422504</v>
      </c>
      <c r="K664" t="s">
        <v>5197</v>
      </c>
      <c r="L664">
        <v>1234</v>
      </c>
      <c r="M664" t="s">
        <v>645</v>
      </c>
      <c r="N664" t="s">
        <v>304</v>
      </c>
      <c r="O664" t="s">
        <v>323</v>
      </c>
      <c r="P664">
        <v>1840</v>
      </c>
    </row>
    <row r="665" spans="1:17" x14ac:dyDescent="0.3">
      <c r="A665" t="s">
        <v>5198</v>
      </c>
      <c r="B665" t="s">
        <v>2569</v>
      </c>
      <c r="C665" t="s">
        <v>5199</v>
      </c>
      <c r="D665" t="s">
        <v>2682</v>
      </c>
      <c r="E665" t="s">
        <v>2022</v>
      </c>
      <c r="F665" t="s">
        <v>5200</v>
      </c>
      <c r="I665" t="s">
        <v>5201</v>
      </c>
      <c r="J665">
        <v>9185448726</v>
      </c>
      <c r="K665" t="s">
        <v>5202</v>
      </c>
      <c r="L665">
        <v>1234</v>
      </c>
      <c r="M665" t="s">
        <v>645</v>
      </c>
      <c r="N665" t="s">
        <v>398</v>
      </c>
      <c r="O665" t="s">
        <v>685</v>
      </c>
      <c r="P665">
        <v>2655</v>
      </c>
    </row>
    <row r="666" spans="1:17" x14ac:dyDescent="0.3">
      <c r="A666" t="s">
        <v>5203</v>
      </c>
      <c r="B666" t="s">
        <v>3694</v>
      </c>
      <c r="C666" t="s">
        <v>5204</v>
      </c>
      <c r="D666" t="s">
        <v>5205</v>
      </c>
      <c r="E666" t="s">
        <v>5206</v>
      </c>
      <c r="F666" t="s">
        <v>5207</v>
      </c>
      <c r="G666">
        <v>0</v>
      </c>
      <c r="H666">
        <v>0</v>
      </c>
      <c r="I666" t="s">
        <v>5208</v>
      </c>
      <c r="J666">
        <f>-2- 8527-8780</f>
        <v>-17309</v>
      </c>
      <c r="K666" t="s">
        <v>5209</v>
      </c>
      <c r="L666" t="s">
        <v>5210</v>
      </c>
      <c r="M666" t="s">
        <v>645</v>
      </c>
      <c r="N666" t="s">
        <v>304</v>
      </c>
      <c r="O666" t="s">
        <v>323</v>
      </c>
      <c r="P666">
        <v>2330</v>
      </c>
    </row>
    <row r="667" spans="1:17" x14ac:dyDescent="0.3">
      <c r="A667" t="s">
        <v>5211</v>
      </c>
      <c r="F667" t="s">
        <v>5170</v>
      </c>
      <c r="K667" t="s">
        <v>5212</v>
      </c>
      <c r="L667">
        <v>1234</v>
      </c>
      <c r="M667" t="s">
        <v>645</v>
      </c>
      <c r="N667" t="s">
        <v>336</v>
      </c>
      <c r="O667" t="s">
        <v>441</v>
      </c>
      <c r="P667">
        <v>2491</v>
      </c>
    </row>
    <row r="668" spans="1:17" x14ac:dyDescent="0.3">
      <c r="A668" t="s">
        <v>5213</v>
      </c>
      <c r="B668" t="s">
        <v>5214</v>
      </c>
      <c r="C668" t="s">
        <v>5215</v>
      </c>
      <c r="D668" t="s">
        <v>5216</v>
      </c>
      <c r="E668" t="s">
        <v>1937</v>
      </c>
      <c r="F668" t="s">
        <v>5217</v>
      </c>
      <c r="G668">
        <v>15.1764413699605</v>
      </c>
      <c r="H668">
        <v>120.520877838134</v>
      </c>
      <c r="I668" t="s">
        <v>5218</v>
      </c>
      <c r="J668">
        <v>9999920848</v>
      </c>
      <c r="K668" t="s">
        <v>5219</v>
      </c>
      <c r="L668" t="s">
        <v>5220</v>
      </c>
      <c r="M668" t="s">
        <v>645</v>
      </c>
      <c r="N668" t="s">
        <v>369</v>
      </c>
      <c r="O668" t="s">
        <v>370</v>
      </c>
      <c r="P668">
        <v>2646</v>
      </c>
      <c r="Q668" t="s">
        <v>5221</v>
      </c>
    </row>
    <row r="669" spans="1:17" x14ac:dyDescent="0.3">
      <c r="A669" t="s">
        <v>5222</v>
      </c>
      <c r="B669" t="s">
        <v>912</v>
      </c>
      <c r="C669" t="s">
        <v>5223</v>
      </c>
      <c r="D669" t="s">
        <v>782</v>
      </c>
      <c r="E669" t="s">
        <v>597</v>
      </c>
      <c r="F669" t="s">
        <v>5224</v>
      </c>
      <c r="G669">
        <v>0</v>
      </c>
      <c r="H669">
        <v>0</v>
      </c>
      <c r="I669" t="s">
        <v>5225</v>
      </c>
      <c r="J669">
        <v>9274339413</v>
      </c>
      <c r="K669" t="s">
        <v>5226</v>
      </c>
      <c r="L669">
        <v>123</v>
      </c>
      <c r="M669" t="s">
        <v>645</v>
      </c>
      <c r="N669" t="s">
        <v>369</v>
      </c>
      <c r="O669" t="s">
        <v>370</v>
      </c>
      <c r="P669">
        <v>2647</v>
      </c>
    </row>
    <row r="670" spans="1:17" x14ac:dyDescent="0.3">
      <c r="A670" t="s">
        <v>5227</v>
      </c>
      <c r="B670" t="s">
        <v>5228</v>
      </c>
      <c r="C670" t="s">
        <v>5229</v>
      </c>
      <c r="D670" t="s">
        <v>5230</v>
      </c>
      <c r="E670" t="s">
        <v>5231</v>
      </c>
      <c r="F670" t="s">
        <v>5232</v>
      </c>
      <c r="G670">
        <v>3.4332275370086199E-3</v>
      </c>
      <c r="H670">
        <v>-1.71661376953125E-4</v>
      </c>
      <c r="I670" t="s">
        <v>5233</v>
      </c>
      <c r="J670" t="s">
        <v>5234</v>
      </c>
      <c r="K670" t="s">
        <v>5235</v>
      </c>
      <c r="L670">
        <v>1234</v>
      </c>
      <c r="M670" t="s">
        <v>645</v>
      </c>
      <c r="N670" t="s">
        <v>336</v>
      </c>
      <c r="O670" t="s">
        <v>515</v>
      </c>
      <c r="P670">
        <v>1522</v>
      </c>
    </row>
    <row r="671" spans="1:17" x14ac:dyDescent="0.3">
      <c r="A671" t="s">
        <v>5236</v>
      </c>
      <c r="B671" t="s">
        <v>5237</v>
      </c>
      <c r="C671" t="s">
        <v>5238</v>
      </c>
      <c r="D671" t="s">
        <v>2515</v>
      </c>
      <c r="E671" t="s">
        <v>5239</v>
      </c>
      <c r="F671" t="s">
        <v>5240</v>
      </c>
      <c r="G671">
        <v>0</v>
      </c>
      <c r="H671">
        <v>0</v>
      </c>
      <c r="I671" t="s">
        <v>5241</v>
      </c>
      <c r="J671" t="s">
        <v>5242</v>
      </c>
      <c r="K671" t="s">
        <v>5243</v>
      </c>
      <c r="L671">
        <v>987654321</v>
      </c>
      <c r="M671" t="s">
        <v>645</v>
      </c>
      <c r="N671" t="s">
        <v>779</v>
      </c>
      <c r="O671" t="s">
        <v>1049</v>
      </c>
      <c r="P671">
        <v>2601</v>
      </c>
    </row>
    <row r="672" spans="1:17" x14ac:dyDescent="0.3">
      <c r="A672" t="s">
        <v>5244</v>
      </c>
      <c r="B672" t="s">
        <v>5245</v>
      </c>
      <c r="C672" t="s">
        <v>5246</v>
      </c>
      <c r="D672" t="s">
        <v>4427</v>
      </c>
      <c r="E672" t="s">
        <v>1276</v>
      </c>
      <c r="F672" t="s">
        <v>5247</v>
      </c>
      <c r="I672" t="s">
        <v>5248</v>
      </c>
      <c r="J672">
        <v>9155624355</v>
      </c>
      <c r="K672" t="s">
        <v>5249</v>
      </c>
      <c r="L672">
        <v>1234</v>
      </c>
      <c r="M672" t="s">
        <v>645</v>
      </c>
      <c r="N672" t="s">
        <v>398</v>
      </c>
      <c r="O672" t="s">
        <v>685</v>
      </c>
      <c r="P672">
        <v>1567</v>
      </c>
    </row>
    <row r="673" spans="1:17" x14ac:dyDescent="0.3">
      <c r="A673" t="s">
        <v>5250</v>
      </c>
      <c r="B673" t="s">
        <v>5251</v>
      </c>
      <c r="C673" t="s">
        <v>5252</v>
      </c>
      <c r="D673" t="s">
        <v>5253</v>
      </c>
      <c r="E673" t="s">
        <v>477</v>
      </c>
      <c r="F673" t="s">
        <v>5254</v>
      </c>
      <c r="G673">
        <v>0</v>
      </c>
      <c r="H673">
        <v>0</v>
      </c>
      <c r="I673" t="s">
        <v>5255</v>
      </c>
      <c r="J673" t="s">
        <v>5256</v>
      </c>
      <c r="K673" t="s">
        <v>5257</v>
      </c>
      <c r="L673">
        <v>1234</v>
      </c>
      <c r="M673" t="s">
        <v>645</v>
      </c>
      <c r="N673" t="s">
        <v>304</v>
      </c>
      <c r="O673" t="s">
        <v>305</v>
      </c>
      <c r="P673">
        <v>1077</v>
      </c>
    </row>
    <row r="674" spans="1:17" x14ac:dyDescent="0.3">
      <c r="A674" t="s">
        <v>5258</v>
      </c>
      <c r="B674" t="s">
        <v>5259</v>
      </c>
      <c r="C674" t="s">
        <v>5260</v>
      </c>
      <c r="D674" t="s">
        <v>5261</v>
      </c>
      <c r="E674" t="s">
        <v>5262</v>
      </c>
      <c r="F674" t="s">
        <v>5263</v>
      </c>
      <c r="G674">
        <v>0</v>
      </c>
      <c r="H674">
        <v>0</v>
      </c>
      <c r="I674" t="s">
        <v>5264</v>
      </c>
      <c r="J674">
        <v>9060272378</v>
      </c>
      <c r="K674" t="s">
        <v>5265</v>
      </c>
      <c r="L674">
        <v>1234</v>
      </c>
      <c r="M674" t="s">
        <v>645</v>
      </c>
      <c r="N674" t="s">
        <v>336</v>
      </c>
      <c r="O674" t="s">
        <v>5266</v>
      </c>
      <c r="P674">
        <v>2677</v>
      </c>
      <c r="Q674" t="s">
        <v>5267</v>
      </c>
    </row>
    <row r="675" spans="1:17" x14ac:dyDescent="0.3">
      <c r="A675" t="s">
        <v>5268</v>
      </c>
      <c r="B675" t="s">
        <v>3938</v>
      </c>
      <c r="C675" t="s">
        <v>5269</v>
      </c>
      <c r="D675" t="s">
        <v>2293</v>
      </c>
      <c r="E675" t="s">
        <v>1339</v>
      </c>
      <c r="F675" t="s">
        <v>5270</v>
      </c>
      <c r="G675">
        <v>0</v>
      </c>
      <c r="H675">
        <v>0</v>
      </c>
      <c r="I675" t="s">
        <v>5271</v>
      </c>
      <c r="J675" t="s">
        <v>5272</v>
      </c>
      <c r="K675" t="s">
        <v>5273</v>
      </c>
      <c r="L675">
        <v>1234</v>
      </c>
      <c r="M675" t="s">
        <v>645</v>
      </c>
      <c r="N675" t="s">
        <v>336</v>
      </c>
      <c r="O675" t="s">
        <v>441</v>
      </c>
      <c r="P675">
        <v>2690</v>
      </c>
    </row>
    <row r="676" spans="1:17" x14ac:dyDescent="0.3">
      <c r="A676" t="s">
        <v>5274</v>
      </c>
      <c r="B676" t="s">
        <v>5275</v>
      </c>
      <c r="C676" t="s">
        <v>5276</v>
      </c>
      <c r="D676" t="s">
        <v>679</v>
      </c>
      <c r="E676" t="s">
        <v>5277</v>
      </c>
      <c r="F676" t="s">
        <v>5278</v>
      </c>
      <c r="G676">
        <v>15.176959</v>
      </c>
      <c r="H676">
        <v>120.52678</v>
      </c>
      <c r="I676" t="s">
        <v>5279</v>
      </c>
      <c r="J676" t="s">
        <v>5280</v>
      </c>
      <c r="K676" t="s">
        <v>5281</v>
      </c>
      <c r="L676">
        <v>1234</v>
      </c>
      <c r="M676" t="s">
        <v>645</v>
      </c>
      <c r="N676" t="s">
        <v>4734</v>
      </c>
      <c r="O676" t="s">
        <v>789</v>
      </c>
      <c r="P676">
        <v>346</v>
      </c>
    </row>
    <row r="677" spans="1:17" x14ac:dyDescent="0.3">
      <c r="A677" t="s">
        <v>5282</v>
      </c>
      <c r="B677" t="s">
        <v>5283</v>
      </c>
      <c r="C677" t="s">
        <v>5284</v>
      </c>
      <c r="D677" t="s">
        <v>5285</v>
      </c>
      <c r="E677" t="s">
        <v>1766</v>
      </c>
      <c r="F677" t="s">
        <v>5286</v>
      </c>
      <c r="G677">
        <v>0</v>
      </c>
      <c r="H677">
        <v>0</v>
      </c>
      <c r="I677" t="s">
        <v>5287</v>
      </c>
      <c r="J677" t="s">
        <v>5288</v>
      </c>
      <c r="K677" t="s">
        <v>5289</v>
      </c>
      <c r="L677">
        <v>1234</v>
      </c>
      <c r="M677" t="s">
        <v>645</v>
      </c>
      <c r="N677" t="s">
        <v>398</v>
      </c>
      <c r="O677" t="s">
        <v>1104</v>
      </c>
      <c r="P677">
        <v>2402</v>
      </c>
    </row>
    <row r="678" spans="1:17" x14ac:dyDescent="0.3">
      <c r="A678" t="s">
        <v>5290</v>
      </c>
      <c r="B678" t="s">
        <v>1512</v>
      </c>
      <c r="C678" t="s">
        <v>5291</v>
      </c>
      <c r="D678" t="s">
        <v>5292</v>
      </c>
      <c r="E678" t="s">
        <v>5293</v>
      </c>
      <c r="F678" t="s">
        <v>5294</v>
      </c>
      <c r="G678">
        <v>0</v>
      </c>
      <c r="H678">
        <v>0</v>
      </c>
      <c r="I678" t="s">
        <v>5295</v>
      </c>
      <c r="J678">
        <f>-45-599-2113-9178160442</f>
        <v>-9178163199</v>
      </c>
      <c r="K678" t="s">
        <v>5296</v>
      </c>
      <c r="L678" t="s">
        <v>5297</v>
      </c>
      <c r="M678" t="s">
        <v>645</v>
      </c>
      <c r="N678" t="s">
        <v>398</v>
      </c>
      <c r="O678" t="s">
        <v>1161</v>
      </c>
      <c r="P678">
        <v>323</v>
      </c>
    </row>
    <row r="679" spans="1:17" x14ac:dyDescent="0.3">
      <c r="A679" t="s">
        <v>5298</v>
      </c>
      <c r="B679" t="s">
        <v>653</v>
      </c>
      <c r="C679" t="s">
        <v>5299</v>
      </c>
      <c r="D679" t="s">
        <v>5300</v>
      </c>
      <c r="E679" t="s">
        <v>793</v>
      </c>
      <c r="F679" t="s">
        <v>5301</v>
      </c>
      <c r="G679">
        <v>0</v>
      </c>
      <c r="H679">
        <v>0</v>
      </c>
      <c r="I679" t="s">
        <v>5302</v>
      </c>
      <c r="J679">
        <v>9091606164</v>
      </c>
      <c r="K679" t="s">
        <v>5303</v>
      </c>
      <c r="L679" t="s">
        <v>5304</v>
      </c>
      <c r="M679" t="s">
        <v>645</v>
      </c>
      <c r="N679" t="s">
        <v>369</v>
      </c>
      <c r="O679" t="s">
        <v>370</v>
      </c>
      <c r="P679">
        <v>2710</v>
      </c>
    </row>
    <row r="680" spans="1:17" x14ac:dyDescent="0.3">
      <c r="A680" t="s">
        <v>5305</v>
      </c>
      <c r="B680" t="s">
        <v>5306</v>
      </c>
      <c r="C680" t="s">
        <v>5307</v>
      </c>
      <c r="D680" t="s">
        <v>5308</v>
      </c>
      <c r="E680" t="s">
        <v>5309</v>
      </c>
      <c r="F680" t="s">
        <v>5310</v>
      </c>
      <c r="G680">
        <v>0</v>
      </c>
      <c r="H680">
        <v>0</v>
      </c>
      <c r="I680" t="s">
        <v>5311</v>
      </c>
      <c r="J680">
        <v>9422464265</v>
      </c>
      <c r="K680" t="s">
        <v>5312</v>
      </c>
      <c r="L680">
        <v>1234</v>
      </c>
      <c r="M680" t="s">
        <v>645</v>
      </c>
      <c r="N680" t="s">
        <v>16</v>
      </c>
      <c r="O680" t="s">
        <v>292</v>
      </c>
      <c r="P680">
        <v>138</v>
      </c>
    </row>
    <row r="681" spans="1:17" x14ac:dyDescent="0.3">
      <c r="A681" t="s">
        <v>5313</v>
      </c>
      <c r="B681" t="s">
        <v>88</v>
      </c>
      <c r="C681" t="s">
        <v>3281</v>
      </c>
      <c r="D681" t="s">
        <v>426</v>
      </c>
      <c r="E681" t="s">
        <v>23</v>
      </c>
      <c r="F681" t="s">
        <v>5314</v>
      </c>
      <c r="G681">
        <v>0</v>
      </c>
      <c r="H681">
        <v>0</v>
      </c>
      <c r="I681" t="s">
        <v>4450</v>
      </c>
      <c r="J681" t="s">
        <v>4451</v>
      </c>
      <c r="K681" t="s">
        <v>5315</v>
      </c>
      <c r="L681">
        <v>1234</v>
      </c>
      <c r="M681" t="s">
        <v>645</v>
      </c>
      <c r="N681" t="s">
        <v>398</v>
      </c>
      <c r="O681" t="s">
        <v>1104</v>
      </c>
      <c r="P681">
        <v>2633</v>
      </c>
    </row>
    <row r="682" spans="1:17" x14ac:dyDescent="0.3">
      <c r="A682" t="s">
        <v>5316</v>
      </c>
      <c r="B682" t="s">
        <v>5317</v>
      </c>
      <c r="C682" t="s">
        <v>5318</v>
      </c>
      <c r="D682" t="s">
        <v>539</v>
      </c>
      <c r="E682" t="s">
        <v>1276</v>
      </c>
      <c r="F682" t="s">
        <v>5319</v>
      </c>
      <c r="I682" t="s">
        <v>5320</v>
      </c>
      <c r="J682" t="s">
        <v>5321</v>
      </c>
      <c r="K682" t="s">
        <v>5322</v>
      </c>
      <c r="L682">
        <v>1234</v>
      </c>
      <c r="M682" t="s">
        <v>645</v>
      </c>
      <c r="N682" t="s">
        <v>398</v>
      </c>
      <c r="O682" t="s">
        <v>685</v>
      </c>
      <c r="P682">
        <v>2725</v>
      </c>
    </row>
    <row r="683" spans="1:17" x14ac:dyDescent="0.3">
      <c r="A683" t="s">
        <v>5323</v>
      </c>
      <c r="B683" t="s">
        <v>8</v>
      </c>
      <c r="C683" t="s">
        <v>5324</v>
      </c>
      <c r="D683" t="s">
        <v>5325</v>
      </c>
      <c r="E683" t="s">
        <v>5326</v>
      </c>
      <c r="F683" t="s">
        <v>5327</v>
      </c>
      <c r="G683">
        <v>0</v>
      </c>
      <c r="H683">
        <v>0</v>
      </c>
      <c r="I683" t="s">
        <v>5328</v>
      </c>
      <c r="J683">
        <v>9186568664</v>
      </c>
      <c r="K683" t="s">
        <v>5329</v>
      </c>
      <c r="L683">
        <v>1234</v>
      </c>
      <c r="M683" t="s">
        <v>645</v>
      </c>
      <c r="N683" t="s">
        <v>336</v>
      </c>
      <c r="O683" t="s">
        <v>441</v>
      </c>
      <c r="P683">
        <v>2187</v>
      </c>
    </row>
    <row r="684" spans="1:17" x14ac:dyDescent="0.3">
      <c r="A684" t="s">
        <v>5330</v>
      </c>
      <c r="B684" t="s">
        <v>5331</v>
      </c>
      <c r="C684" t="s">
        <v>5332</v>
      </c>
      <c r="D684" t="s">
        <v>5333</v>
      </c>
      <c r="E684" t="s">
        <v>1894</v>
      </c>
      <c r="F684" t="s">
        <v>5334</v>
      </c>
      <c r="G684">
        <v>-9.6323444769577202E-2</v>
      </c>
      <c r="H684">
        <v>-0.29313325881958002</v>
      </c>
      <c r="I684" t="s">
        <v>5335</v>
      </c>
      <c r="J684" t="s">
        <v>5336</v>
      </c>
      <c r="K684" t="s">
        <v>5337</v>
      </c>
      <c r="L684">
        <v>81525</v>
      </c>
      <c r="M684" t="s">
        <v>645</v>
      </c>
      <c r="N684" t="s">
        <v>206</v>
      </c>
      <c r="O684" t="s">
        <v>337</v>
      </c>
      <c r="P684">
        <v>2704</v>
      </c>
      <c r="Q684" t="s">
        <v>5338</v>
      </c>
    </row>
    <row r="685" spans="1:17" x14ac:dyDescent="0.3">
      <c r="A685" t="s">
        <v>5339</v>
      </c>
      <c r="B685" t="s">
        <v>5340</v>
      </c>
      <c r="C685" t="s">
        <v>5341</v>
      </c>
      <c r="D685" t="s">
        <v>3317</v>
      </c>
      <c r="E685" t="s">
        <v>286</v>
      </c>
      <c r="F685" t="s">
        <v>5342</v>
      </c>
      <c r="G685">
        <v>0</v>
      </c>
      <c r="H685">
        <v>0</v>
      </c>
      <c r="I685" t="s">
        <v>5343</v>
      </c>
      <c r="J685">
        <v>9284274926</v>
      </c>
      <c r="K685" t="s">
        <v>5344</v>
      </c>
      <c r="L685">
        <v>1234</v>
      </c>
      <c r="M685" t="s">
        <v>645</v>
      </c>
      <c r="N685" t="s">
        <v>398</v>
      </c>
      <c r="O685" t="s">
        <v>582</v>
      </c>
      <c r="P685">
        <v>2732</v>
      </c>
      <c r="Q685" t="s">
        <v>5345</v>
      </c>
    </row>
    <row r="686" spans="1:17" x14ac:dyDescent="0.3">
      <c r="A686" t="s">
        <v>5346</v>
      </c>
      <c r="B686" t="s">
        <v>5347</v>
      </c>
      <c r="C686" t="s">
        <v>5348</v>
      </c>
      <c r="D686" t="s">
        <v>5349</v>
      </c>
      <c r="E686" t="s">
        <v>957</v>
      </c>
      <c r="F686" t="s">
        <v>5350</v>
      </c>
      <c r="G686">
        <v>0</v>
      </c>
      <c r="H686">
        <v>0</v>
      </c>
      <c r="I686" t="s">
        <v>5351</v>
      </c>
      <c r="J686">
        <v>9398611613</v>
      </c>
      <c r="K686" t="s">
        <v>5352</v>
      </c>
      <c r="L686" t="s">
        <v>5353</v>
      </c>
      <c r="M686" t="s">
        <v>645</v>
      </c>
      <c r="N686" t="s">
        <v>336</v>
      </c>
      <c r="O686" t="s">
        <v>337</v>
      </c>
      <c r="P686">
        <v>2706</v>
      </c>
    </row>
    <row r="687" spans="1:17" x14ac:dyDescent="0.3">
      <c r="A687" t="s">
        <v>5354</v>
      </c>
      <c r="B687" t="s">
        <v>944</v>
      </c>
      <c r="C687" t="s">
        <v>5355</v>
      </c>
      <c r="D687" t="s">
        <v>5356</v>
      </c>
      <c r="E687" t="s">
        <v>1276</v>
      </c>
      <c r="F687" t="s">
        <v>5357</v>
      </c>
      <c r="I687" t="s">
        <v>5358</v>
      </c>
      <c r="J687">
        <v>9151317318</v>
      </c>
      <c r="K687" t="s">
        <v>5359</v>
      </c>
      <c r="L687">
        <v>1234</v>
      </c>
      <c r="M687" t="s">
        <v>645</v>
      </c>
      <c r="N687" t="s">
        <v>398</v>
      </c>
      <c r="O687" t="s">
        <v>685</v>
      </c>
      <c r="P687">
        <v>1929</v>
      </c>
    </row>
    <row r="688" spans="1:17" x14ac:dyDescent="0.3">
      <c r="A688" t="s">
        <v>5360</v>
      </c>
      <c r="B688" t="s">
        <v>5361</v>
      </c>
      <c r="C688" t="s">
        <v>5362</v>
      </c>
      <c r="D688" t="s">
        <v>2576</v>
      </c>
      <c r="E688" t="s">
        <v>286</v>
      </c>
      <c r="F688" t="s">
        <v>5363</v>
      </c>
      <c r="G688">
        <v>0</v>
      </c>
      <c r="H688">
        <v>0</v>
      </c>
      <c r="I688" t="s">
        <v>5364</v>
      </c>
      <c r="J688">
        <v>9182505239</v>
      </c>
      <c r="K688" t="s">
        <v>5365</v>
      </c>
      <c r="L688">
        <v>1234</v>
      </c>
      <c r="M688" t="s">
        <v>645</v>
      </c>
      <c r="N688" t="s">
        <v>398</v>
      </c>
      <c r="O688" t="s">
        <v>582</v>
      </c>
      <c r="P688">
        <v>2679</v>
      </c>
    </row>
    <row r="689" spans="1:17" x14ac:dyDescent="0.3">
      <c r="A689" t="s">
        <v>5366</v>
      </c>
      <c r="B689" t="s">
        <v>5367</v>
      </c>
      <c r="C689" t="s">
        <v>5368</v>
      </c>
      <c r="D689" t="s">
        <v>1817</v>
      </c>
      <c r="E689" t="s">
        <v>1539</v>
      </c>
      <c r="F689" t="s">
        <v>5369</v>
      </c>
      <c r="G689">
        <v>15.176617399098999</v>
      </c>
      <c r="H689">
        <v>120.526027679443</v>
      </c>
      <c r="I689" t="s">
        <v>5370</v>
      </c>
      <c r="J689" t="s">
        <v>5371</v>
      </c>
      <c r="K689" t="s">
        <v>5372</v>
      </c>
      <c r="L689">
        <v>5905</v>
      </c>
      <c r="M689" t="s">
        <v>645</v>
      </c>
      <c r="N689" t="s">
        <v>398</v>
      </c>
      <c r="O689" t="s">
        <v>582</v>
      </c>
      <c r="P689">
        <v>2714</v>
      </c>
      <c r="Q689" t="s">
        <v>5373</v>
      </c>
    </row>
    <row r="690" spans="1:17" x14ac:dyDescent="0.3">
      <c r="A690" t="s">
        <v>5374</v>
      </c>
      <c r="B690" t="s">
        <v>5367</v>
      </c>
      <c r="C690" t="s">
        <v>5368</v>
      </c>
      <c r="D690" t="s">
        <v>1817</v>
      </c>
      <c r="E690" t="s">
        <v>1539</v>
      </c>
      <c r="F690" t="s">
        <v>5375</v>
      </c>
      <c r="G690">
        <v>15.176689881642799</v>
      </c>
      <c r="H690">
        <v>120.52598476409899</v>
      </c>
      <c r="I690" t="s">
        <v>5370</v>
      </c>
      <c r="J690" t="s">
        <v>5371</v>
      </c>
      <c r="K690" t="s">
        <v>5376</v>
      </c>
      <c r="L690">
        <v>5905</v>
      </c>
      <c r="M690" t="s">
        <v>645</v>
      </c>
      <c r="N690" t="s">
        <v>398</v>
      </c>
      <c r="O690" t="s">
        <v>582</v>
      </c>
      <c r="P690">
        <v>2713</v>
      </c>
      <c r="Q690" t="s">
        <v>5377</v>
      </c>
    </row>
    <row r="691" spans="1:17" x14ac:dyDescent="0.3">
      <c r="A691" t="s">
        <v>5378</v>
      </c>
      <c r="B691" t="s">
        <v>88</v>
      </c>
      <c r="C691" t="s">
        <v>5379</v>
      </c>
      <c r="D691" t="s">
        <v>3025</v>
      </c>
      <c r="E691" t="s">
        <v>1110</v>
      </c>
      <c r="F691" t="s">
        <v>5380</v>
      </c>
      <c r="G691">
        <v>0</v>
      </c>
      <c r="H691">
        <v>0</v>
      </c>
      <c r="I691" t="s">
        <v>5381</v>
      </c>
      <c r="J691">
        <v>9178002212</v>
      </c>
      <c r="K691" t="s">
        <v>5382</v>
      </c>
      <c r="L691">
        <v>8898</v>
      </c>
      <c r="M691" t="s">
        <v>645</v>
      </c>
      <c r="N691" t="s">
        <v>398</v>
      </c>
      <c r="O691" t="s">
        <v>582</v>
      </c>
      <c r="P691">
        <v>2660</v>
      </c>
      <c r="Q691" t="s">
        <v>5383</v>
      </c>
    </row>
    <row r="692" spans="1:17" x14ac:dyDescent="0.3">
      <c r="A692" t="s">
        <v>5384</v>
      </c>
      <c r="B692" t="s">
        <v>5385</v>
      </c>
      <c r="C692" t="s">
        <v>5386</v>
      </c>
      <c r="D692" t="s">
        <v>559</v>
      </c>
      <c r="E692" t="s">
        <v>717</v>
      </c>
      <c r="F692" t="s">
        <v>5387</v>
      </c>
      <c r="I692" t="s">
        <v>5388</v>
      </c>
      <c r="J692">
        <v>9231856429</v>
      </c>
      <c r="K692" t="s">
        <v>5389</v>
      </c>
      <c r="L692">
        <v>1234</v>
      </c>
      <c r="M692" t="s">
        <v>645</v>
      </c>
      <c r="N692" t="s">
        <v>398</v>
      </c>
      <c r="O692" t="s">
        <v>685</v>
      </c>
      <c r="P692">
        <v>2302</v>
      </c>
    </row>
    <row r="693" spans="1:17" x14ac:dyDescent="0.3">
      <c r="A693" t="s">
        <v>5390</v>
      </c>
      <c r="B693" t="s">
        <v>585</v>
      </c>
      <c r="C693" t="s">
        <v>4079</v>
      </c>
      <c r="D693" t="s">
        <v>5391</v>
      </c>
      <c r="E693" t="s">
        <v>1276</v>
      </c>
      <c r="F693" t="s">
        <v>5392</v>
      </c>
      <c r="I693" t="s">
        <v>5393</v>
      </c>
      <c r="J693">
        <v>9176242100</v>
      </c>
      <c r="K693" t="s">
        <v>5394</v>
      </c>
      <c r="L693">
        <v>1234</v>
      </c>
      <c r="M693" t="s">
        <v>645</v>
      </c>
      <c r="N693" t="s">
        <v>336</v>
      </c>
      <c r="O693" t="s">
        <v>441</v>
      </c>
      <c r="P693">
        <v>2556</v>
      </c>
    </row>
    <row r="694" spans="1:17" x14ac:dyDescent="0.3">
      <c r="A694" t="s">
        <v>5395</v>
      </c>
      <c r="B694" t="s">
        <v>5396</v>
      </c>
      <c r="C694" t="s">
        <v>5397</v>
      </c>
      <c r="D694" t="s">
        <v>5398</v>
      </c>
      <c r="E694" t="s">
        <v>5399</v>
      </c>
      <c r="F694" t="s">
        <v>5400</v>
      </c>
      <c r="G694">
        <v>0</v>
      </c>
      <c r="H694">
        <v>0</v>
      </c>
      <c r="I694" t="s">
        <v>5401</v>
      </c>
      <c r="J694">
        <v>9175347205</v>
      </c>
      <c r="K694" t="s">
        <v>5402</v>
      </c>
      <c r="L694">
        <v>1234</v>
      </c>
      <c r="M694" t="s">
        <v>645</v>
      </c>
      <c r="N694" t="s">
        <v>336</v>
      </c>
      <c r="O694" t="s">
        <v>515</v>
      </c>
      <c r="P694">
        <v>2746</v>
      </c>
    </row>
    <row r="695" spans="1:17" x14ac:dyDescent="0.3">
      <c r="A695" t="s">
        <v>5403</v>
      </c>
      <c r="B695" t="s">
        <v>4088</v>
      </c>
      <c r="C695" t="s">
        <v>5404</v>
      </c>
      <c r="D695" t="s">
        <v>5405</v>
      </c>
      <c r="E695" t="s">
        <v>5406</v>
      </c>
      <c r="F695" t="s">
        <v>5407</v>
      </c>
      <c r="G695">
        <v>0</v>
      </c>
      <c r="H695">
        <v>0</v>
      </c>
      <c r="I695" t="s">
        <v>5408</v>
      </c>
      <c r="J695" t="s">
        <v>5409</v>
      </c>
      <c r="K695" t="s">
        <v>5410</v>
      </c>
      <c r="L695">
        <v>1234</v>
      </c>
      <c r="M695" t="s">
        <v>645</v>
      </c>
      <c r="N695" t="s">
        <v>5411</v>
      </c>
      <c r="O695" t="s">
        <v>441</v>
      </c>
      <c r="P695">
        <v>2752</v>
      </c>
    </row>
    <row r="696" spans="1:17" x14ac:dyDescent="0.3">
      <c r="A696" t="s">
        <v>5412</v>
      </c>
      <c r="B696" t="s">
        <v>2582</v>
      </c>
      <c r="C696" t="s">
        <v>5413</v>
      </c>
      <c r="D696" t="s">
        <v>1086</v>
      </c>
      <c r="E696" t="s">
        <v>849</v>
      </c>
      <c r="F696" t="s">
        <v>5414</v>
      </c>
      <c r="G696">
        <v>0</v>
      </c>
      <c r="H696">
        <v>0</v>
      </c>
      <c r="I696" t="s">
        <v>645</v>
      </c>
      <c r="J696" t="s">
        <v>5415</v>
      </c>
      <c r="K696" t="s">
        <v>5416</v>
      </c>
      <c r="L696">
        <v>1234</v>
      </c>
      <c r="M696" t="s">
        <v>645</v>
      </c>
      <c r="N696" t="s">
        <v>57</v>
      </c>
      <c r="O696" t="s">
        <v>5417</v>
      </c>
      <c r="P696">
        <v>2705</v>
      </c>
    </row>
    <row r="697" spans="1:17" x14ac:dyDescent="0.3">
      <c r="A697" t="s">
        <v>5418</v>
      </c>
      <c r="B697" t="s">
        <v>5419</v>
      </c>
      <c r="C697" t="s">
        <v>5420</v>
      </c>
      <c r="D697" t="s">
        <v>1453</v>
      </c>
      <c r="E697" t="s">
        <v>4506</v>
      </c>
      <c r="F697" t="s">
        <v>5421</v>
      </c>
      <c r="G697">
        <v>0</v>
      </c>
      <c r="H697">
        <v>0</v>
      </c>
      <c r="I697" t="s">
        <v>5422</v>
      </c>
      <c r="J697">
        <v>9285053026</v>
      </c>
      <c r="K697" t="s">
        <v>5423</v>
      </c>
      <c r="L697">
        <v>1234</v>
      </c>
      <c r="M697" t="s">
        <v>645</v>
      </c>
      <c r="N697" t="s">
        <v>779</v>
      </c>
      <c r="O697" t="s">
        <v>3829</v>
      </c>
      <c r="P697">
        <v>2363</v>
      </c>
      <c r="Q697" t="s">
        <v>5424</v>
      </c>
    </row>
    <row r="698" spans="1:17" x14ac:dyDescent="0.3">
      <c r="A698" t="s">
        <v>5425</v>
      </c>
      <c r="B698" t="s">
        <v>5426</v>
      </c>
      <c r="C698" t="s">
        <v>5427</v>
      </c>
      <c r="D698" t="s">
        <v>2682</v>
      </c>
      <c r="E698" t="s">
        <v>3214</v>
      </c>
      <c r="F698" t="s">
        <v>5428</v>
      </c>
      <c r="G698">
        <v>0</v>
      </c>
      <c r="H698">
        <v>0</v>
      </c>
      <c r="I698" t="s">
        <v>5429</v>
      </c>
      <c r="J698" t="s">
        <v>5430</v>
      </c>
      <c r="K698" t="s">
        <v>5431</v>
      </c>
      <c r="L698">
        <v>1234</v>
      </c>
      <c r="M698" t="s">
        <v>645</v>
      </c>
      <c r="N698" t="s">
        <v>336</v>
      </c>
      <c r="O698" t="s">
        <v>515</v>
      </c>
      <c r="P698">
        <v>2627</v>
      </c>
      <c r="Q698" t="s">
        <v>5432</v>
      </c>
    </row>
    <row r="699" spans="1:17" x14ac:dyDescent="0.3">
      <c r="A699" t="s">
        <v>5433</v>
      </c>
      <c r="B699" t="s">
        <v>5434</v>
      </c>
      <c r="C699" t="s">
        <v>5435</v>
      </c>
      <c r="D699" t="s">
        <v>5436</v>
      </c>
      <c r="E699" t="s">
        <v>5437</v>
      </c>
      <c r="F699" t="s">
        <v>5438</v>
      </c>
      <c r="G699">
        <v>0</v>
      </c>
      <c r="H699">
        <v>0</v>
      </c>
      <c r="I699" t="s">
        <v>5439</v>
      </c>
      <c r="J699">
        <v>9451876168</v>
      </c>
      <c r="K699" t="s">
        <v>5440</v>
      </c>
      <c r="L699">
        <v>1234</v>
      </c>
      <c r="M699" t="s">
        <v>645</v>
      </c>
      <c r="N699" t="s">
        <v>871</v>
      </c>
      <c r="O699" t="s">
        <v>1628</v>
      </c>
      <c r="P699">
        <v>2639</v>
      </c>
    </row>
    <row r="700" spans="1:17" x14ac:dyDescent="0.3">
      <c r="A700" t="s">
        <v>5441</v>
      </c>
      <c r="B700" t="s">
        <v>3310</v>
      </c>
      <c r="C700" t="s">
        <v>3311</v>
      </c>
      <c r="D700" t="s">
        <v>2682</v>
      </c>
      <c r="E700" t="s">
        <v>2693</v>
      </c>
      <c r="F700" t="s">
        <v>5442</v>
      </c>
      <c r="G700">
        <v>0</v>
      </c>
      <c r="H700">
        <v>0</v>
      </c>
      <c r="I700" t="s">
        <v>3313</v>
      </c>
      <c r="J700">
        <v>9988464899</v>
      </c>
      <c r="K700" t="s">
        <v>5443</v>
      </c>
      <c r="L700">
        <v>1234</v>
      </c>
      <c r="M700" t="s">
        <v>645</v>
      </c>
      <c r="N700" t="s">
        <v>398</v>
      </c>
      <c r="O700" t="s">
        <v>1104</v>
      </c>
      <c r="P700">
        <v>1064</v>
      </c>
    </row>
    <row r="701" spans="1:17" x14ac:dyDescent="0.3">
      <c r="A701" t="s">
        <v>5444</v>
      </c>
      <c r="B701" t="s">
        <v>5445</v>
      </c>
      <c r="C701" t="s">
        <v>5446</v>
      </c>
      <c r="D701" t="s">
        <v>177</v>
      </c>
      <c r="F701" t="s">
        <v>5447</v>
      </c>
      <c r="I701" t="s">
        <v>5448</v>
      </c>
      <c r="J701">
        <v>9323623872</v>
      </c>
      <c r="K701" t="s">
        <v>5449</v>
      </c>
      <c r="L701" t="s">
        <v>5450</v>
      </c>
      <c r="M701" t="s">
        <v>645</v>
      </c>
      <c r="N701" t="s">
        <v>336</v>
      </c>
      <c r="O701" t="s">
        <v>515</v>
      </c>
      <c r="P701">
        <v>2754</v>
      </c>
    </row>
    <row r="702" spans="1:17" x14ac:dyDescent="0.3">
      <c r="A702" t="s">
        <v>5451</v>
      </c>
      <c r="B702" t="s">
        <v>5452</v>
      </c>
      <c r="C702" t="s">
        <v>5453</v>
      </c>
      <c r="D702" t="s">
        <v>5454</v>
      </c>
      <c r="E702" t="s">
        <v>833</v>
      </c>
      <c r="F702" t="s">
        <v>5455</v>
      </c>
      <c r="G702">
        <v>0</v>
      </c>
      <c r="H702">
        <v>0</v>
      </c>
      <c r="I702" t="s">
        <v>5456</v>
      </c>
      <c r="J702" t="s">
        <v>5457</v>
      </c>
      <c r="K702" t="s">
        <v>5458</v>
      </c>
      <c r="L702">
        <v>61518</v>
      </c>
      <c r="M702" t="s">
        <v>645</v>
      </c>
      <c r="N702" t="s">
        <v>398</v>
      </c>
      <c r="O702" t="s">
        <v>582</v>
      </c>
      <c r="P702">
        <v>2644</v>
      </c>
      <c r="Q702" t="s">
        <v>5459</v>
      </c>
    </row>
    <row r="703" spans="1:17" x14ac:dyDescent="0.3">
      <c r="A703" t="s">
        <v>5460</v>
      </c>
      <c r="B703" t="s">
        <v>5461</v>
      </c>
      <c r="C703" t="s">
        <v>4216</v>
      </c>
      <c r="D703" t="s">
        <v>5462</v>
      </c>
      <c r="E703" t="s">
        <v>5463</v>
      </c>
      <c r="F703" t="s">
        <v>5464</v>
      </c>
      <c r="G703">
        <v>0</v>
      </c>
      <c r="H703">
        <v>0</v>
      </c>
      <c r="I703" t="s">
        <v>5465</v>
      </c>
      <c r="J703">
        <v>9658093625</v>
      </c>
      <c r="K703" t="s">
        <v>5466</v>
      </c>
      <c r="L703" t="s">
        <v>5467</v>
      </c>
      <c r="M703" t="s">
        <v>645</v>
      </c>
      <c r="N703" t="s">
        <v>336</v>
      </c>
      <c r="O703" t="s">
        <v>337</v>
      </c>
      <c r="P703">
        <v>2741</v>
      </c>
      <c r="Q703" t="s">
        <v>5468</v>
      </c>
    </row>
    <row r="704" spans="1:17" x14ac:dyDescent="0.3">
      <c r="A704" t="s">
        <v>5469</v>
      </c>
      <c r="B704" t="s">
        <v>2582</v>
      </c>
      <c r="C704" t="s">
        <v>5470</v>
      </c>
      <c r="D704" t="s">
        <v>5471</v>
      </c>
      <c r="E704" t="s">
        <v>5472</v>
      </c>
      <c r="F704" t="s">
        <v>5473</v>
      </c>
      <c r="G704">
        <v>0</v>
      </c>
      <c r="H704">
        <v>0</v>
      </c>
      <c r="I704" t="s">
        <v>5474</v>
      </c>
      <c r="J704" t="s">
        <v>5475</v>
      </c>
      <c r="K704" t="s">
        <v>5476</v>
      </c>
      <c r="L704">
        <v>314</v>
      </c>
      <c r="M704" t="s">
        <v>645</v>
      </c>
      <c r="N704" t="s">
        <v>304</v>
      </c>
      <c r="O704" t="s">
        <v>323</v>
      </c>
      <c r="P704">
        <v>2718</v>
      </c>
      <c r="Q704" t="s">
        <v>5477</v>
      </c>
    </row>
    <row r="705" spans="1:17" x14ac:dyDescent="0.3">
      <c r="A705" t="s">
        <v>5478</v>
      </c>
      <c r="B705" t="s">
        <v>5479</v>
      </c>
      <c r="C705" t="s">
        <v>5480</v>
      </c>
      <c r="D705" t="s">
        <v>5481</v>
      </c>
      <c r="E705" t="s">
        <v>5482</v>
      </c>
      <c r="F705" t="s">
        <v>5483</v>
      </c>
      <c r="G705">
        <v>0</v>
      </c>
      <c r="H705">
        <v>0</v>
      </c>
      <c r="I705" t="s">
        <v>5484</v>
      </c>
      <c r="J705">
        <v>9454669883</v>
      </c>
      <c r="K705" t="s">
        <v>5485</v>
      </c>
      <c r="L705">
        <v>1234</v>
      </c>
      <c r="M705" t="s">
        <v>645</v>
      </c>
      <c r="N705" t="s">
        <v>398</v>
      </c>
      <c r="O705" t="s">
        <v>582</v>
      </c>
      <c r="P705">
        <v>2758</v>
      </c>
    </row>
    <row r="706" spans="1:17" x14ac:dyDescent="0.3">
      <c r="A706" t="s">
        <v>5486</v>
      </c>
      <c r="B706" t="s">
        <v>5487</v>
      </c>
      <c r="C706" t="s">
        <v>5488</v>
      </c>
      <c r="D706" t="s">
        <v>5489</v>
      </c>
      <c r="E706" t="s">
        <v>5490</v>
      </c>
      <c r="F706" t="s">
        <v>5491</v>
      </c>
      <c r="I706" t="s">
        <v>5492</v>
      </c>
      <c r="J706" t="s">
        <v>5493</v>
      </c>
      <c r="K706" t="s">
        <v>5494</v>
      </c>
      <c r="L706">
        <v>1234</v>
      </c>
      <c r="M706" t="s">
        <v>645</v>
      </c>
      <c r="N706" t="s">
        <v>336</v>
      </c>
      <c r="O706" t="s">
        <v>1628</v>
      </c>
      <c r="P706">
        <v>2076</v>
      </c>
    </row>
    <row r="707" spans="1:17" x14ac:dyDescent="0.3">
      <c r="A707" t="s">
        <v>5495</v>
      </c>
      <c r="B707" t="s">
        <v>5496</v>
      </c>
      <c r="C707" t="s">
        <v>5497</v>
      </c>
      <c r="D707" t="s">
        <v>5498</v>
      </c>
      <c r="E707" t="s">
        <v>5499</v>
      </c>
      <c r="F707" t="s">
        <v>5500</v>
      </c>
      <c r="G707">
        <v>15.1739976561789</v>
      </c>
      <c r="H707">
        <v>120.527744293212</v>
      </c>
      <c r="I707" t="s">
        <v>5501</v>
      </c>
      <c r="J707" t="s">
        <v>5502</v>
      </c>
      <c r="K707" t="s">
        <v>5503</v>
      </c>
      <c r="L707" t="s">
        <v>5504</v>
      </c>
      <c r="M707" t="s">
        <v>645</v>
      </c>
      <c r="N707" t="s">
        <v>16</v>
      </c>
      <c r="O707" t="s">
        <v>17</v>
      </c>
      <c r="P707">
        <v>2719</v>
      </c>
    </row>
    <row r="708" spans="1:17" x14ac:dyDescent="0.3">
      <c r="A708" t="s">
        <v>5505</v>
      </c>
      <c r="B708" t="s">
        <v>1780</v>
      </c>
      <c r="C708" t="s">
        <v>1367</v>
      </c>
      <c r="D708" t="s">
        <v>1781</v>
      </c>
      <c r="E708" t="s">
        <v>1782</v>
      </c>
      <c r="F708" t="s">
        <v>5455</v>
      </c>
      <c r="G708">
        <v>0</v>
      </c>
      <c r="H708">
        <v>0</v>
      </c>
      <c r="I708" t="s">
        <v>1784</v>
      </c>
      <c r="J708" t="s">
        <v>1785</v>
      </c>
      <c r="K708" t="s">
        <v>5506</v>
      </c>
      <c r="L708">
        <v>1234</v>
      </c>
      <c r="M708" t="s">
        <v>645</v>
      </c>
      <c r="N708" t="s">
        <v>336</v>
      </c>
      <c r="O708" t="s">
        <v>441</v>
      </c>
      <c r="P708">
        <v>2652</v>
      </c>
      <c r="Q708" t="s">
        <v>5507</v>
      </c>
    </row>
    <row r="709" spans="1:17" x14ac:dyDescent="0.3">
      <c r="A709" t="s">
        <v>1779</v>
      </c>
      <c r="B709" t="s">
        <v>1780</v>
      </c>
      <c r="C709" t="s">
        <v>1367</v>
      </c>
      <c r="D709" t="s">
        <v>1781</v>
      </c>
      <c r="E709" t="s">
        <v>1782</v>
      </c>
      <c r="F709" t="s">
        <v>1783</v>
      </c>
      <c r="G709">
        <v>15.178578699999999</v>
      </c>
      <c r="H709">
        <v>120.51842980000001</v>
      </c>
      <c r="I709" t="s">
        <v>1784</v>
      </c>
      <c r="J709" t="s">
        <v>1785</v>
      </c>
      <c r="K709" t="s">
        <v>1786</v>
      </c>
      <c r="L709">
        <v>1234</v>
      </c>
      <c r="M709" t="s">
        <v>645</v>
      </c>
      <c r="N709" t="s">
        <v>336</v>
      </c>
      <c r="O709" t="s">
        <v>441</v>
      </c>
      <c r="P709">
        <v>2373</v>
      </c>
      <c r="Q709" t="s">
        <v>1787</v>
      </c>
    </row>
    <row r="710" spans="1:17" x14ac:dyDescent="0.3">
      <c r="A710" t="s">
        <v>5508</v>
      </c>
      <c r="B710" t="s">
        <v>5509</v>
      </c>
      <c r="C710" t="s">
        <v>5510</v>
      </c>
      <c r="D710" t="s">
        <v>5511</v>
      </c>
      <c r="E710" t="s">
        <v>89</v>
      </c>
      <c r="F710" t="s">
        <v>5512</v>
      </c>
      <c r="G710">
        <v>1.2338161468346501E-4</v>
      </c>
      <c r="H710">
        <v>-1.44839286804199E-3</v>
      </c>
      <c r="I710" t="s">
        <v>5513</v>
      </c>
      <c r="J710" t="s">
        <v>5514</v>
      </c>
      <c r="K710" t="s">
        <v>5515</v>
      </c>
      <c r="L710">
        <v>1234</v>
      </c>
      <c r="M710" t="s">
        <v>645</v>
      </c>
      <c r="N710" t="s">
        <v>336</v>
      </c>
      <c r="O710" t="s">
        <v>5516</v>
      </c>
      <c r="P710">
        <v>2723</v>
      </c>
    </row>
    <row r="711" spans="1:17" x14ac:dyDescent="0.3">
      <c r="A711" t="s">
        <v>5517</v>
      </c>
      <c r="B711" t="s">
        <v>1907</v>
      </c>
      <c r="C711" t="s">
        <v>5518</v>
      </c>
      <c r="D711" t="s">
        <v>426</v>
      </c>
      <c r="E711" t="s">
        <v>2253</v>
      </c>
      <c r="F711" t="s">
        <v>5519</v>
      </c>
      <c r="G711">
        <v>0</v>
      </c>
      <c r="H711">
        <v>0</v>
      </c>
      <c r="I711" t="s">
        <v>5520</v>
      </c>
      <c r="J711">
        <v>9274036307</v>
      </c>
      <c r="K711" t="s">
        <v>5521</v>
      </c>
      <c r="L711">
        <v>1234</v>
      </c>
      <c r="M711" t="s">
        <v>645</v>
      </c>
      <c r="N711" t="s">
        <v>369</v>
      </c>
      <c r="O711" t="s">
        <v>370</v>
      </c>
      <c r="P711">
        <v>2698</v>
      </c>
    </row>
    <row r="712" spans="1:17" x14ac:dyDescent="0.3">
      <c r="A712" t="s">
        <v>5522</v>
      </c>
      <c r="B712" t="s">
        <v>5523</v>
      </c>
      <c r="C712" t="s">
        <v>5524</v>
      </c>
      <c r="D712" t="s">
        <v>2682</v>
      </c>
      <c r="E712" t="s">
        <v>1985</v>
      </c>
      <c r="F712" t="s">
        <v>5525</v>
      </c>
      <c r="G712">
        <v>15.1792785276135</v>
      </c>
      <c r="H712">
        <v>120.527830123901</v>
      </c>
      <c r="I712" t="s">
        <v>5526</v>
      </c>
      <c r="J712" t="s">
        <v>5527</v>
      </c>
      <c r="K712" t="s">
        <v>5528</v>
      </c>
      <c r="L712">
        <v>1234</v>
      </c>
      <c r="M712" t="s">
        <v>645</v>
      </c>
      <c r="N712" t="s">
        <v>398</v>
      </c>
      <c r="O712" t="s">
        <v>582</v>
      </c>
      <c r="P712">
        <v>2727</v>
      </c>
    </row>
    <row r="713" spans="1:17" x14ac:dyDescent="0.3">
      <c r="A713" t="s">
        <v>5529</v>
      </c>
      <c r="B713" t="s">
        <v>5530</v>
      </c>
      <c r="C713" t="s">
        <v>5531</v>
      </c>
      <c r="D713" t="s">
        <v>5532</v>
      </c>
      <c r="E713" t="s">
        <v>4903</v>
      </c>
      <c r="F713" t="s">
        <v>5533</v>
      </c>
      <c r="G713">
        <v>0</v>
      </c>
      <c r="H713">
        <v>0</v>
      </c>
      <c r="I713" t="s">
        <v>5534</v>
      </c>
      <c r="J713">
        <v>9478943549</v>
      </c>
      <c r="K713" t="s">
        <v>5535</v>
      </c>
      <c r="L713">
        <v>1234</v>
      </c>
      <c r="M713" t="s">
        <v>645</v>
      </c>
      <c r="N713" t="s">
        <v>779</v>
      </c>
      <c r="O713" t="s">
        <v>1178</v>
      </c>
      <c r="P713">
        <v>2009</v>
      </c>
    </row>
    <row r="714" spans="1:17" x14ac:dyDescent="0.3">
      <c r="A714" t="s">
        <v>5536</v>
      </c>
      <c r="B714" t="s">
        <v>5537</v>
      </c>
      <c r="C714" t="s">
        <v>5538</v>
      </c>
      <c r="E714" t="s">
        <v>1194</v>
      </c>
      <c r="F714" t="s">
        <v>5539</v>
      </c>
      <c r="G714">
        <v>0</v>
      </c>
      <c r="H714">
        <v>0</v>
      </c>
      <c r="I714" t="s">
        <v>5540</v>
      </c>
      <c r="J714">
        <v>9205016111</v>
      </c>
      <c r="K714" t="s">
        <v>5541</v>
      </c>
      <c r="L714">
        <v>1234</v>
      </c>
      <c r="M714" t="s">
        <v>645</v>
      </c>
      <c r="N714" t="s">
        <v>369</v>
      </c>
      <c r="O714" t="s">
        <v>370</v>
      </c>
      <c r="P714">
        <v>2669</v>
      </c>
    </row>
    <row r="715" spans="1:17" x14ac:dyDescent="0.3">
      <c r="A715" t="s">
        <v>5542</v>
      </c>
      <c r="B715" t="s">
        <v>5543</v>
      </c>
      <c r="C715" t="s">
        <v>5544</v>
      </c>
      <c r="D715" t="s">
        <v>1907</v>
      </c>
      <c r="E715" t="s">
        <v>1985</v>
      </c>
      <c r="F715" t="s">
        <v>5545</v>
      </c>
      <c r="G715">
        <v>0</v>
      </c>
      <c r="H715">
        <v>0</v>
      </c>
      <c r="I715" t="s">
        <v>5546</v>
      </c>
      <c r="J715" t="s">
        <v>5547</v>
      </c>
      <c r="K715" t="s">
        <v>5548</v>
      </c>
      <c r="L715" t="s">
        <v>5549</v>
      </c>
      <c r="M715" t="s">
        <v>645</v>
      </c>
      <c r="N715" t="s">
        <v>336</v>
      </c>
      <c r="O715" t="s">
        <v>441</v>
      </c>
      <c r="P715">
        <v>2728</v>
      </c>
      <c r="Q715" t="s">
        <v>5550</v>
      </c>
    </row>
    <row r="716" spans="1:17" x14ac:dyDescent="0.3">
      <c r="A716" t="s">
        <v>5551</v>
      </c>
      <c r="B716" t="s">
        <v>5552</v>
      </c>
      <c r="C716" t="s">
        <v>1753</v>
      </c>
      <c r="D716" t="s">
        <v>5553</v>
      </c>
      <c r="E716" t="s">
        <v>5554</v>
      </c>
      <c r="F716" t="s">
        <v>5555</v>
      </c>
      <c r="G716">
        <v>0</v>
      </c>
      <c r="H716">
        <v>0</v>
      </c>
      <c r="I716" t="s">
        <v>5556</v>
      </c>
      <c r="J716">
        <v>9365590376</v>
      </c>
      <c r="K716" t="s">
        <v>5557</v>
      </c>
      <c r="L716">
        <v>1234</v>
      </c>
      <c r="M716" t="s">
        <v>645</v>
      </c>
      <c r="N716" t="s">
        <v>5558</v>
      </c>
      <c r="O716" t="s">
        <v>1885</v>
      </c>
      <c r="P716">
        <v>685</v>
      </c>
    </row>
    <row r="717" spans="1:17" x14ac:dyDescent="0.3">
      <c r="A717" t="s">
        <v>5559</v>
      </c>
      <c r="B717" t="s">
        <v>5560</v>
      </c>
      <c r="C717" t="s">
        <v>5561</v>
      </c>
      <c r="D717" t="s">
        <v>2021</v>
      </c>
      <c r="E717" t="s">
        <v>5562</v>
      </c>
      <c r="F717" t="s">
        <v>5563</v>
      </c>
      <c r="I717" t="s">
        <v>5564</v>
      </c>
      <c r="J717" t="s">
        <v>5565</v>
      </c>
      <c r="K717" t="s">
        <v>5566</v>
      </c>
      <c r="L717" t="s">
        <v>5567</v>
      </c>
      <c r="M717" t="s">
        <v>645</v>
      </c>
      <c r="N717" t="s">
        <v>336</v>
      </c>
      <c r="O717" t="s">
        <v>5516</v>
      </c>
      <c r="P717">
        <v>2760</v>
      </c>
    </row>
    <row r="718" spans="1:17" x14ac:dyDescent="0.3">
      <c r="A718" t="s">
        <v>5568</v>
      </c>
      <c r="B718" t="s">
        <v>5569</v>
      </c>
      <c r="C718" t="s">
        <v>5570</v>
      </c>
      <c r="D718" t="s">
        <v>1319</v>
      </c>
      <c r="E718" t="s">
        <v>77</v>
      </c>
      <c r="F718" t="s">
        <v>5571</v>
      </c>
      <c r="G718">
        <v>0</v>
      </c>
      <c r="H718">
        <v>0</v>
      </c>
      <c r="I718" t="s">
        <v>5572</v>
      </c>
      <c r="J718">
        <v>9223246923</v>
      </c>
      <c r="K718" t="s">
        <v>5573</v>
      </c>
      <c r="L718" t="s">
        <v>5574</v>
      </c>
      <c r="M718" t="s">
        <v>645</v>
      </c>
      <c r="N718" t="s">
        <v>369</v>
      </c>
      <c r="O718" t="s">
        <v>370</v>
      </c>
      <c r="P718">
        <v>2736</v>
      </c>
    </row>
    <row r="719" spans="1:17" x14ac:dyDescent="0.3">
      <c r="A719" t="s">
        <v>5575</v>
      </c>
      <c r="B719" t="s">
        <v>5576</v>
      </c>
      <c r="C719" t="s">
        <v>5577</v>
      </c>
      <c r="D719" t="s">
        <v>5578</v>
      </c>
      <c r="E719" t="s">
        <v>5579</v>
      </c>
      <c r="F719" t="s">
        <v>5580</v>
      </c>
      <c r="G719">
        <v>0</v>
      </c>
      <c r="H719">
        <v>0</v>
      </c>
      <c r="I719" t="s">
        <v>5581</v>
      </c>
      <c r="J719" t="s">
        <v>5582</v>
      </c>
      <c r="K719" t="s">
        <v>5583</v>
      </c>
      <c r="L719" t="s">
        <v>5584</v>
      </c>
      <c r="M719" t="s">
        <v>645</v>
      </c>
      <c r="N719" t="s">
        <v>398</v>
      </c>
      <c r="O719" t="s">
        <v>5585</v>
      </c>
      <c r="P719">
        <v>2202</v>
      </c>
      <c r="Q719" t="s">
        <v>5586</v>
      </c>
    </row>
    <row r="720" spans="1:17" x14ac:dyDescent="0.3">
      <c r="A720" t="s">
        <v>5587</v>
      </c>
      <c r="B720" t="s">
        <v>5588</v>
      </c>
      <c r="C720" t="s">
        <v>5589</v>
      </c>
      <c r="D720" t="s">
        <v>4434</v>
      </c>
      <c r="E720" t="s">
        <v>5590</v>
      </c>
      <c r="F720" t="s">
        <v>5591</v>
      </c>
      <c r="I720" t="s">
        <v>5592</v>
      </c>
      <c r="J720">
        <v>9393360594</v>
      </c>
      <c r="K720" t="s">
        <v>5593</v>
      </c>
      <c r="L720" t="s">
        <v>5594</v>
      </c>
      <c r="M720" t="s">
        <v>645</v>
      </c>
      <c r="N720" t="s">
        <v>336</v>
      </c>
      <c r="O720" t="s">
        <v>337</v>
      </c>
      <c r="P720">
        <v>2762</v>
      </c>
      <c r="Q720" t="s">
        <v>5595</v>
      </c>
    </row>
    <row r="721" spans="1:17" x14ac:dyDescent="0.3">
      <c r="A721" t="s">
        <v>5596</v>
      </c>
      <c r="B721" t="s">
        <v>5597</v>
      </c>
      <c r="C721" t="s">
        <v>5598</v>
      </c>
      <c r="D721" t="s">
        <v>5599</v>
      </c>
      <c r="E721" t="s">
        <v>2510</v>
      </c>
      <c r="F721" t="s">
        <v>5600</v>
      </c>
      <c r="G721">
        <v>0</v>
      </c>
      <c r="H721">
        <v>0</v>
      </c>
      <c r="I721" t="s">
        <v>5601</v>
      </c>
      <c r="J721">
        <v>9177916966</v>
      </c>
      <c r="K721" t="s">
        <v>5602</v>
      </c>
      <c r="L721">
        <v>1234</v>
      </c>
      <c r="M721" t="s">
        <v>645</v>
      </c>
      <c r="N721" t="s">
        <v>304</v>
      </c>
      <c r="O721" t="s">
        <v>323</v>
      </c>
      <c r="P721">
        <v>2173</v>
      </c>
    </row>
    <row r="722" spans="1:17" x14ac:dyDescent="0.3">
      <c r="A722" t="s">
        <v>5603</v>
      </c>
      <c r="B722" t="s">
        <v>5604</v>
      </c>
      <c r="C722" t="s">
        <v>5446</v>
      </c>
      <c r="D722" t="s">
        <v>5398</v>
      </c>
      <c r="E722" t="s">
        <v>5605</v>
      </c>
      <c r="F722" t="s">
        <v>5606</v>
      </c>
      <c r="G722">
        <v>0</v>
      </c>
      <c r="H722">
        <v>0</v>
      </c>
      <c r="I722" t="s">
        <v>5607</v>
      </c>
      <c r="J722">
        <v>9178463763</v>
      </c>
      <c r="K722" t="s">
        <v>5608</v>
      </c>
      <c r="L722">
        <v>1234</v>
      </c>
      <c r="M722" t="s">
        <v>645</v>
      </c>
      <c r="N722" t="s">
        <v>398</v>
      </c>
      <c r="O722" t="s">
        <v>685</v>
      </c>
      <c r="P722">
        <v>2685</v>
      </c>
    </row>
    <row r="723" spans="1:17" x14ac:dyDescent="0.3">
      <c r="A723" t="s">
        <v>5609</v>
      </c>
      <c r="B723" t="s">
        <v>5610</v>
      </c>
      <c r="C723" t="s">
        <v>5611</v>
      </c>
      <c r="D723" t="s">
        <v>5612</v>
      </c>
      <c r="E723" t="s">
        <v>1038</v>
      </c>
      <c r="F723" t="s">
        <v>5613</v>
      </c>
      <c r="G723">
        <v>0</v>
      </c>
      <c r="H723">
        <v>0</v>
      </c>
      <c r="I723" t="s">
        <v>5614</v>
      </c>
      <c r="J723" t="s">
        <v>5615</v>
      </c>
      <c r="K723" t="s">
        <v>5616</v>
      </c>
      <c r="L723">
        <v>1234</v>
      </c>
      <c r="M723" t="s">
        <v>645</v>
      </c>
      <c r="N723" t="s">
        <v>779</v>
      </c>
      <c r="O723" t="s">
        <v>2414</v>
      </c>
      <c r="P723">
        <v>2625</v>
      </c>
    </row>
    <row r="724" spans="1:17" x14ac:dyDescent="0.3">
      <c r="A724" t="s">
        <v>5617</v>
      </c>
      <c r="B724" t="s">
        <v>3177</v>
      </c>
      <c r="C724" t="s">
        <v>5618</v>
      </c>
      <c r="D724" t="s">
        <v>5619</v>
      </c>
      <c r="E724" t="s">
        <v>329</v>
      </c>
      <c r="F724" t="s">
        <v>5620</v>
      </c>
      <c r="G724">
        <v>15.1728948693048</v>
      </c>
      <c r="H724">
        <v>-239.47944939136499</v>
      </c>
      <c r="I724" t="s">
        <v>5621</v>
      </c>
      <c r="J724">
        <v>9072049438</v>
      </c>
      <c r="K724" t="s">
        <v>5622</v>
      </c>
      <c r="L724">
        <v>1234</v>
      </c>
      <c r="M724" t="s">
        <v>645</v>
      </c>
      <c r="N724" t="s">
        <v>16</v>
      </c>
      <c r="O724" t="s">
        <v>292</v>
      </c>
      <c r="P724">
        <v>2699</v>
      </c>
      <c r="Q724" t="s">
        <v>5623</v>
      </c>
    </row>
    <row r="725" spans="1:17" x14ac:dyDescent="0.3">
      <c r="A725" t="s">
        <v>5624</v>
      </c>
      <c r="B725" t="s">
        <v>486</v>
      </c>
      <c r="C725" t="s">
        <v>5625</v>
      </c>
      <c r="D725" t="s">
        <v>5626</v>
      </c>
      <c r="E725" t="s">
        <v>680</v>
      </c>
      <c r="F725" t="s">
        <v>5627</v>
      </c>
      <c r="G725">
        <v>0</v>
      </c>
      <c r="H725">
        <v>0</v>
      </c>
      <c r="I725" t="s">
        <v>5628</v>
      </c>
      <c r="J725">
        <v>9754215943</v>
      </c>
      <c r="K725" t="s">
        <v>5629</v>
      </c>
      <c r="L725" t="s">
        <v>5630</v>
      </c>
      <c r="M725" t="s">
        <v>645</v>
      </c>
      <c r="N725" t="s">
        <v>398</v>
      </c>
      <c r="O725" t="s">
        <v>582</v>
      </c>
      <c r="P725">
        <v>2756</v>
      </c>
    </row>
    <row r="726" spans="1:17" x14ac:dyDescent="0.3">
      <c r="A726" t="s">
        <v>5631</v>
      </c>
      <c r="B726" t="s">
        <v>5632</v>
      </c>
      <c r="C726" t="s">
        <v>5633</v>
      </c>
      <c r="D726" t="s">
        <v>5634</v>
      </c>
      <c r="E726" t="s">
        <v>680</v>
      </c>
      <c r="F726" t="s">
        <v>5635</v>
      </c>
      <c r="G726">
        <v>0</v>
      </c>
      <c r="H726">
        <v>0</v>
      </c>
      <c r="I726" t="s">
        <v>5636</v>
      </c>
      <c r="J726" t="s">
        <v>5637</v>
      </c>
      <c r="K726" t="s">
        <v>5638</v>
      </c>
      <c r="L726">
        <v>1234</v>
      </c>
      <c r="M726" t="s">
        <v>645</v>
      </c>
      <c r="N726" t="s">
        <v>398</v>
      </c>
      <c r="O726" t="s">
        <v>1104</v>
      </c>
      <c r="P726">
        <v>2404</v>
      </c>
    </row>
    <row r="727" spans="1:17" x14ac:dyDescent="0.3">
      <c r="A727" t="s">
        <v>5639</v>
      </c>
      <c r="B727" t="s">
        <v>5640</v>
      </c>
      <c r="C727" t="s">
        <v>5641</v>
      </c>
      <c r="D727" t="s">
        <v>5642</v>
      </c>
      <c r="E727" t="s">
        <v>5643</v>
      </c>
      <c r="F727" t="s">
        <v>5644</v>
      </c>
      <c r="I727" t="s">
        <v>5645</v>
      </c>
      <c r="J727">
        <v>9063534694</v>
      </c>
      <c r="K727" t="s">
        <v>5646</v>
      </c>
      <c r="L727">
        <v>1234</v>
      </c>
      <c r="M727" t="s">
        <v>645</v>
      </c>
      <c r="N727" t="s">
        <v>336</v>
      </c>
      <c r="O727" t="s">
        <v>515</v>
      </c>
      <c r="P727">
        <v>1376</v>
      </c>
    </row>
    <row r="728" spans="1:17" x14ac:dyDescent="0.3">
      <c r="A728" t="s">
        <v>5647</v>
      </c>
      <c r="B728" t="s">
        <v>5648</v>
      </c>
      <c r="C728" t="s">
        <v>5649</v>
      </c>
      <c r="D728" t="s">
        <v>5650</v>
      </c>
      <c r="E728" t="s">
        <v>5651</v>
      </c>
      <c r="F728" t="s">
        <v>5652</v>
      </c>
      <c r="G728">
        <v>0</v>
      </c>
      <c r="H728">
        <v>0</v>
      </c>
      <c r="I728" t="s">
        <v>5653</v>
      </c>
      <c r="J728">
        <v>9384853715</v>
      </c>
      <c r="K728" t="s">
        <v>5654</v>
      </c>
      <c r="L728">
        <v>1234</v>
      </c>
      <c r="M728" t="s">
        <v>645</v>
      </c>
      <c r="N728" t="s">
        <v>336</v>
      </c>
      <c r="O728" t="s">
        <v>515</v>
      </c>
      <c r="P728">
        <v>2786</v>
      </c>
    </row>
    <row r="729" spans="1:17" x14ac:dyDescent="0.3">
      <c r="A729" t="s">
        <v>5655</v>
      </c>
      <c r="F729" t="s">
        <v>5656</v>
      </c>
      <c r="K729" t="s">
        <v>5657</v>
      </c>
      <c r="L729">
        <v>1234</v>
      </c>
      <c r="M729" t="s">
        <v>645</v>
      </c>
      <c r="N729" t="s">
        <v>710</v>
      </c>
      <c r="O729" t="s">
        <v>789</v>
      </c>
      <c r="P729">
        <v>346</v>
      </c>
    </row>
    <row r="730" spans="1:17" x14ac:dyDescent="0.3">
      <c r="A730" t="s">
        <v>5658</v>
      </c>
      <c r="B730" t="s">
        <v>5659</v>
      </c>
      <c r="C730" t="s">
        <v>5660</v>
      </c>
      <c r="D730" t="s">
        <v>5661</v>
      </c>
      <c r="E730" t="s">
        <v>3984</v>
      </c>
      <c r="F730" t="s">
        <v>5662</v>
      </c>
      <c r="G730">
        <v>0</v>
      </c>
      <c r="H730">
        <v>0</v>
      </c>
      <c r="I730" t="s">
        <v>5663</v>
      </c>
      <c r="J730">
        <v>9293491050</v>
      </c>
      <c r="K730" t="s">
        <v>5664</v>
      </c>
      <c r="L730" t="s">
        <v>5665</v>
      </c>
      <c r="M730" t="s">
        <v>645</v>
      </c>
      <c r="N730" t="s">
        <v>336</v>
      </c>
      <c r="O730" t="s">
        <v>515</v>
      </c>
      <c r="P730">
        <v>2761</v>
      </c>
    </row>
    <row r="731" spans="1:17" x14ac:dyDescent="0.3">
      <c r="A731" t="s">
        <v>5666</v>
      </c>
      <c r="B731" t="s">
        <v>2672</v>
      </c>
      <c r="C731" t="s">
        <v>2673</v>
      </c>
      <c r="D731" t="s">
        <v>1433</v>
      </c>
      <c r="E731" t="s">
        <v>5667</v>
      </c>
      <c r="F731" t="s">
        <v>5668</v>
      </c>
      <c r="G731">
        <v>15.186389</v>
      </c>
      <c r="H731">
        <v>480.55</v>
      </c>
      <c r="I731" t="s">
        <v>2676</v>
      </c>
      <c r="J731">
        <v>4998184</v>
      </c>
      <c r="K731" t="s">
        <v>5669</v>
      </c>
      <c r="L731">
        <v>1234</v>
      </c>
      <c r="M731" t="s">
        <v>645</v>
      </c>
      <c r="N731" t="s">
        <v>304</v>
      </c>
      <c r="O731" t="s">
        <v>305</v>
      </c>
      <c r="P731">
        <v>2684</v>
      </c>
    </row>
    <row r="732" spans="1:17" x14ac:dyDescent="0.3">
      <c r="A732" t="s">
        <v>5670</v>
      </c>
      <c r="B732" t="s">
        <v>5671</v>
      </c>
      <c r="C732" t="s">
        <v>5672</v>
      </c>
      <c r="D732" t="s">
        <v>756</v>
      </c>
      <c r="E732" t="s">
        <v>5673</v>
      </c>
      <c r="F732" t="s">
        <v>5674</v>
      </c>
      <c r="I732" t="s">
        <v>5675</v>
      </c>
      <c r="J732">
        <v>9178467122</v>
      </c>
      <c r="K732" t="s">
        <v>5676</v>
      </c>
      <c r="L732">
        <v>1234</v>
      </c>
      <c r="M732" t="s">
        <v>645</v>
      </c>
      <c r="N732" t="s">
        <v>337</v>
      </c>
      <c r="O732" t="s">
        <v>336</v>
      </c>
      <c r="P732">
        <v>1234</v>
      </c>
    </row>
    <row r="733" spans="1:17" x14ac:dyDescent="0.3">
      <c r="A733" t="s">
        <v>5677</v>
      </c>
      <c r="B733" t="s">
        <v>5678</v>
      </c>
      <c r="C733" t="s">
        <v>5679</v>
      </c>
      <c r="D733" t="s">
        <v>5680</v>
      </c>
      <c r="E733" t="s">
        <v>4903</v>
      </c>
      <c r="F733" t="s">
        <v>5681</v>
      </c>
      <c r="G733">
        <v>0</v>
      </c>
      <c r="H733">
        <v>0</v>
      </c>
      <c r="I733" t="s">
        <v>5682</v>
      </c>
      <c r="J733">
        <v>459615743</v>
      </c>
      <c r="K733" t="s">
        <v>5683</v>
      </c>
      <c r="L733">
        <v>1234</v>
      </c>
      <c r="M733" t="s">
        <v>645</v>
      </c>
      <c r="N733" t="s">
        <v>779</v>
      </c>
      <c r="O733" t="s">
        <v>2414</v>
      </c>
      <c r="P733">
        <v>2069</v>
      </c>
    </row>
    <row r="734" spans="1:17" x14ac:dyDescent="0.3">
      <c r="A734" t="s">
        <v>5684</v>
      </c>
      <c r="B734" t="s">
        <v>5685</v>
      </c>
      <c r="C734" t="s">
        <v>5686</v>
      </c>
      <c r="D734" t="s">
        <v>5687</v>
      </c>
      <c r="E734" t="s">
        <v>342</v>
      </c>
      <c r="F734" t="s">
        <v>5688</v>
      </c>
      <c r="G734">
        <v>0</v>
      </c>
      <c r="H734">
        <v>0</v>
      </c>
      <c r="I734" t="s">
        <v>5689</v>
      </c>
      <c r="J734" t="s">
        <v>5690</v>
      </c>
      <c r="K734" t="s">
        <v>5691</v>
      </c>
      <c r="L734">
        <v>1234</v>
      </c>
      <c r="M734" t="s">
        <v>645</v>
      </c>
      <c r="N734" t="s">
        <v>369</v>
      </c>
      <c r="O734" t="s">
        <v>370</v>
      </c>
      <c r="P734">
        <v>1593</v>
      </c>
    </row>
    <row r="735" spans="1:17" x14ac:dyDescent="0.3">
      <c r="A735" t="s">
        <v>5692</v>
      </c>
      <c r="B735" t="s">
        <v>5693</v>
      </c>
      <c r="C735" t="s">
        <v>5694</v>
      </c>
      <c r="D735" t="s">
        <v>5695</v>
      </c>
      <c r="E735" t="s">
        <v>5696</v>
      </c>
      <c r="F735" t="s">
        <v>5697</v>
      </c>
      <c r="I735" t="s">
        <v>5698</v>
      </c>
      <c r="J735" t="s">
        <v>5699</v>
      </c>
      <c r="K735" t="s">
        <v>5700</v>
      </c>
      <c r="L735">
        <v>1234</v>
      </c>
      <c r="M735" t="s">
        <v>645</v>
      </c>
      <c r="N735" t="s">
        <v>304</v>
      </c>
      <c r="O735" t="s">
        <v>323</v>
      </c>
      <c r="P735">
        <v>2771</v>
      </c>
    </row>
    <row r="736" spans="1:17" x14ac:dyDescent="0.3">
      <c r="A736" t="s">
        <v>5701</v>
      </c>
      <c r="B736" t="s">
        <v>236</v>
      </c>
      <c r="C736" t="s">
        <v>5702</v>
      </c>
      <c r="D736" t="s">
        <v>76</v>
      </c>
      <c r="E736" t="s">
        <v>5703</v>
      </c>
      <c r="F736" t="s">
        <v>5704</v>
      </c>
      <c r="G736">
        <v>15.167707034109901</v>
      </c>
      <c r="H736">
        <v>120.57111024856501</v>
      </c>
      <c r="I736" t="s">
        <v>5705</v>
      </c>
      <c r="J736" t="s">
        <v>5706</v>
      </c>
      <c r="K736" t="s">
        <v>5707</v>
      </c>
      <c r="L736" t="s">
        <v>5708</v>
      </c>
      <c r="M736" t="s">
        <v>645</v>
      </c>
      <c r="N736" t="s">
        <v>336</v>
      </c>
      <c r="O736" t="s">
        <v>515</v>
      </c>
      <c r="P736">
        <v>2793</v>
      </c>
    </row>
    <row r="737" spans="1:17" x14ac:dyDescent="0.3">
      <c r="A737" t="s">
        <v>5709</v>
      </c>
      <c r="B737" t="s">
        <v>5710</v>
      </c>
      <c r="C737" t="s">
        <v>5711</v>
      </c>
      <c r="D737" t="s">
        <v>5712</v>
      </c>
      <c r="E737" t="s">
        <v>5713</v>
      </c>
      <c r="F737" t="s">
        <v>5714</v>
      </c>
      <c r="G737">
        <v>5.14984130864895E-4</v>
      </c>
      <c r="H737">
        <v>8.58306884765625E-4</v>
      </c>
      <c r="I737" t="s">
        <v>5715</v>
      </c>
      <c r="J737" t="s">
        <v>5716</v>
      </c>
      <c r="K737" t="s">
        <v>5717</v>
      </c>
      <c r="L737">
        <v>1234</v>
      </c>
      <c r="M737" t="s">
        <v>645</v>
      </c>
      <c r="N737" t="s">
        <v>336</v>
      </c>
      <c r="O737" t="s">
        <v>515</v>
      </c>
      <c r="P737">
        <v>435</v>
      </c>
    </row>
    <row r="738" spans="1:17" x14ac:dyDescent="0.3">
      <c r="A738" t="s">
        <v>5718</v>
      </c>
      <c r="B738" t="s">
        <v>5719</v>
      </c>
      <c r="C738" t="s">
        <v>5720</v>
      </c>
      <c r="D738" t="s">
        <v>5721</v>
      </c>
      <c r="E738" t="s">
        <v>329</v>
      </c>
      <c r="F738" t="s">
        <v>5722</v>
      </c>
      <c r="G738">
        <v>0</v>
      </c>
      <c r="H738">
        <v>0</v>
      </c>
      <c r="I738" t="s">
        <v>5723</v>
      </c>
      <c r="J738">
        <v>9082557286</v>
      </c>
      <c r="K738" t="s">
        <v>5724</v>
      </c>
      <c r="L738">
        <v>1234</v>
      </c>
      <c r="M738" t="s">
        <v>645</v>
      </c>
      <c r="N738" t="s">
        <v>369</v>
      </c>
      <c r="O738" t="s">
        <v>370</v>
      </c>
      <c r="P738">
        <v>2747</v>
      </c>
    </row>
    <row r="739" spans="1:17" x14ac:dyDescent="0.3">
      <c r="A739" t="s">
        <v>5725</v>
      </c>
      <c r="B739" t="s">
        <v>224</v>
      </c>
      <c r="C739" t="s">
        <v>1367</v>
      </c>
      <c r="D739" t="s">
        <v>1781</v>
      </c>
      <c r="E739" t="s">
        <v>1782</v>
      </c>
      <c r="F739" t="s">
        <v>5726</v>
      </c>
      <c r="G739">
        <v>0</v>
      </c>
      <c r="H739">
        <v>0</v>
      </c>
      <c r="I739" t="s">
        <v>1784</v>
      </c>
      <c r="J739" t="s">
        <v>1785</v>
      </c>
      <c r="K739" t="s">
        <v>5727</v>
      </c>
      <c r="L739">
        <v>1234</v>
      </c>
      <c r="M739" t="s">
        <v>645</v>
      </c>
      <c r="N739" t="s">
        <v>336</v>
      </c>
      <c r="O739" t="s">
        <v>441</v>
      </c>
      <c r="P739">
        <v>2374</v>
      </c>
      <c r="Q739" t="s">
        <v>5728</v>
      </c>
    </row>
    <row r="740" spans="1:17" x14ac:dyDescent="0.3">
      <c r="A740" t="s">
        <v>5390</v>
      </c>
      <c r="B740" t="s">
        <v>4032</v>
      </c>
      <c r="C740" t="s">
        <v>5729</v>
      </c>
      <c r="D740" t="s">
        <v>5730</v>
      </c>
      <c r="E740" t="s">
        <v>2994</v>
      </c>
      <c r="F740" t="s">
        <v>5392</v>
      </c>
      <c r="I740" t="s">
        <v>5731</v>
      </c>
      <c r="J740">
        <v>9167132882</v>
      </c>
      <c r="K740" t="s">
        <v>5394</v>
      </c>
      <c r="L740">
        <v>1234</v>
      </c>
      <c r="M740" t="s">
        <v>645</v>
      </c>
      <c r="N740" t="s">
        <v>336</v>
      </c>
      <c r="O740" t="s">
        <v>441</v>
      </c>
      <c r="P740">
        <v>2556</v>
      </c>
    </row>
    <row r="741" spans="1:17" x14ac:dyDescent="0.3">
      <c r="A741" t="s">
        <v>5732</v>
      </c>
      <c r="B741" t="s">
        <v>5733</v>
      </c>
      <c r="C741" t="s">
        <v>5734</v>
      </c>
      <c r="D741" t="s">
        <v>5735</v>
      </c>
      <c r="E741" t="s">
        <v>5463</v>
      </c>
      <c r="F741" t="s">
        <v>5736</v>
      </c>
      <c r="G741">
        <v>0</v>
      </c>
      <c r="H741">
        <v>0</v>
      </c>
      <c r="I741" t="s">
        <v>5737</v>
      </c>
      <c r="J741">
        <v>9278741569</v>
      </c>
      <c r="K741" t="s">
        <v>5738</v>
      </c>
      <c r="L741">
        <v>1234</v>
      </c>
      <c r="M741" t="s">
        <v>645</v>
      </c>
      <c r="N741" t="s">
        <v>398</v>
      </c>
      <c r="O741" t="s">
        <v>582</v>
      </c>
      <c r="P741">
        <v>1908</v>
      </c>
    </row>
    <row r="742" spans="1:17" x14ac:dyDescent="0.3">
      <c r="A742" t="s">
        <v>5732</v>
      </c>
      <c r="B742" t="s">
        <v>5733</v>
      </c>
      <c r="C742" t="s">
        <v>5734</v>
      </c>
      <c r="D742" t="s">
        <v>5735</v>
      </c>
      <c r="E742" t="s">
        <v>5463</v>
      </c>
      <c r="F742" t="s">
        <v>5736</v>
      </c>
      <c r="G742">
        <v>0</v>
      </c>
      <c r="H742">
        <v>0</v>
      </c>
      <c r="I742" t="s">
        <v>5737</v>
      </c>
      <c r="J742">
        <v>9278741569</v>
      </c>
      <c r="K742" t="s">
        <v>5738</v>
      </c>
      <c r="L742">
        <v>1234</v>
      </c>
      <c r="M742" t="s">
        <v>645</v>
      </c>
      <c r="N742" t="s">
        <v>398</v>
      </c>
      <c r="O742" t="s">
        <v>582</v>
      </c>
      <c r="P742">
        <v>1908</v>
      </c>
    </row>
    <row r="743" spans="1:17" x14ac:dyDescent="0.3">
      <c r="A743" t="s">
        <v>5732</v>
      </c>
      <c r="B743" t="s">
        <v>5733</v>
      </c>
      <c r="C743" t="s">
        <v>5734</v>
      </c>
      <c r="D743" t="s">
        <v>5735</v>
      </c>
      <c r="E743" t="s">
        <v>5463</v>
      </c>
      <c r="F743" t="s">
        <v>5736</v>
      </c>
      <c r="G743">
        <v>0</v>
      </c>
      <c r="H743">
        <v>0</v>
      </c>
      <c r="I743" t="s">
        <v>5737</v>
      </c>
      <c r="J743">
        <v>9278741569</v>
      </c>
      <c r="K743" t="s">
        <v>5738</v>
      </c>
      <c r="L743">
        <v>1234</v>
      </c>
      <c r="M743" t="s">
        <v>645</v>
      </c>
      <c r="N743" t="s">
        <v>398</v>
      </c>
      <c r="O743" t="s">
        <v>582</v>
      </c>
      <c r="P743">
        <v>1908</v>
      </c>
    </row>
    <row r="744" spans="1:17" x14ac:dyDescent="0.3">
      <c r="A744" t="s">
        <v>5739</v>
      </c>
      <c r="B744" t="s">
        <v>5740</v>
      </c>
      <c r="C744" t="s">
        <v>3432</v>
      </c>
      <c r="D744" t="s">
        <v>5741</v>
      </c>
      <c r="E744" t="s">
        <v>793</v>
      </c>
      <c r="F744" t="s">
        <v>5742</v>
      </c>
      <c r="G744">
        <v>0</v>
      </c>
      <c r="H744">
        <v>0</v>
      </c>
      <c r="I744" t="s">
        <v>5743</v>
      </c>
      <c r="J744">
        <v>9499940194</v>
      </c>
      <c r="K744" t="s">
        <v>5744</v>
      </c>
      <c r="L744" t="s">
        <v>5745</v>
      </c>
      <c r="M744" t="s">
        <v>645</v>
      </c>
      <c r="N744" t="s">
        <v>369</v>
      </c>
      <c r="O744" t="s">
        <v>370</v>
      </c>
      <c r="P744">
        <v>2795</v>
      </c>
    </row>
    <row r="745" spans="1:17" x14ac:dyDescent="0.3">
      <c r="A745" t="s">
        <v>5746</v>
      </c>
      <c r="B745" t="s">
        <v>5747</v>
      </c>
      <c r="C745" t="s">
        <v>5748</v>
      </c>
      <c r="D745" t="s">
        <v>5749</v>
      </c>
      <c r="E745" t="s">
        <v>1985</v>
      </c>
      <c r="F745" t="s">
        <v>5750</v>
      </c>
      <c r="G745">
        <v>15.197874427192399</v>
      </c>
      <c r="H745">
        <v>120.521070957183</v>
      </c>
      <c r="I745" t="s">
        <v>5751</v>
      </c>
      <c r="J745">
        <v>9088500949</v>
      </c>
      <c r="K745" t="s">
        <v>5752</v>
      </c>
      <c r="L745" t="s">
        <v>5753</v>
      </c>
      <c r="M745" t="s">
        <v>645</v>
      </c>
      <c r="N745" t="s">
        <v>398</v>
      </c>
      <c r="O745" t="s">
        <v>582</v>
      </c>
      <c r="P745">
        <v>2796</v>
      </c>
      <c r="Q745" t="s">
        <v>5754</v>
      </c>
    </row>
    <row r="746" spans="1:17" x14ac:dyDescent="0.3">
      <c r="A746" t="s">
        <v>5755</v>
      </c>
      <c r="B746" t="s">
        <v>2039</v>
      </c>
      <c r="C746" t="s">
        <v>5756</v>
      </c>
      <c r="D746" t="s">
        <v>1909</v>
      </c>
      <c r="E746" t="s">
        <v>5757</v>
      </c>
      <c r="F746" t="s">
        <v>5758</v>
      </c>
      <c r="G746">
        <v>0</v>
      </c>
      <c r="H746">
        <v>0</v>
      </c>
      <c r="I746" t="s">
        <v>5759</v>
      </c>
      <c r="J746">
        <v>9955885068</v>
      </c>
      <c r="K746" t="s">
        <v>5760</v>
      </c>
      <c r="L746" t="s">
        <v>5761</v>
      </c>
      <c r="M746" t="s">
        <v>645</v>
      </c>
      <c r="N746" t="s">
        <v>16</v>
      </c>
      <c r="O746" t="s">
        <v>3183</v>
      </c>
      <c r="P746">
        <v>8</v>
      </c>
    </row>
    <row r="747" spans="1:17" x14ac:dyDescent="0.3">
      <c r="A747" t="s">
        <v>5762</v>
      </c>
      <c r="B747" t="s">
        <v>5763</v>
      </c>
      <c r="C747" t="s">
        <v>4388</v>
      </c>
      <c r="D747" t="s">
        <v>5764</v>
      </c>
      <c r="E747" t="s">
        <v>5765</v>
      </c>
      <c r="F747" t="s">
        <v>5766</v>
      </c>
      <c r="G747">
        <v>0</v>
      </c>
      <c r="H747">
        <v>0</v>
      </c>
      <c r="I747" t="s">
        <v>5767</v>
      </c>
      <c r="J747" t="s">
        <v>5768</v>
      </c>
      <c r="K747" t="s">
        <v>5769</v>
      </c>
      <c r="L747">
        <v>1234</v>
      </c>
      <c r="M747" t="s">
        <v>645</v>
      </c>
      <c r="N747" t="s">
        <v>398</v>
      </c>
      <c r="O747" t="s">
        <v>582</v>
      </c>
      <c r="P747">
        <v>2022</v>
      </c>
    </row>
    <row r="748" spans="1:17" x14ac:dyDescent="0.3">
      <c r="A748" t="s">
        <v>5770</v>
      </c>
      <c r="B748" t="s">
        <v>3568</v>
      </c>
      <c r="C748" t="s">
        <v>5771</v>
      </c>
      <c r="D748" t="s">
        <v>5772</v>
      </c>
      <c r="E748" t="s">
        <v>1276</v>
      </c>
      <c r="F748" t="s">
        <v>5773</v>
      </c>
      <c r="G748">
        <v>0</v>
      </c>
      <c r="H748">
        <v>0</v>
      </c>
      <c r="I748" t="s">
        <v>5774</v>
      </c>
      <c r="J748">
        <v>9956116519</v>
      </c>
      <c r="K748" t="s">
        <v>5775</v>
      </c>
      <c r="L748">
        <v>1234</v>
      </c>
      <c r="M748" t="s">
        <v>645</v>
      </c>
      <c r="N748" t="s">
        <v>398</v>
      </c>
      <c r="O748" t="s">
        <v>5776</v>
      </c>
      <c r="P748">
        <v>2802</v>
      </c>
    </row>
    <row r="749" spans="1:17" x14ac:dyDescent="0.3">
      <c r="A749" t="s">
        <v>5777</v>
      </c>
      <c r="B749" t="s">
        <v>5778</v>
      </c>
      <c r="C749" t="s">
        <v>5779</v>
      </c>
      <c r="D749" t="s">
        <v>1366</v>
      </c>
      <c r="E749" t="s">
        <v>286</v>
      </c>
      <c r="F749" t="s">
        <v>5780</v>
      </c>
      <c r="G749">
        <v>0</v>
      </c>
      <c r="H749">
        <v>0</v>
      </c>
      <c r="I749" t="s">
        <v>5781</v>
      </c>
      <c r="J749">
        <v>9352308617</v>
      </c>
      <c r="K749" t="s">
        <v>5782</v>
      </c>
      <c r="L749">
        <v>1234</v>
      </c>
      <c r="M749" t="s">
        <v>645</v>
      </c>
      <c r="N749" t="s">
        <v>398</v>
      </c>
      <c r="O749" t="s">
        <v>2435</v>
      </c>
      <c r="P749">
        <v>2717</v>
      </c>
    </row>
    <row r="750" spans="1:17" x14ac:dyDescent="0.3">
      <c r="A750" t="s">
        <v>5783</v>
      </c>
      <c r="B750" t="s">
        <v>5784</v>
      </c>
      <c r="C750" t="s">
        <v>5785</v>
      </c>
      <c r="D750" t="s">
        <v>2589</v>
      </c>
      <c r="E750" t="s">
        <v>5786</v>
      </c>
      <c r="F750" t="s">
        <v>5787</v>
      </c>
      <c r="G750">
        <v>5.3644180297048396E-4</v>
      </c>
      <c r="H750">
        <v>-8.8191032409667899E-3</v>
      </c>
      <c r="I750" t="s">
        <v>5788</v>
      </c>
      <c r="J750" t="s">
        <v>5789</v>
      </c>
      <c r="K750" t="s">
        <v>5790</v>
      </c>
      <c r="L750">
        <v>1234</v>
      </c>
      <c r="M750" t="s">
        <v>645</v>
      </c>
      <c r="N750" t="s">
        <v>336</v>
      </c>
      <c r="O750" t="s">
        <v>515</v>
      </c>
      <c r="P750">
        <v>2597</v>
      </c>
    </row>
    <row r="751" spans="1:17" x14ac:dyDescent="0.3">
      <c r="A751" t="s">
        <v>5791</v>
      </c>
      <c r="B751" t="s">
        <v>2200</v>
      </c>
      <c r="C751" t="s">
        <v>5792</v>
      </c>
      <c r="D751" t="s">
        <v>5793</v>
      </c>
      <c r="E751" t="s">
        <v>2674</v>
      </c>
      <c r="F751" t="s">
        <v>5794</v>
      </c>
      <c r="I751" t="s">
        <v>5795</v>
      </c>
      <c r="J751" t="s">
        <v>5796</v>
      </c>
      <c r="K751" t="s">
        <v>5797</v>
      </c>
      <c r="L751" t="s">
        <v>5798</v>
      </c>
      <c r="M751" t="s">
        <v>645</v>
      </c>
      <c r="N751" t="s">
        <v>336</v>
      </c>
      <c r="O751" t="s">
        <v>5799</v>
      </c>
      <c r="P751">
        <v>2654</v>
      </c>
    </row>
    <row r="752" spans="1:17" x14ac:dyDescent="0.3">
      <c r="A752" t="s">
        <v>5800</v>
      </c>
      <c r="B752" t="s">
        <v>1976</v>
      </c>
      <c r="C752" t="s">
        <v>5801</v>
      </c>
      <c r="D752" t="s">
        <v>5802</v>
      </c>
      <c r="E752" t="s">
        <v>5803</v>
      </c>
      <c r="F752" t="s">
        <v>5804</v>
      </c>
      <c r="G752">
        <v>0</v>
      </c>
      <c r="H752">
        <v>0</v>
      </c>
      <c r="I752" t="s">
        <v>5805</v>
      </c>
      <c r="J752">
        <v>9201121223</v>
      </c>
      <c r="K752" t="s">
        <v>5806</v>
      </c>
      <c r="L752">
        <v>1234</v>
      </c>
      <c r="M752" t="s">
        <v>645</v>
      </c>
      <c r="N752" t="s">
        <v>398</v>
      </c>
      <c r="O752" t="s">
        <v>685</v>
      </c>
      <c r="P752">
        <v>2724</v>
      </c>
    </row>
    <row r="753" spans="1:17" x14ac:dyDescent="0.3">
      <c r="A753" t="s">
        <v>5807</v>
      </c>
      <c r="B753" t="s">
        <v>5808</v>
      </c>
      <c r="C753" t="s">
        <v>5809</v>
      </c>
      <c r="D753" t="s">
        <v>5810</v>
      </c>
      <c r="E753" t="s">
        <v>5811</v>
      </c>
      <c r="F753" t="s">
        <v>5812</v>
      </c>
      <c r="G753">
        <v>0</v>
      </c>
      <c r="H753">
        <v>0</v>
      </c>
      <c r="I753" t="s">
        <v>5813</v>
      </c>
      <c r="J753" t="s">
        <v>5814</v>
      </c>
      <c r="K753" t="s">
        <v>5815</v>
      </c>
      <c r="L753" t="s">
        <v>5816</v>
      </c>
      <c r="M753" t="s">
        <v>645</v>
      </c>
      <c r="N753" t="s">
        <v>369</v>
      </c>
      <c r="O753" t="s">
        <v>370</v>
      </c>
      <c r="P753">
        <v>1531</v>
      </c>
    </row>
    <row r="754" spans="1:17" x14ac:dyDescent="0.3">
      <c r="A754" t="s">
        <v>5817</v>
      </c>
      <c r="B754" t="s">
        <v>5818</v>
      </c>
      <c r="C754" t="s">
        <v>5819</v>
      </c>
      <c r="D754" t="s">
        <v>5820</v>
      </c>
      <c r="E754" t="s">
        <v>1276</v>
      </c>
      <c r="F754" t="s">
        <v>5821</v>
      </c>
      <c r="G754">
        <v>0</v>
      </c>
      <c r="H754">
        <v>0</v>
      </c>
      <c r="I754" t="s">
        <v>5822</v>
      </c>
      <c r="J754" t="s">
        <v>5823</v>
      </c>
      <c r="K754" t="s">
        <v>5824</v>
      </c>
      <c r="L754" t="s">
        <v>5825</v>
      </c>
      <c r="M754" t="s">
        <v>645</v>
      </c>
      <c r="N754" t="s">
        <v>398</v>
      </c>
      <c r="O754" t="s">
        <v>2435</v>
      </c>
      <c r="P754">
        <v>2798</v>
      </c>
    </row>
    <row r="755" spans="1:17" x14ac:dyDescent="0.3">
      <c r="A755" t="s">
        <v>5826</v>
      </c>
      <c r="B755" t="s">
        <v>5827</v>
      </c>
      <c r="C755" t="s">
        <v>5828</v>
      </c>
      <c r="D755" t="s">
        <v>1976</v>
      </c>
      <c r="E755" t="s">
        <v>5829</v>
      </c>
      <c r="F755" t="s">
        <v>5830</v>
      </c>
      <c r="J755">
        <v>9077101313</v>
      </c>
      <c r="K755" t="s">
        <v>5831</v>
      </c>
      <c r="L755">
        <v>1234</v>
      </c>
      <c r="M755" t="s">
        <v>645</v>
      </c>
      <c r="N755" t="s">
        <v>398</v>
      </c>
      <c r="O755" t="s">
        <v>685</v>
      </c>
      <c r="P755">
        <v>2478</v>
      </c>
    </row>
    <row r="756" spans="1:17" x14ac:dyDescent="0.3">
      <c r="A756" t="s">
        <v>5832</v>
      </c>
      <c r="B756" t="s">
        <v>723</v>
      </c>
      <c r="C756" t="s">
        <v>5833</v>
      </c>
      <c r="D756" t="s">
        <v>5834</v>
      </c>
      <c r="E756" t="s">
        <v>5835</v>
      </c>
      <c r="F756" t="s">
        <v>5836</v>
      </c>
      <c r="G756">
        <v>0</v>
      </c>
      <c r="H756">
        <v>0</v>
      </c>
      <c r="I756" t="s">
        <v>5837</v>
      </c>
      <c r="J756">
        <v>454361215</v>
      </c>
      <c r="K756" t="s">
        <v>5838</v>
      </c>
      <c r="L756">
        <v>80118</v>
      </c>
      <c r="M756" t="s">
        <v>645</v>
      </c>
      <c r="N756" t="s">
        <v>398</v>
      </c>
      <c r="O756" t="s">
        <v>5839</v>
      </c>
      <c r="P756">
        <v>2790</v>
      </c>
      <c r="Q756" t="s">
        <v>5840</v>
      </c>
    </row>
    <row r="757" spans="1:17" x14ac:dyDescent="0.3">
      <c r="A757" t="s">
        <v>5841</v>
      </c>
      <c r="B757" t="s">
        <v>944</v>
      </c>
      <c r="C757" t="s">
        <v>5355</v>
      </c>
      <c r="D757" t="s">
        <v>5842</v>
      </c>
      <c r="E757" t="s">
        <v>3153</v>
      </c>
      <c r="F757" t="s">
        <v>5843</v>
      </c>
      <c r="G757">
        <v>-1.28746032709862E-4</v>
      </c>
      <c r="H757">
        <v>-2.1457672119140601E-5</v>
      </c>
      <c r="I757" t="s">
        <v>5358</v>
      </c>
      <c r="J757">
        <v>9291018072</v>
      </c>
      <c r="K757" t="s">
        <v>5844</v>
      </c>
      <c r="L757">
        <v>1234</v>
      </c>
      <c r="M757" t="s">
        <v>645</v>
      </c>
      <c r="N757" t="s">
        <v>2435</v>
      </c>
      <c r="O757" t="s">
        <v>685</v>
      </c>
      <c r="P757">
        <v>2794</v>
      </c>
    </row>
    <row r="758" spans="1:17" x14ac:dyDescent="0.3">
      <c r="A758" t="s">
        <v>3895</v>
      </c>
      <c r="B758" t="s">
        <v>3896</v>
      </c>
      <c r="C758" t="s">
        <v>3897</v>
      </c>
      <c r="D758" t="s">
        <v>3898</v>
      </c>
      <c r="E758" t="s">
        <v>329</v>
      </c>
      <c r="F758" t="s">
        <v>3899</v>
      </c>
      <c r="G758">
        <v>15.182364152156399</v>
      </c>
      <c r="H758">
        <v>120.57130336761399</v>
      </c>
      <c r="I758" t="s">
        <v>3900</v>
      </c>
      <c r="J758" t="s">
        <v>3901</v>
      </c>
      <c r="K758" t="s">
        <v>3902</v>
      </c>
      <c r="L758" t="s">
        <v>3903</v>
      </c>
      <c r="M758" t="s">
        <v>645</v>
      </c>
      <c r="N758" t="s">
        <v>16</v>
      </c>
      <c r="O758" t="s">
        <v>412</v>
      </c>
      <c r="P758">
        <v>1468</v>
      </c>
    </row>
    <row r="759" spans="1:17" x14ac:dyDescent="0.3">
      <c r="A759" t="s">
        <v>5845</v>
      </c>
      <c r="F759" t="s">
        <v>5846</v>
      </c>
      <c r="K759" t="s">
        <v>5847</v>
      </c>
      <c r="L759">
        <v>1234</v>
      </c>
      <c r="M759" t="s">
        <v>645</v>
      </c>
      <c r="N759" t="s">
        <v>369</v>
      </c>
      <c r="O759" t="s">
        <v>471</v>
      </c>
      <c r="P759">
        <v>2737</v>
      </c>
    </row>
    <row r="760" spans="1:17" x14ac:dyDescent="0.3">
      <c r="A760" t="s">
        <v>5848</v>
      </c>
      <c r="B760" t="s">
        <v>5849</v>
      </c>
      <c r="C760" t="s">
        <v>5850</v>
      </c>
      <c r="D760" t="s">
        <v>974</v>
      </c>
      <c r="E760" t="s">
        <v>329</v>
      </c>
      <c r="F760" t="s">
        <v>5851</v>
      </c>
      <c r="G760">
        <v>0</v>
      </c>
      <c r="H760">
        <v>0</v>
      </c>
      <c r="I760" t="s">
        <v>5852</v>
      </c>
      <c r="J760">
        <v>917502382</v>
      </c>
      <c r="K760" t="s">
        <v>5853</v>
      </c>
      <c r="L760">
        <v>1234</v>
      </c>
      <c r="M760" s="1">
        <v>43707</v>
      </c>
      <c r="N760" t="s">
        <v>369</v>
      </c>
      <c r="O760" t="s">
        <v>370</v>
      </c>
      <c r="P760">
        <v>2423</v>
      </c>
    </row>
    <row r="761" spans="1:17" x14ac:dyDescent="0.3">
      <c r="A761" t="s">
        <v>5854</v>
      </c>
      <c r="B761" t="s">
        <v>5855</v>
      </c>
      <c r="C761" t="s">
        <v>5856</v>
      </c>
      <c r="D761" t="s">
        <v>5857</v>
      </c>
      <c r="E761" t="s">
        <v>5858</v>
      </c>
      <c r="F761" t="s">
        <v>5859</v>
      </c>
      <c r="I761" t="s">
        <v>5860</v>
      </c>
      <c r="J761">
        <v>9171635864</v>
      </c>
      <c r="K761" t="s">
        <v>5861</v>
      </c>
      <c r="L761">
        <v>1234</v>
      </c>
      <c r="M761" t="s">
        <v>645</v>
      </c>
      <c r="N761" t="s">
        <v>398</v>
      </c>
      <c r="O761" t="s">
        <v>1104</v>
      </c>
      <c r="P761">
        <v>2811</v>
      </c>
    </row>
    <row r="762" spans="1:17" x14ac:dyDescent="0.3">
      <c r="A762" t="s">
        <v>5862</v>
      </c>
      <c r="B762" t="s">
        <v>5863</v>
      </c>
      <c r="C762" t="s">
        <v>5864</v>
      </c>
      <c r="D762" t="s">
        <v>2682</v>
      </c>
      <c r="E762" t="s">
        <v>5865</v>
      </c>
      <c r="F762" t="s">
        <v>5866</v>
      </c>
      <c r="G762">
        <v>0</v>
      </c>
      <c r="H762">
        <v>0</v>
      </c>
      <c r="I762" t="s">
        <v>5867</v>
      </c>
      <c r="J762" t="s">
        <v>5868</v>
      </c>
      <c r="K762" t="s">
        <v>5869</v>
      </c>
      <c r="L762">
        <v>1234</v>
      </c>
      <c r="M762" t="s">
        <v>645</v>
      </c>
      <c r="N762" t="s">
        <v>871</v>
      </c>
      <c r="O762" t="s">
        <v>1115</v>
      </c>
      <c r="P762">
        <v>2591</v>
      </c>
    </row>
    <row r="763" spans="1:17" x14ac:dyDescent="0.3">
      <c r="A763" t="s">
        <v>5870</v>
      </c>
      <c r="B763" t="s">
        <v>2701</v>
      </c>
      <c r="C763" t="s">
        <v>5871</v>
      </c>
      <c r="D763" t="s">
        <v>620</v>
      </c>
      <c r="E763" t="s">
        <v>5872</v>
      </c>
      <c r="F763" t="s">
        <v>5873</v>
      </c>
      <c r="I763" t="s">
        <v>5874</v>
      </c>
      <c r="J763" t="s">
        <v>5875</v>
      </c>
      <c r="K763" t="s">
        <v>5876</v>
      </c>
      <c r="L763">
        <v>1234</v>
      </c>
      <c r="M763" t="s">
        <v>645</v>
      </c>
      <c r="N763" t="s">
        <v>336</v>
      </c>
      <c r="O763" t="s">
        <v>515</v>
      </c>
      <c r="P763">
        <v>2703</v>
      </c>
    </row>
    <row r="764" spans="1:17" x14ac:dyDescent="0.3">
      <c r="A764" t="s">
        <v>5877</v>
      </c>
      <c r="B764" t="s">
        <v>5878</v>
      </c>
      <c r="C764" t="s">
        <v>5029</v>
      </c>
      <c r="D764" t="s">
        <v>5740</v>
      </c>
      <c r="E764" t="s">
        <v>1276</v>
      </c>
      <c r="F764" t="s">
        <v>5879</v>
      </c>
      <c r="I764" t="s">
        <v>5880</v>
      </c>
      <c r="J764">
        <v>9365588297</v>
      </c>
      <c r="K764" t="s">
        <v>5881</v>
      </c>
      <c r="L764">
        <v>1234</v>
      </c>
      <c r="M764" t="s">
        <v>645</v>
      </c>
      <c r="N764" t="s">
        <v>336</v>
      </c>
      <c r="O764" t="s">
        <v>441</v>
      </c>
      <c r="P764">
        <v>2830</v>
      </c>
    </row>
    <row r="765" spans="1:17" x14ac:dyDescent="0.3">
      <c r="A765" t="s">
        <v>5882</v>
      </c>
      <c r="B765" t="s">
        <v>5721</v>
      </c>
      <c r="C765" t="s">
        <v>5883</v>
      </c>
      <c r="D765" t="s">
        <v>5884</v>
      </c>
      <c r="E765" t="s">
        <v>2994</v>
      </c>
      <c r="F765" t="s">
        <v>5885</v>
      </c>
      <c r="G765">
        <v>0</v>
      </c>
      <c r="H765">
        <v>0</v>
      </c>
      <c r="I765" t="s">
        <v>645</v>
      </c>
      <c r="J765">
        <v>9816718001</v>
      </c>
      <c r="K765" t="s">
        <v>5886</v>
      </c>
      <c r="L765" t="s">
        <v>5887</v>
      </c>
      <c r="M765" t="s">
        <v>645</v>
      </c>
      <c r="N765" t="s">
        <v>336</v>
      </c>
      <c r="O765" t="s">
        <v>337</v>
      </c>
      <c r="P765">
        <v>2833</v>
      </c>
    </row>
    <row r="766" spans="1:17" x14ac:dyDescent="0.3">
      <c r="A766" t="s">
        <v>5888</v>
      </c>
      <c r="B766" t="s">
        <v>1044</v>
      </c>
      <c r="C766" t="s">
        <v>5889</v>
      </c>
      <c r="D766" t="s">
        <v>5890</v>
      </c>
      <c r="E766" t="s">
        <v>5891</v>
      </c>
      <c r="F766" t="s">
        <v>5892</v>
      </c>
      <c r="G766">
        <v>0</v>
      </c>
      <c r="H766">
        <v>0</v>
      </c>
      <c r="I766" t="s">
        <v>5893</v>
      </c>
      <c r="J766">
        <v>9189270320</v>
      </c>
      <c r="K766" t="s">
        <v>5894</v>
      </c>
      <c r="L766">
        <v>1234</v>
      </c>
      <c r="M766" t="s">
        <v>645</v>
      </c>
      <c r="N766" t="s">
        <v>336</v>
      </c>
      <c r="O766" t="s">
        <v>515</v>
      </c>
      <c r="P766">
        <v>2825</v>
      </c>
    </row>
    <row r="767" spans="1:17" x14ac:dyDescent="0.3">
      <c r="A767" t="s">
        <v>5895</v>
      </c>
      <c r="B767" t="s">
        <v>5896</v>
      </c>
      <c r="C767" t="s">
        <v>5897</v>
      </c>
      <c r="D767" t="s">
        <v>1909</v>
      </c>
      <c r="E767" t="s">
        <v>5898</v>
      </c>
      <c r="F767" t="s">
        <v>5899</v>
      </c>
      <c r="G767">
        <v>0</v>
      </c>
      <c r="H767">
        <v>0</v>
      </c>
      <c r="I767" t="s">
        <v>5900</v>
      </c>
      <c r="J767">
        <v>9258230328</v>
      </c>
      <c r="K767" t="s">
        <v>5901</v>
      </c>
      <c r="L767">
        <v>1</v>
      </c>
      <c r="M767" t="s">
        <v>645</v>
      </c>
      <c r="N767" t="s">
        <v>398</v>
      </c>
      <c r="O767" t="s">
        <v>1104</v>
      </c>
      <c r="P767">
        <v>2797</v>
      </c>
    </row>
    <row r="768" spans="1:17" x14ac:dyDescent="0.3">
      <c r="A768" t="s">
        <v>5902</v>
      </c>
      <c r="B768" t="s">
        <v>5903</v>
      </c>
      <c r="C768" t="s">
        <v>5904</v>
      </c>
      <c r="D768" t="s">
        <v>539</v>
      </c>
      <c r="E768" t="s">
        <v>1311</v>
      </c>
      <c r="F768" t="s">
        <v>5905</v>
      </c>
      <c r="G768">
        <v>0</v>
      </c>
      <c r="H768">
        <v>0</v>
      </c>
      <c r="I768" t="s">
        <v>5906</v>
      </c>
      <c r="J768">
        <v>9177027676</v>
      </c>
      <c r="K768" t="s">
        <v>5907</v>
      </c>
      <c r="L768">
        <v>1234</v>
      </c>
      <c r="M768" t="s">
        <v>645</v>
      </c>
      <c r="N768" t="s">
        <v>369</v>
      </c>
      <c r="O768" t="s">
        <v>370</v>
      </c>
      <c r="P768">
        <v>2846</v>
      </c>
    </row>
    <row r="769" spans="1:17" x14ac:dyDescent="0.3">
      <c r="A769" t="s">
        <v>5908</v>
      </c>
      <c r="B769" t="s">
        <v>2021</v>
      </c>
      <c r="C769" t="s">
        <v>5909</v>
      </c>
      <c r="D769" t="s">
        <v>2582</v>
      </c>
      <c r="E769" t="s">
        <v>212</v>
      </c>
      <c r="F769" t="s">
        <v>5910</v>
      </c>
      <c r="G769">
        <v>0</v>
      </c>
      <c r="H769">
        <v>0</v>
      </c>
      <c r="I769" t="s">
        <v>5911</v>
      </c>
      <c r="J769">
        <v>9176462190</v>
      </c>
      <c r="K769" t="s">
        <v>5912</v>
      </c>
      <c r="L769">
        <v>1234</v>
      </c>
      <c r="M769" t="s">
        <v>645</v>
      </c>
      <c r="N769" t="s">
        <v>369</v>
      </c>
      <c r="O769" t="s">
        <v>370</v>
      </c>
      <c r="P769">
        <v>2743</v>
      </c>
    </row>
    <row r="770" spans="1:17" x14ac:dyDescent="0.3">
      <c r="A770" t="s">
        <v>5913</v>
      </c>
      <c r="B770" t="s">
        <v>5914</v>
      </c>
      <c r="C770" t="s">
        <v>5291</v>
      </c>
      <c r="D770" t="s">
        <v>5915</v>
      </c>
      <c r="E770" t="s">
        <v>262</v>
      </c>
      <c r="F770" t="s">
        <v>5916</v>
      </c>
      <c r="G770">
        <v>0</v>
      </c>
      <c r="H770">
        <v>0</v>
      </c>
      <c r="I770" t="s">
        <v>5917</v>
      </c>
      <c r="J770" t="s">
        <v>5918</v>
      </c>
      <c r="K770" t="s">
        <v>5919</v>
      </c>
      <c r="L770">
        <v>1234</v>
      </c>
      <c r="M770" t="s">
        <v>645</v>
      </c>
      <c r="N770" t="s">
        <v>16</v>
      </c>
      <c r="O770" t="s">
        <v>2641</v>
      </c>
      <c r="P770">
        <v>2808</v>
      </c>
    </row>
    <row r="771" spans="1:17" x14ac:dyDescent="0.3">
      <c r="A771" t="s">
        <v>5920</v>
      </c>
      <c r="B771" t="s">
        <v>5921</v>
      </c>
      <c r="C771" t="s">
        <v>5922</v>
      </c>
      <c r="D771" t="s">
        <v>5923</v>
      </c>
      <c r="E771" t="s">
        <v>5924</v>
      </c>
      <c r="F771" t="s">
        <v>5925</v>
      </c>
      <c r="G771">
        <v>0</v>
      </c>
      <c r="H771">
        <v>0</v>
      </c>
      <c r="I771" t="s">
        <v>5926</v>
      </c>
      <c r="J771">
        <v>454998678</v>
      </c>
      <c r="K771" t="s">
        <v>5927</v>
      </c>
      <c r="L771">
        <v>1234</v>
      </c>
      <c r="M771" t="s">
        <v>645</v>
      </c>
      <c r="N771" t="s">
        <v>16</v>
      </c>
      <c r="O771" t="s">
        <v>2641</v>
      </c>
      <c r="P771">
        <v>2828</v>
      </c>
    </row>
    <row r="772" spans="1:17" x14ac:dyDescent="0.3">
      <c r="A772" t="s">
        <v>5928</v>
      </c>
      <c r="B772" t="s">
        <v>5929</v>
      </c>
      <c r="C772" t="s">
        <v>5930</v>
      </c>
      <c r="D772" t="s">
        <v>5931</v>
      </c>
      <c r="E772" t="s">
        <v>5932</v>
      </c>
      <c r="F772" t="s">
        <v>5933</v>
      </c>
      <c r="G772">
        <v>0</v>
      </c>
      <c r="H772">
        <v>0</v>
      </c>
      <c r="I772" t="s">
        <v>5934</v>
      </c>
      <c r="J772">
        <v>8612997</v>
      </c>
      <c r="K772" t="s">
        <v>5935</v>
      </c>
      <c r="L772">
        <v>1234</v>
      </c>
      <c r="M772" t="s">
        <v>645</v>
      </c>
      <c r="N772" t="s">
        <v>336</v>
      </c>
      <c r="O772" t="s">
        <v>337</v>
      </c>
      <c r="P772">
        <v>2851</v>
      </c>
      <c r="Q772" t="s">
        <v>5936</v>
      </c>
    </row>
    <row r="773" spans="1:17" x14ac:dyDescent="0.3">
      <c r="A773" t="s">
        <v>5937</v>
      </c>
      <c r="B773" t="s">
        <v>5938</v>
      </c>
      <c r="C773" t="s">
        <v>5939</v>
      </c>
      <c r="D773" t="s">
        <v>2461</v>
      </c>
      <c r="E773" t="s">
        <v>5940</v>
      </c>
      <c r="F773" t="s">
        <v>5941</v>
      </c>
      <c r="G773">
        <v>0</v>
      </c>
      <c r="H773">
        <v>0</v>
      </c>
      <c r="I773" t="s">
        <v>5942</v>
      </c>
      <c r="J773">
        <v>4995025</v>
      </c>
      <c r="K773" t="s">
        <v>5943</v>
      </c>
      <c r="L773">
        <v>1234</v>
      </c>
      <c r="M773" t="s">
        <v>645</v>
      </c>
      <c r="N773" t="s">
        <v>398</v>
      </c>
      <c r="O773" t="s">
        <v>582</v>
      </c>
      <c r="P773">
        <v>1392</v>
      </c>
    </row>
    <row r="774" spans="1:17" x14ac:dyDescent="0.3">
      <c r="A774" t="s">
        <v>1200</v>
      </c>
      <c r="B774" t="s">
        <v>1201</v>
      </c>
      <c r="C774" t="s">
        <v>1202</v>
      </c>
      <c r="D774" t="s">
        <v>1203</v>
      </c>
      <c r="E774" t="s">
        <v>1204</v>
      </c>
      <c r="F774" t="s">
        <v>1205</v>
      </c>
      <c r="G774">
        <v>15.2010219005723</v>
      </c>
      <c r="H774">
        <v>120.541520118713</v>
      </c>
      <c r="I774" t="s">
        <v>1206</v>
      </c>
      <c r="J774">
        <v>9178344055</v>
      </c>
      <c r="K774" t="s">
        <v>1207</v>
      </c>
      <c r="L774">
        <v>1234</v>
      </c>
      <c r="M774" s="1">
        <v>43377</v>
      </c>
      <c r="N774" t="s">
        <v>779</v>
      </c>
      <c r="O774" t="s">
        <v>1178</v>
      </c>
      <c r="P774">
        <v>1005</v>
      </c>
    </row>
    <row r="775" spans="1:17" x14ac:dyDescent="0.3">
      <c r="A775" t="s">
        <v>5944</v>
      </c>
      <c r="B775" t="s">
        <v>1442</v>
      </c>
      <c r="C775" t="s">
        <v>5945</v>
      </c>
      <c r="D775" t="s">
        <v>5946</v>
      </c>
      <c r="E775" t="s">
        <v>5309</v>
      </c>
      <c r="F775" t="s">
        <v>5947</v>
      </c>
      <c r="G775">
        <v>0</v>
      </c>
      <c r="H775">
        <v>0</v>
      </c>
      <c r="I775" t="s">
        <v>5948</v>
      </c>
      <c r="J775">
        <v>9165947809</v>
      </c>
      <c r="K775" t="s">
        <v>5949</v>
      </c>
      <c r="L775">
        <v>1234</v>
      </c>
      <c r="M775" t="s">
        <v>645</v>
      </c>
      <c r="N775" t="s">
        <v>398</v>
      </c>
      <c r="O775" t="s">
        <v>582</v>
      </c>
      <c r="P775">
        <v>2568</v>
      </c>
      <c r="Q775" t="s">
        <v>5950</v>
      </c>
    </row>
    <row r="776" spans="1:17" x14ac:dyDescent="0.3">
      <c r="A776" t="s">
        <v>5951</v>
      </c>
      <c r="B776" t="s">
        <v>5952</v>
      </c>
      <c r="C776" t="s">
        <v>4932</v>
      </c>
      <c r="D776" t="s">
        <v>756</v>
      </c>
      <c r="E776" t="s">
        <v>286</v>
      </c>
      <c r="F776" t="s">
        <v>5953</v>
      </c>
      <c r="G776">
        <v>15.1779842085942</v>
      </c>
      <c r="H776">
        <v>120.528581142425</v>
      </c>
      <c r="I776" t="s">
        <v>5954</v>
      </c>
      <c r="J776">
        <v>9171749704</v>
      </c>
      <c r="K776" t="s">
        <v>5955</v>
      </c>
      <c r="L776">
        <v>1234</v>
      </c>
      <c r="M776" t="s">
        <v>645</v>
      </c>
      <c r="N776" t="s">
        <v>336</v>
      </c>
      <c r="O776" t="s">
        <v>515</v>
      </c>
      <c r="P776">
        <v>2697</v>
      </c>
    </row>
    <row r="777" spans="1:17" x14ac:dyDescent="0.3">
      <c r="A777" t="s">
        <v>5956</v>
      </c>
      <c r="B777" t="s">
        <v>5957</v>
      </c>
      <c r="C777" t="s">
        <v>1210</v>
      </c>
      <c r="D777" t="s">
        <v>5958</v>
      </c>
      <c r="E777" t="s">
        <v>5959</v>
      </c>
      <c r="F777" t="s">
        <v>5960</v>
      </c>
      <c r="G777">
        <v>4.5275688124216699E-3</v>
      </c>
      <c r="H777">
        <v>-4.8923492431640599E-3</v>
      </c>
      <c r="I777" t="s">
        <v>5961</v>
      </c>
      <c r="J777">
        <v>9998860154</v>
      </c>
      <c r="K777" t="s">
        <v>5962</v>
      </c>
      <c r="L777">
        <v>1234</v>
      </c>
      <c r="M777" t="s">
        <v>645</v>
      </c>
      <c r="N777" t="s">
        <v>336</v>
      </c>
      <c r="O777" t="s">
        <v>337</v>
      </c>
      <c r="P777">
        <v>2785</v>
      </c>
    </row>
    <row r="778" spans="1:17" x14ac:dyDescent="0.3">
      <c r="A778" t="s">
        <v>5963</v>
      </c>
      <c r="B778" t="s">
        <v>5964</v>
      </c>
      <c r="C778" t="s">
        <v>75</v>
      </c>
      <c r="E778" t="s">
        <v>5153</v>
      </c>
      <c r="F778" t="s">
        <v>5965</v>
      </c>
      <c r="I778" t="s">
        <v>5966</v>
      </c>
      <c r="J778">
        <v>9974764817</v>
      </c>
      <c r="K778" t="s">
        <v>5967</v>
      </c>
      <c r="L778" t="s">
        <v>5968</v>
      </c>
      <c r="M778" t="s">
        <v>645</v>
      </c>
      <c r="N778" t="s">
        <v>398</v>
      </c>
      <c r="O778" t="s">
        <v>685</v>
      </c>
      <c r="P778">
        <v>2826</v>
      </c>
      <c r="Q778" t="s">
        <v>5969</v>
      </c>
    </row>
    <row r="779" spans="1:17" x14ac:dyDescent="0.3">
      <c r="A779" t="s">
        <v>5970</v>
      </c>
      <c r="B779" t="s">
        <v>5971</v>
      </c>
      <c r="C779" t="s">
        <v>5972</v>
      </c>
      <c r="D779" t="s">
        <v>559</v>
      </c>
      <c r="E779" t="s">
        <v>5973</v>
      </c>
      <c r="F779" t="s">
        <v>5974</v>
      </c>
      <c r="I779" t="s">
        <v>5975</v>
      </c>
      <c r="J779">
        <v>9985916374</v>
      </c>
      <c r="K779" t="s">
        <v>5976</v>
      </c>
      <c r="L779">
        <v>1234</v>
      </c>
      <c r="M779" t="s">
        <v>645</v>
      </c>
      <c r="N779" t="s">
        <v>304</v>
      </c>
      <c r="O779" t="s">
        <v>323</v>
      </c>
      <c r="P779">
        <v>2823</v>
      </c>
    </row>
    <row r="780" spans="1:17" x14ac:dyDescent="0.3">
      <c r="A780" t="s">
        <v>5977</v>
      </c>
      <c r="B780" t="s">
        <v>5978</v>
      </c>
      <c r="C780" t="s">
        <v>5979</v>
      </c>
      <c r="D780" t="s">
        <v>2804</v>
      </c>
      <c r="E780" t="s">
        <v>1110</v>
      </c>
      <c r="F780" t="s">
        <v>5980</v>
      </c>
      <c r="G780">
        <v>0</v>
      </c>
      <c r="H780">
        <v>0</v>
      </c>
      <c r="I780" t="s">
        <v>5981</v>
      </c>
      <c r="J780">
        <v>9289597291</v>
      </c>
      <c r="K780" t="s">
        <v>5982</v>
      </c>
      <c r="L780" t="s">
        <v>5983</v>
      </c>
      <c r="M780" t="s">
        <v>645</v>
      </c>
      <c r="N780" t="s">
        <v>369</v>
      </c>
      <c r="O780" t="s">
        <v>370</v>
      </c>
      <c r="P780">
        <v>2671</v>
      </c>
    </row>
    <row r="781" spans="1:17" x14ac:dyDescent="0.3">
      <c r="A781" t="s">
        <v>5984</v>
      </c>
      <c r="B781" t="s">
        <v>5985</v>
      </c>
      <c r="C781" t="s">
        <v>5986</v>
      </c>
      <c r="D781" t="s">
        <v>5987</v>
      </c>
      <c r="E781" t="s">
        <v>5988</v>
      </c>
      <c r="F781" t="s">
        <v>5989</v>
      </c>
      <c r="G781">
        <v>-2.4601811810209901</v>
      </c>
      <c r="H781">
        <v>15.468749999999901</v>
      </c>
      <c r="I781" t="s">
        <v>5990</v>
      </c>
      <c r="J781">
        <v>9171032975</v>
      </c>
      <c r="K781" t="s">
        <v>5991</v>
      </c>
      <c r="L781" t="s">
        <v>5992</v>
      </c>
      <c r="M781" t="s">
        <v>645</v>
      </c>
      <c r="N781" t="s">
        <v>336</v>
      </c>
      <c r="O781" t="s">
        <v>441</v>
      </c>
      <c r="P781">
        <v>2582</v>
      </c>
      <c r="Q781" t="s">
        <v>5993</v>
      </c>
    </row>
    <row r="782" spans="1:17" x14ac:dyDescent="0.3">
      <c r="A782" t="s">
        <v>5994</v>
      </c>
      <c r="B782" t="s">
        <v>362</v>
      </c>
      <c r="C782" t="s">
        <v>3228</v>
      </c>
      <c r="D782" t="s">
        <v>3229</v>
      </c>
      <c r="E782" t="s">
        <v>3230</v>
      </c>
      <c r="F782" t="s">
        <v>5995</v>
      </c>
      <c r="G782">
        <v>0</v>
      </c>
      <c r="H782">
        <v>0</v>
      </c>
      <c r="I782" t="s">
        <v>1784</v>
      </c>
      <c r="J782">
        <v>9188542964</v>
      </c>
      <c r="K782" t="s">
        <v>5996</v>
      </c>
      <c r="L782">
        <v>1234</v>
      </c>
      <c r="M782" t="s">
        <v>645</v>
      </c>
      <c r="N782" t="s">
        <v>336</v>
      </c>
      <c r="O782" t="s">
        <v>441</v>
      </c>
      <c r="P782">
        <v>2806</v>
      </c>
      <c r="Q782" t="s">
        <v>5997</v>
      </c>
    </row>
    <row r="783" spans="1:17" x14ac:dyDescent="0.3">
      <c r="A783" t="s">
        <v>5998</v>
      </c>
      <c r="B783" t="s">
        <v>5999</v>
      </c>
      <c r="C783" t="s">
        <v>6000</v>
      </c>
      <c r="D783" t="s">
        <v>3537</v>
      </c>
      <c r="E783" t="s">
        <v>6001</v>
      </c>
      <c r="F783" t="s">
        <v>6002</v>
      </c>
      <c r="G783">
        <v>15183894</v>
      </c>
      <c r="H783">
        <v>120573594</v>
      </c>
      <c r="I783" t="s">
        <v>6003</v>
      </c>
      <c r="J783">
        <v>9972479266</v>
      </c>
      <c r="K783" t="s">
        <v>6004</v>
      </c>
      <c r="L783" t="s">
        <v>6005</v>
      </c>
      <c r="M783" t="s">
        <v>645</v>
      </c>
      <c r="N783" t="s">
        <v>369</v>
      </c>
      <c r="O783" t="s">
        <v>370</v>
      </c>
      <c r="P783">
        <v>2864</v>
      </c>
      <c r="Q783" t="s">
        <v>6006</v>
      </c>
    </row>
    <row r="784" spans="1:17" x14ac:dyDescent="0.3">
      <c r="A784" t="s">
        <v>6007</v>
      </c>
      <c r="B784" t="s">
        <v>1163</v>
      </c>
      <c r="C784" t="s">
        <v>1273</v>
      </c>
      <c r="D784" t="s">
        <v>6008</v>
      </c>
      <c r="E784" t="s">
        <v>704</v>
      </c>
      <c r="F784" t="s">
        <v>5555</v>
      </c>
      <c r="I784" t="s">
        <v>6009</v>
      </c>
      <c r="J784" t="s">
        <v>6010</v>
      </c>
      <c r="K784" t="s">
        <v>6011</v>
      </c>
      <c r="L784">
        <v>1234</v>
      </c>
      <c r="M784" t="s">
        <v>645</v>
      </c>
      <c r="N784" t="s">
        <v>398</v>
      </c>
      <c r="O784" t="s">
        <v>6012</v>
      </c>
      <c r="P784">
        <v>0</v>
      </c>
    </row>
    <row r="785" spans="1:17" x14ac:dyDescent="0.3">
      <c r="A785" t="s">
        <v>6007</v>
      </c>
      <c r="B785" t="s">
        <v>1163</v>
      </c>
      <c r="C785" t="s">
        <v>1273</v>
      </c>
      <c r="D785" t="s">
        <v>6008</v>
      </c>
      <c r="E785" t="s">
        <v>704</v>
      </c>
      <c r="F785" t="s">
        <v>5555</v>
      </c>
      <c r="I785" t="s">
        <v>6009</v>
      </c>
      <c r="J785" t="s">
        <v>6010</v>
      </c>
      <c r="K785" t="s">
        <v>6013</v>
      </c>
      <c r="L785">
        <v>1234</v>
      </c>
      <c r="M785" t="s">
        <v>645</v>
      </c>
      <c r="N785" t="s">
        <v>398</v>
      </c>
      <c r="O785" t="s">
        <v>6012</v>
      </c>
      <c r="P785">
        <v>1234</v>
      </c>
    </row>
    <row r="786" spans="1:17" x14ac:dyDescent="0.3">
      <c r="A786" t="s">
        <v>6014</v>
      </c>
      <c r="B786" t="s">
        <v>1425</v>
      </c>
      <c r="C786" t="s">
        <v>2199</v>
      </c>
      <c r="D786" t="s">
        <v>723</v>
      </c>
      <c r="E786" t="s">
        <v>6015</v>
      </c>
      <c r="F786" t="s">
        <v>6016</v>
      </c>
      <c r="G786">
        <v>0</v>
      </c>
      <c r="H786">
        <v>0</v>
      </c>
      <c r="I786" t="s">
        <v>3299</v>
      </c>
      <c r="J786">
        <v>9977381668</v>
      </c>
      <c r="K786" t="s">
        <v>6017</v>
      </c>
      <c r="L786">
        <v>1234</v>
      </c>
      <c r="M786" t="s">
        <v>645</v>
      </c>
      <c r="N786" t="s">
        <v>398</v>
      </c>
      <c r="O786" t="s">
        <v>582</v>
      </c>
      <c r="P786">
        <v>2341</v>
      </c>
    </row>
    <row r="787" spans="1:17" x14ac:dyDescent="0.3">
      <c r="A787" t="s">
        <v>6018</v>
      </c>
      <c r="B787" t="s">
        <v>6019</v>
      </c>
      <c r="C787" t="s">
        <v>6020</v>
      </c>
      <c r="D787" t="s">
        <v>426</v>
      </c>
      <c r="E787" t="s">
        <v>329</v>
      </c>
      <c r="F787" t="s">
        <v>6021</v>
      </c>
      <c r="G787">
        <v>15.176203212657301</v>
      </c>
      <c r="H787">
        <v>120.516521930694</v>
      </c>
      <c r="I787" t="s">
        <v>6022</v>
      </c>
      <c r="J787">
        <v>9454035322</v>
      </c>
      <c r="K787" t="s">
        <v>6023</v>
      </c>
      <c r="L787" t="s">
        <v>6024</v>
      </c>
      <c r="M787" t="s">
        <v>645</v>
      </c>
      <c r="N787" t="s">
        <v>336</v>
      </c>
      <c r="O787" t="s">
        <v>441</v>
      </c>
      <c r="P787">
        <v>2815</v>
      </c>
      <c r="Q787" t="s">
        <v>6025</v>
      </c>
    </row>
    <row r="788" spans="1:17" x14ac:dyDescent="0.3">
      <c r="A788" t="s">
        <v>6026</v>
      </c>
      <c r="B788" t="s">
        <v>946</v>
      </c>
      <c r="C788" t="s">
        <v>6027</v>
      </c>
      <c r="D788" t="s">
        <v>6028</v>
      </c>
      <c r="E788" t="s">
        <v>717</v>
      </c>
      <c r="F788" t="s">
        <v>6029</v>
      </c>
      <c r="G788">
        <v>15.1764413699605</v>
      </c>
      <c r="H788">
        <v>120.521323084831</v>
      </c>
      <c r="I788" t="s">
        <v>6030</v>
      </c>
      <c r="J788">
        <v>9185140002</v>
      </c>
      <c r="K788" t="s">
        <v>6031</v>
      </c>
      <c r="L788">
        <v>1234</v>
      </c>
      <c r="M788" t="s">
        <v>645</v>
      </c>
      <c r="N788" t="s">
        <v>398</v>
      </c>
      <c r="O788" t="s">
        <v>582</v>
      </c>
      <c r="P788">
        <v>2805</v>
      </c>
      <c r="Q788" t="s">
        <v>6032</v>
      </c>
    </row>
    <row r="789" spans="1:17" x14ac:dyDescent="0.3">
      <c r="A789" t="s">
        <v>6033</v>
      </c>
      <c r="B789" t="s">
        <v>6034</v>
      </c>
      <c r="C789" t="s">
        <v>6035</v>
      </c>
      <c r="D789" t="s">
        <v>6036</v>
      </c>
      <c r="E789" t="s">
        <v>342</v>
      </c>
      <c r="F789" t="s">
        <v>6037</v>
      </c>
      <c r="G789">
        <v>0</v>
      </c>
      <c r="H789">
        <v>0</v>
      </c>
      <c r="I789" t="s">
        <v>6038</v>
      </c>
      <c r="J789">
        <v>9175062511</v>
      </c>
      <c r="K789" t="s">
        <v>6039</v>
      </c>
      <c r="L789">
        <v>1234</v>
      </c>
      <c r="M789" t="s">
        <v>645</v>
      </c>
      <c r="N789" t="s">
        <v>304</v>
      </c>
      <c r="O789" t="s">
        <v>305</v>
      </c>
      <c r="P789">
        <v>2832</v>
      </c>
    </row>
    <row r="790" spans="1:17" x14ac:dyDescent="0.3">
      <c r="A790" t="s">
        <v>6040</v>
      </c>
      <c r="B790" t="s">
        <v>6041</v>
      </c>
      <c r="C790" t="s">
        <v>6042</v>
      </c>
      <c r="D790" t="s">
        <v>6043</v>
      </c>
      <c r="E790" t="s">
        <v>6044</v>
      </c>
      <c r="F790" t="s">
        <v>6045</v>
      </c>
      <c r="G790">
        <v>0</v>
      </c>
      <c r="H790">
        <v>0</v>
      </c>
      <c r="I790" t="s">
        <v>6046</v>
      </c>
      <c r="J790">
        <f>-2- 8421-1412</f>
        <v>-9835</v>
      </c>
      <c r="K790" t="s">
        <v>6047</v>
      </c>
      <c r="L790">
        <v>1234</v>
      </c>
      <c r="M790" t="s">
        <v>645</v>
      </c>
      <c r="N790" t="s">
        <v>336</v>
      </c>
      <c r="O790" t="s">
        <v>5134</v>
      </c>
      <c r="P790">
        <v>985</v>
      </c>
    </row>
    <row r="791" spans="1:17" x14ac:dyDescent="0.3">
      <c r="A791" t="s">
        <v>6048</v>
      </c>
      <c r="B791" t="s">
        <v>6049</v>
      </c>
      <c r="C791" t="s">
        <v>6050</v>
      </c>
      <c r="D791" t="s">
        <v>6051</v>
      </c>
      <c r="E791" t="s">
        <v>1284</v>
      </c>
      <c r="F791" t="s">
        <v>6052</v>
      </c>
      <c r="G791">
        <v>0.29113644247137099</v>
      </c>
      <c r="H791">
        <v>2.79052734375</v>
      </c>
      <c r="I791" t="s">
        <v>6053</v>
      </c>
      <c r="J791">
        <f>-45- 499-8416</f>
        <v>-8960</v>
      </c>
      <c r="K791" t="s">
        <v>6054</v>
      </c>
      <c r="L791">
        <v>1234</v>
      </c>
      <c r="M791" t="s">
        <v>645</v>
      </c>
      <c r="N791" t="s">
        <v>369</v>
      </c>
      <c r="O791" t="s">
        <v>6055</v>
      </c>
      <c r="P791">
        <v>2831</v>
      </c>
      <c r="Q791" t="s">
        <v>6056</v>
      </c>
    </row>
    <row r="792" spans="1:17" x14ac:dyDescent="0.3">
      <c r="A792" t="s">
        <v>6057</v>
      </c>
      <c r="B792" t="s">
        <v>3352</v>
      </c>
      <c r="C792" t="s">
        <v>3353</v>
      </c>
      <c r="D792" t="s">
        <v>5391</v>
      </c>
      <c r="E792" t="s">
        <v>1276</v>
      </c>
      <c r="F792" t="s">
        <v>6058</v>
      </c>
      <c r="I792" t="s">
        <v>6059</v>
      </c>
      <c r="J792">
        <v>9175971761</v>
      </c>
      <c r="K792" t="s">
        <v>6060</v>
      </c>
      <c r="L792">
        <v>1234</v>
      </c>
      <c r="M792" t="s">
        <v>645</v>
      </c>
      <c r="N792" t="s">
        <v>398</v>
      </c>
      <c r="O792" t="s">
        <v>2435</v>
      </c>
      <c r="P792">
        <v>2858</v>
      </c>
    </row>
    <row r="793" spans="1:17" x14ac:dyDescent="0.3">
      <c r="A793" t="s">
        <v>6061</v>
      </c>
      <c r="B793" t="s">
        <v>6062</v>
      </c>
      <c r="C793" t="s">
        <v>6063</v>
      </c>
      <c r="D793" t="s">
        <v>756</v>
      </c>
      <c r="E793" t="s">
        <v>4314</v>
      </c>
      <c r="F793" t="s">
        <v>6064</v>
      </c>
      <c r="G793">
        <v>0</v>
      </c>
      <c r="H793">
        <v>0</v>
      </c>
      <c r="I793" t="s">
        <v>6065</v>
      </c>
      <c r="J793">
        <v>9778124842</v>
      </c>
      <c r="K793">
        <v>2847</v>
      </c>
      <c r="L793">
        <v>1234</v>
      </c>
      <c r="M793" t="s">
        <v>645</v>
      </c>
      <c r="N793" t="s">
        <v>336</v>
      </c>
      <c r="O793" t="s">
        <v>441</v>
      </c>
      <c r="P793">
        <v>2847</v>
      </c>
    </row>
    <row r="794" spans="1:17" x14ac:dyDescent="0.3">
      <c r="A794" t="s">
        <v>6066</v>
      </c>
      <c r="B794" t="s">
        <v>6067</v>
      </c>
      <c r="C794" t="s">
        <v>1282</v>
      </c>
      <c r="D794" t="s">
        <v>4415</v>
      </c>
      <c r="E794" t="s">
        <v>286</v>
      </c>
      <c r="F794" t="s">
        <v>6068</v>
      </c>
      <c r="G794">
        <v>0</v>
      </c>
      <c r="H794">
        <v>0</v>
      </c>
      <c r="I794" t="s">
        <v>6069</v>
      </c>
      <c r="J794" t="s">
        <v>6070</v>
      </c>
      <c r="K794" t="s">
        <v>6071</v>
      </c>
      <c r="L794" t="s">
        <v>6072</v>
      </c>
      <c r="M794" t="s">
        <v>645</v>
      </c>
      <c r="N794" t="s">
        <v>336</v>
      </c>
      <c r="O794" t="s">
        <v>441</v>
      </c>
      <c r="P794">
        <v>2238</v>
      </c>
    </row>
    <row r="795" spans="1:17" x14ac:dyDescent="0.3">
      <c r="A795" t="s">
        <v>6073</v>
      </c>
      <c r="B795" t="s">
        <v>2701</v>
      </c>
      <c r="C795" t="s">
        <v>6074</v>
      </c>
      <c r="D795" t="s">
        <v>326</v>
      </c>
      <c r="E795" t="s">
        <v>6075</v>
      </c>
      <c r="F795" t="s">
        <v>6076</v>
      </c>
      <c r="G795">
        <v>0</v>
      </c>
      <c r="H795">
        <v>0</v>
      </c>
      <c r="I795" t="s">
        <v>6077</v>
      </c>
      <c r="J795">
        <v>9561424407</v>
      </c>
      <c r="K795">
        <v>1493</v>
      </c>
      <c r="L795">
        <v>1234</v>
      </c>
      <c r="M795" t="s">
        <v>645</v>
      </c>
      <c r="N795" t="s">
        <v>336</v>
      </c>
      <c r="O795" t="s">
        <v>515</v>
      </c>
      <c r="P795">
        <v>1493</v>
      </c>
    </row>
    <row r="796" spans="1:17" x14ac:dyDescent="0.3">
      <c r="A796" t="s">
        <v>6078</v>
      </c>
      <c r="B796" t="s">
        <v>6079</v>
      </c>
      <c r="C796" t="s">
        <v>6080</v>
      </c>
      <c r="D796" t="s">
        <v>716</v>
      </c>
      <c r="E796" t="s">
        <v>3932</v>
      </c>
      <c r="F796" t="s">
        <v>6081</v>
      </c>
      <c r="I796" t="s">
        <v>6082</v>
      </c>
      <c r="J796">
        <v>9179481055</v>
      </c>
      <c r="K796" t="s">
        <v>6083</v>
      </c>
      <c r="L796">
        <v>1234</v>
      </c>
      <c r="M796" t="s">
        <v>645</v>
      </c>
      <c r="N796" t="s">
        <v>336</v>
      </c>
      <c r="O796" t="s">
        <v>441</v>
      </c>
      <c r="P796">
        <v>2810</v>
      </c>
    </row>
    <row r="797" spans="1:17" x14ac:dyDescent="0.3">
      <c r="A797" t="s">
        <v>6084</v>
      </c>
      <c r="B797" t="s">
        <v>6085</v>
      </c>
      <c r="C797" t="s">
        <v>6086</v>
      </c>
      <c r="D797" t="s">
        <v>6087</v>
      </c>
      <c r="E797" t="s">
        <v>262</v>
      </c>
      <c r="F797" t="s">
        <v>6088</v>
      </c>
      <c r="G797">
        <v>15.1780566906689</v>
      </c>
      <c r="H797">
        <v>120.544111132621</v>
      </c>
      <c r="I797" t="s">
        <v>6089</v>
      </c>
      <c r="J797" t="s">
        <v>6090</v>
      </c>
      <c r="K797" t="s">
        <v>6091</v>
      </c>
      <c r="L797" t="s">
        <v>6092</v>
      </c>
      <c r="M797" t="s">
        <v>645</v>
      </c>
      <c r="N797" t="s">
        <v>16</v>
      </c>
      <c r="O797" t="s">
        <v>292</v>
      </c>
      <c r="P797">
        <v>2784</v>
      </c>
      <c r="Q797" t="s">
        <v>6093</v>
      </c>
    </row>
    <row r="798" spans="1:17" x14ac:dyDescent="0.3">
      <c r="A798" t="s">
        <v>6094</v>
      </c>
      <c r="B798" t="s">
        <v>6095</v>
      </c>
      <c r="C798" t="s">
        <v>934</v>
      </c>
      <c r="D798" t="s">
        <v>2329</v>
      </c>
      <c r="E798" t="s">
        <v>1539</v>
      </c>
      <c r="F798" t="s">
        <v>6096</v>
      </c>
      <c r="G798">
        <v>0</v>
      </c>
      <c r="H798">
        <v>0</v>
      </c>
      <c r="I798" t="s">
        <v>6097</v>
      </c>
      <c r="J798">
        <v>9229223558</v>
      </c>
      <c r="K798" t="s">
        <v>6098</v>
      </c>
      <c r="L798">
        <v>1234</v>
      </c>
      <c r="M798" t="s">
        <v>645</v>
      </c>
      <c r="N798" t="s">
        <v>398</v>
      </c>
      <c r="O798" t="s">
        <v>685</v>
      </c>
      <c r="P798">
        <v>2893</v>
      </c>
    </row>
    <row r="799" spans="1:17" x14ac:dyDescent="0.3">
      <c r="A799" t="s">
        <v>6099</v>
      </c>
      <c r="B799" t="s">
        <v>537</v>
      </c>
      <c r="C799" t="s">
        <v>6100</v>
      </c>
      <c r="D799" t="s">
        <v>2919</v>
      </c>
      <c r="E799" t="s">
        <v>1470</v>
      </c>
      <c r="F799" t="s">
        <v>6101</v>
      </c>
      <c r="G799">
        <v>0</v>
      </c>
      <c r="H799">
        <v>0</v>
      </c>
      <c r="I799" t="s">
        <v>6102</v>
      </c>
      <c r="J799">
        <v>9339646909</v>
      </c>
      <c r="K799" t="s">
        <v>6103</v>
      </c>
      <c r="L799">
        <v>1234</v>
      </c>
      <c r="M799" t="s">
        <v>645</v>
      </c>
      <c r="N799" t="s">
        <v>398</v>
      </c>
      <c r="O799" t="s">
        <v>2435</v>
      </c>
      <c r="P799">
        <v>2751</v>
      </c>
    </row>
    <row r="800" spans="1:17" x14ac:dyDescent="0.3">
      <c r="A800" t="s">
        <v>6104</v>
      </c>
      <c r="B800" t="s">
        <v>6105</v>
      </c>
      <c r="C800" t="s">
        <v>6106</v>
      </c>
      <c r="D800" t="s">
        <v>6107</v>
      </c>
      <c r="E800" t="s">
        <v>793</v>
      </c>
      <c r="F800" t="s">
        <v>6108</v>
      </c>
      <c r="G800">
        <v>0</v>
      </c>
      <c r="H800">
        <v>0</v>
      </c>
      <c r="I800" t="s">
        <v>6109</v>
      </c>
      <c r="J800">
        <v>9163276213</v>
      </c>
      <c r="K800" t="s">
        <v>6110</v>
      </c>
      <c r="L800">
        <v>1234</v>
      </c>
      <c r="M800" t="s">
        <v>645</v>
      </c>
      <c r="N800" t="s">
        <v>336</v>
      </c>
      <c r="O800" t="s">
        <v>515</v>
      </c>
      <c r="P800">
        <v>2801</v>
      </c>
    </row>
    <row r="801" spans="1:17" x14ac:dyDescent="0.3">
      <c r="A801" t="s">
        <v>6111</v>
      </c>
      <c r="B801" t="s">
        <v>3025</v>
      </c>
      <c r="C801" t="s">
        <v>6112</v>
      </c>
      <c r="D801" t="s">
        <v>6113</v>
      </c>
      <c r="E801" t="s">
        <v>6114</v>
      </c>
      <c r="F801" t="s">
        <v>6115</v>
      </c>
      <c r="G801">
        <v>0</v>
      </c>
      <c r="H801">
        <v>0</v>
      </c>
      <c r="I801" t="s">
        <v>6116</v>
      </c>
      <c r="J801">
        <v>9550477837</v>
      </c>
      <c r="K801" t="s">
        <v>6117</v>
      </c>
      <c r="L801" t="s">
        <v>6118</v>
      </c>
      <c r="M801" t="s">
        <v>645</v>
      </c>
      <c r="N801" t="s">
        <v>16</v>
      </c>
      <c r="O801" t="s">
        <v>292</v>
      </c>
      <c r="P801">
        <v>2783</v>
      </c>
      <c r="Q801" t="s">
        <v>6119</v>
      </c>
    </row>
    <row r="802" spans="1:17" x14ac:dyDescent="0.3">
      <c r="A802" t="s">
        <v>6120</v>
      </c>
      <c r="B802" t="s">
        <v>6121</v>
      </c>
      <c r="C802" t="s">
        <v>6122</v>
      </c>
      <c r="D802" t="s">
        <v>4660</v>
      </c>
      <c r="E802" t="s">
        <v>6123</v>
      </c>
      <c r="F802" t="s">
        <v>6124</v>
      </c>
      <c r="G802">
        <v>0</v>
      </c>
      <c r="H802">
        <v>0</v>
      </c>
      <c r="I802" t="s">
        <v>6125</v>
      </c>
      <c r="J802">
        <v>9219223837</v>
      </c>
      <c r="K802" t="s">
        <v>6126</v>
      </c>
      <c r="L802">
        <v>1234</v>
      </c>
      <c r="M802" t="s">
        <v>645</v>
      </c>
      <c r="N802" t="s">
        <v>398</v>
      </c>
      <c r="O802" t="s">
        <v>1104</v>
      </c>
      <c r="P802">
        <v>2733</v>
      </c>
    </row>
    <row r="803" spans="1:17" x14ac:dyDescent="0.3">
      <c r="A803" t="s">
        <v>6127</v>
      </c>
      <c r="B803" t="s">
        <v>3568</v>
      </c>
      <c r="C803" t="s">
        <v>6128</v>
      </c>
      <c r="D803" t="s">
        <v>6129</v>
      </c>
      <c r="E803" t="s">
        <v>4903</v>
      </c>
      <c r="F803" t="s">
        <v>6130</v>
      </c>
      <c r="G803">
        <v>0</v>
      </c>
      <c r="H803">
        <v>0</v>
      </c>
      <c r="I803" t="s">
        <v>6131</v>
      </c>
      <c r="J803">
        <v>9178285183</v>
      </c>
      <c r="K803" t="s">
        <v>6132</v>
      </c>
      <c r="L803">
        <v>1234</v>
      </c>
      <c r="M803" t="s">
        <v>645</v>
      </c>
      <c r="N803" t="s">
        <v>304</v>
      </c>
      <c r="O803" t="s">
        <v>305</v>
      </c>
      <c r="P803">
        <v>1071</v>
      </c>
    </row>
    <row r="804" spans="1:17" x14ac:dyDescent="0.3">
      <c r="A804" t="s">
        <v>6133</v>
      </c>
      <c r="B804" t="s">
        <v>6134</v>
      </c>
      <c r="C804" t="s">
        <v>5972</v>
      </c>
      <c r="D804" t="s">
        <v>1907</v>
      </c>
      <c r="E804" t="s">
        <v>342</v>
      </c>
      <c r="F804" t="s">
        <v>6135</v>
      </c>
      <c r="G804">
        <v>0</v>
      </c>
      <c r="H804">
        <v>0</v>
      </c>
      <c r="I804" t="s">
        <v>6136</v>
      </c>
      <c r="J804">
        <v>9062705626</v>
      </c>
      <c r="K804" t="s">
        <v>6137</v>
      </c>
      <c r="L804">
        <v>1234</v>
      </c>
      <c r="M804" t="s">
        <v>645</v>
      </c>
      <c r="N804" t="s">
        <v>398</v>
      </c>
      <c r="O804" t="s">
        <v>685</v>
      </c>
      <c r="P804">
        <v>2855</v>
      </c>
    </row>
    <row r="805" spans="1:17" x14ac:dyDescent="0.3">
      <c r="A805" t="s">
        <v>6133</v>
      </c>
      <c r="B805" t="s">
        <v>6134</v>
      </c>
      <c r="C805" t="s">
        <v>5972</v>
      </c>
      <c r="D805" t="s">
        <v>1907</v>
      </c>
      <c r="E805" t="s">
        <v>342</v>
      </c>
      <c r="F805" t="s">
        <v>6135</v>
      </c>
      <c r="G805">
        <v>0</v>
      </c>
      <c r="H805">
        <v>0</v>
      </c>
      <c r="I805" t="s">
        <v>6136</v>
      </c>
      <c r="J805">
        <v>9062705626</v>
      </c>
      <c r="K805" t="s">
        <v>6137</v>
      </c>
      <c r="L805">
        <v>1234</v>
      </c>
      <c r="M805" t="s">
        <v>645</v>
      </c>
      <c r="N805" t="s">
        <v>398</v>
      </c>
      <c r="O805" t="s">
        <v>685</v>
      </c>
      <c r="P805">
        <v>2855</v>
      </c>
    </row>
    <row r="806" spans="1:17" x14ac:dyDescent="0.3">
      <c r="A806" t="s">
        <v>4116</v>
      </c>
      <c r="B806" t="s">
        <v>4117</v>
      </c>
      <c r="C806" t="s">
        <v>4118</v>
      </c>
      <c r="D806" t="s">
        <v>4119</v>
      </c>
      <c r="E806" t="s">
        <v>1572</v>
      </c>
      <c r="F806" t="s">
        <v>4120</v>
      </c>
      <c r="I806" t="s">
        <v>4121</v>
      </c>
      <c r="K806" t="s">
        <v>4123</v>
      </c>
      <c r="L806">
        <v>1234</v>
      </c>
      <c r="M806" s="1">
        <v>43571</v>
      </c>
      <c r="N806" t="s">
        <v>16</v>
      </c>
      <c r="O806" t="s">
        <v>292</v>
      </c>
      <c r="P806">
        <v>200</v>
      </c>
    </row>
    <row r="807" spans="1:17" x14ac:dyDescent="0.3">
      <c r="A807" t="s">
        <v>6138</v>
      </c>
      <c r="B807" t="s">
        <v>832</v>
      </c>
      <c r="C807" t="s">
        <v>6139</v>
      </c>
      <c r="D807" t="s">
        <v>2600</v>
      </c>
      <c r="E807" t="s">
        <v>3153</v>
      </c>
      <c r="F807" t="s">
        <v>6140</v>
      </c>
      <c r="G807">
        <v>0</v>
      </c>
      <c r="H807">
        <v>0</v>
      </c>
      <c r="I807" t="s">
        <v>6141</v>
      </c>
      <c r="J807">
        <v>9178504936</v>
      </c>
      <c r="K807" t="s">
        <v>6142</v>
      </c>
      <c r="L807" t="s">
        <v>6143</v>
      </c>
      <c r="M807" t="s">
        <v>645</v>
      </c>
      <c r="N807" t="s">
        <v>6144</v>
      </c>
      <c r="O807" t="s">
        <v>458</v>
      </c>
      <c r="P807">
        <v>2774</v>
      </c>
      <c r="Q807" t="s">
        <v>6145</v>
      </c>
    </row>
    <row r="808" spans="1:17" x14ac:dyDescent="0.3">
      <c r="A808" t="s">
        <v>6146</v>
      </c>
      <c r="B808" t="s">
        <v>6147</v>
      </c>
      <c r="C808" t="s">
        <v>6148</v>
      </c>
      <c r="D808" t="s">
        <v>6149</v>
      </c>
      <c r="E808" t="s">
        <v>3153</v>
      </c>
      <c r="F808" t="s">
        <v>6150</v>
      </c>
      <c r="G808">
        <v>0</v>
      </c>
      <c r="H808">
        <v>0</v>
      </c>
      <c r="I808" t="s">
        <v>6151</v>
      </c>
      <c r="J808" t="s">
        <v>6152</v>
      </c>
      <c r="K808" t="s">
        <v>6153</v>
      </c>
      <c r="L808">
        <v>1234</v>
      </c>
      <c r="M808" t="s">
        <v>645</v>
      </c>
      <c r="N808" t="s">
        <v>369</v>
      </c>
      <c r="O808" t="s">
        <v>6154</v>
      </c>
      <c r="P808">
        <v>2856</v>
      </c>
      <c r="Q808" t="s">
        <v>6155</v>
      </c>
    </row>
    <row r="809" spans="1:17" x14ac:dyDescent="0.3">
      <c r="A809" t="s">
        <v>6156</v>
      </c>
      <c r="B809" t="s">
        <v>6157</v>
      </c>
      <c r="C809" t="s">
        <v>6158</v>
      </c>
      <c r="D809" t="s">
        <v>6159</v>
      </c>
      <c r="E809" t="s">
        <v>2278</v>
      </c>
      <c r="F809" t="s">
        <v>6160</v>
      </c>
      <c r="I809" t="s">
        <v>5852</v>
      </c>
      <c r="J809" t="s">
        <v>6161</v>
      </c>
      <c r="K809" t="s">
        <v>6162</v>
      </c>
      <c r="L809">
        <v>1234</v>
      </c>
      <c r="M809" t="s">
        <v>645</v>
      </c>
      <c r="N809" t="s">
        <v>398</v>
      </c>
      <c r="O809" t="s">
        <v>399</v>
      </c>
      <c r="P809">
        <v>2918</v>
      </c>
    </row>
    <row r="810" spans="1:17" x14ac:dyDescent="0.3">
      <c r="A810" t="s">
        <v>6163</v>
      </c>
      <c r="B810" t="s">
        <v>4660</v>
      </c>
      <c r="C810" t="s">
        <v>6164</v>
      </c>
      <c r="D810" t="s">
        <v>6165</v>
      </c>
      <c r="E810" t="s">
        <v>6166</v>
      </c>
      <c r="F810" t="s">
        <v>6167</v>
      </c>
      <c r="G810">
        <v>0</v>
      </c>
      <c r="H810">
        <v>0</v>
      </c>
      <c r="I810" t="s">
        <v>6168</v>
      </c>
      <c r="J810" t="s">
        <v>6169</v>
      </c>
      <c r="K810" t="s">
        <v>6170</v>
      </c>
      <c r="L810" t="s">
        <v>6171</v>
      </c>
      <c r="M810" t="s">
        <v>645</v>
      </c>
      <c r="N810" t="s">
        <v>336</v>
      </c>
      <c r="O810" t="s">
        <v>441</v>
      </c>
      <c r="P810">
        <v>2912</v>
      </c>
    </row>
    <row r="811" spans="1:17" x14ac:dyDescent="0.3">
      <c r="A811" t="s">
        <v>6172</v>
      </c>
      <c r="B811" t="s">
        <v>2398</v>
      </c>
      <c r="C811" t="s">
        <v>6173</v>
      </c>
      <c r="D811" t="s">
        <v>6174</v>
      </c>
      <c r="E811" t="s">
        <v>6175</v>
      </c>
      <c r="F811" t="s">
        <v>6176</v>
      </c>
      <c r="G811">
        <v>0</v>
      </c>
      <c r="H811">
        <v>0</v>
      </c>
      <c r="I811" t="s">
        <v>6177</v>
      </c>
      <c r="J811">
        <v>9212515447</v>
      </c>
      <c r="K811" t="s">
        <v>6178</v>
      </c>
      <c r="L811">
        <v>1234</v>
      </c>
      <c r="M811" t="s">
        <v>645</v>
      </c>
      <c r="N811" t="s">
        <v>398</v>
      </c>
      <c r="O811" t="s">
        <v>582</v>
      </c>
      <c r="P811">
        <v>2839</v>
      </c>
    </row>
    <row r="812" spans="1:17" x14ac:dyDescent="0.3">
      <c r="A812" t="s">
        <v>6179</v>
      </c>
      <c r="B812" t="s">
        <v>6180</v>
      </c>
      <c r="C812" t="s">
        <v>6181</v>
      </c>
      <c r="D812" t="s">
        <v>1824</v>
      </c>
      <c r="E812" t="s">
        <v>23</v>
      </c>
      <c r="F812" t="s">
        <v>6182</v>
      </c>
      <c r="G812">
        <v>0</v>
      </c>
      <c r="H812">
        <v>0</v>
      </c>
      <c r="I812" t="s">
        <v>6183</v>
      </c>
      <c r="J812">
        <v>9189797189</v>
      </c>
      <c r="K812" t="s">
        <v>6184</v>
      </c>
      <c r="L812">
        <v>1234</v>
      </c>
      <c r="M812" t="s">
        <v>645</v>
      </c>
      <c r="N812" t="s">
        <v>336</v>
      </c>
      <c r="O812" t="s">
        <v>515</v>
      </c>
      <c r="P812">
        <v>2738</v>
      </c>
      <c r="Q812" t="s">
        <v>6185</v>
      </c>
    </row>
    <row r="813" spans="1:17" x14ac:dyDescent="0.3">
      <c r="A813" t="s">
        <v>6186</v>
      </c>
      <c r="B813" t="s">
        <v>5849</v>
      </c>
      <c r="C813" t="s">
        <v>6187</v>
      </c>
      <c r="D813" t="s">
        <v>6188</v>
      </c>
      <c r="E813" t="s">
        <v>859</v>
      </c>
      <c r="F813" t="s">
        <v>6189</v>
      </c>
      <c r="G813">
        <v>0</v>
      </c>
      <c r="H813">
        <v>0</v>
      </c>
      <c r="I813" t="s">
        <v>6190</v>
      </c>
      <c r="J813" t="s">
        <v>6191</v>
      </c>
      <c r="K813" t="s">
        <v>6192</v>
      </c>
      <c r="L813" t="s">
        <v>6193</v>
      </c>
      <c r="M813" t="s">
        <v>645</v>
      </c>
      <c r="N813" t="s">
        <v>369</v>
      </c>
      <c r="O813" t="s">
        <v>1388</v>
      </c>
      <c r="P813">
        <v>2776</v>
      </c>
    </row>
    <row r="814" spans="1:17" x14ac:dyDescent="0.3">
      <c r="A814" t="s">
        <v>6194</v>
      </c>
      <c r="B814" t="s">
        <v>6195</v>
      </c>
      <c r="C814" t="s">
        <v>6196</v>
      </c>
      <c r="D814" t="s">
        <v>6197</v>
      </c>
      <c r="E814" t="s">
        <v>6198</v>
      </c>
      <c r="F814" t="s">
        <v>6199</v>
      </c>
      <c r="I814" t="s">
        <v>6200</v>
      </c>
      <c r="J814" t="s">
        <v>6201</v>
      </c>
      <c r="K814" t="s">
        <v>6202</v>
      </c>
      <c r="L814">
        <v>1234</v>
      </c>
      <c r="M814" t="s">
        <v>645</v>
      </c>
      <c r="N814" t="s">
        <v>336</v>
      </c>
      <c r="O814" t="s">
        <v>515</v>
      </c>
      <c r="P814">
        <v>2925</v>
      </c>
    </row>
    <row r="815" spans="1:17" x14ac:dyDescent="0.3">
      <c r="A815" t="s">
        <v>6203</v>
      </c>
      <c r="B815" t="s">
        <v>6204</v>
      </c>
      <c r="C815" t="s">
        <v>6205</v>
      </c>
      <c r="D815" t="s">
        <v>6206</v>
      </c>
      <c r="E815" t="s">
        <v>1110</v>
      </c>
      <c r="F815" t="s">
        <v>6207</v>
      </c>
      <c r="G815">
        <v>15.181649699478401</v>
      </c>
      <c r="H815">
        <v>480.52721858024597</v>
      </c>
      <c r="I815" t="s">
        <v>6208</v>
      </c>
      <c r="J815" t="s">
        <v>6209</v>
      </c>
      <c r="K815" t="s">
        <v>6210</v>
      </c>
      <c r="L815">
        <v>1234</v>
      </c>
      <c r="M815" t="s">
        <v>645</v>
      </c>
      <c r="N815" t="s">
        <v>931</v>
      </c>
      <c r="O815" t="s">
        <v>1904</v>
      </c>
      <c r="P815">
        <v>2788</v>
      </c>
    </row>
    <row r="816" spans="1:17" x14ac:dyDescent="0.3">
      <c r="A816" t="s">
        <v>6211</v>
      </c>
      <c r="B816" t="s">
        <v>236</v>
      </c>
      <c r="C816" t="s">
        <v>4216</v>
      </c>
      <c r="D816" t="s">
        <v>6212</v>
      </c>
      <c r="E816" t="s">
        <v>1276</v>
      </c>
      <c r="F816" t="s">
        <v>6213</v>
      </c>
      <c r="G816">
        <v>0</v>
      </c>
      <c r="H816">
        <v>0</v>
      </c>
      <c r="I816" t="s">
        <v>6214</v>
      </c>
      <c r="J816" t="s">
        <v>6215</v>
      </c>
      <c r="K816" t="s">
        <v>6216</v>
      </c>
      <c r="L816">
        <v>1234</v>
      </c>
      <c r="M816" t="s">
        <v>645</v>
      </c>
      <c r="N816" t="s">
        <v>398</v>
      </c>
      <c r="O816" t="s">
        <v>2435</v>
      </c>
      <c r="P816">
        <v>1436</v>
      </c>
    </row>
    <row r="817" spans="1:17" x14ac:dyDescent="0.3">
      <c r="A817" t="s">
        <v>6217</v>
      </c>
      <c r="B817" t="s">
        <v>6218</v>
      </c>
      <c r="C817" t="s">
        <v>6219</v>
      </c>
      <c r="D817" t="s">
        <v>703</v>
      </c>
      <c r="E817" t="s">
        <v>1194</v>
      </c>
      <c r="F817" t="s">
        <v>6220</v>
      </c>
      <c r="G817">
        <v>0</v>
      </c>
      <c r="H817">
        <v>0</v>
      </c>
      <c r="I817" t="s">
        <v>6221</v>
      </c>
      <c r="J817">
        <v>9568002901</v>
      </c>
      <c r="K817" t="s">
        <v>6222</v>
      </c>
      <c r="L817">
        <v>1234</v>
      </c>
      <c r="M817" t="s">
        <v>645</v>
      </c>
      <c r="N817" t="s">
        <v>336</v>
      </c>
      <c r="O817" t="s">
        <v>441</v>
      </c>
      <c r="P817">
        <v>2898</v>
      </c>
    </row>
    <row r="818" spans="1:17" x14ac:dyDescent="0.3">
      <c r="A818" t="s">
        <v>6223</v>
      </c>
      <c r="B818" t="s">
        <v>6224</v>
      </c>
      <c r="C818" t="s">
        <v>934</v>
      </c>
      <c r="D818" t="s">
        <v>2097</v>
      </c>
      <c r="E818" t="s">
        <v>1080</v>
      </c>
      <c r="F818" t="s">
        <v>6225</v>
      </c>
      <c r="G818">
        <v>0</v>
      </c>
      <c r="H818">
        <v>0</v>
      </c>
      <c r="I818" t="s">
        <v>6226</v>
      </c>
      <c r="J818">
        <v>9297707160</v>
      </c>
      <c r="K818" t="s">
        <v>6227</v>
      </c>
      <c r="L818">
        <v>1234</v>
      </c>
      <c r="M818" t="s">
        <v>645</v>
      </c>
      <c r="N818" t="s">
        <v>779</v>
      </c>
      <c r="O818" t="s">
        <v>2414</v>
      </c>
      <c r="P818">
        <v>2829</v>
      </c>
    </row>
    <row r="819" spans="1:17" x14ac:dyDescent="0.3">
      <c r="A819" t="s">
        <v>6228</v>
      </c>
      <c r="B819" t="s">
        <v>6229</v>
      </c>
      <c r="C819" t="s">
        <v>6230</v>
      </c>
      <c r="D819" t="s">
        <v>622</v>
      </c>
      <c r="E819" t="s">
        <v>329</v>
      </c>
      <c r="F819" t="s">
        <v>6231</v>
      </c>
      <c r="G819">
        <v>0</v>
      </c>
      <c r="H819">
        <v>0</v>
      </c>
      <c r="I819" t="s">
        <v>6232</v>
      </c>
      <c r="J819" t="s">
        <v>6233</v>
      </c>
      <c r="K819" t="s">
        <v>6234</v>
      </c>
      <c r="L819" t="s">
        <v>6235</v>
      </c>
      <c r="M819" t="s">
        <v>645</v>
      </c>
      <c r="N819" t="s">
        <v>398</v>
      </c>
      <c r="O819" t="s">
        <v>582</v>
      </c>
      <c r="P819">
        <v>2617</v>
      </c>
      <c r="Q819" t="s">
        <v>6236</v>
      </c>
    </row>
    <row r="820" spans="1:17" x14ac:dyDescent="0.3">
      <c r="A820" t="s">
        <v>6237</v>
      </c>
      <c r="B820" t="s">
        <v>6238</v>
      </c>
      <c r="C820" t="s">
        <v>6239</v>
      </c>
      <c r="D820" t="s">
        <v>6240</v>
      </c>
      <c r="E820" t="s">
        <v>6241</v>
      </c>
      <c r="F820" t="s">
        <v>6242</v>
      </c>
      <c r="G820">
        <v>15.190925</v>
      </c>
      <c r="H820">
        <v>120.54104100000001</v>
      </c>
      <c r="I820" t="s">
        <v>6243</v>
      </c>
      <c r="J820">
        <v>9053562988</v>
      </c>
      <c r="K820" t="s">
        <v>6244</v>
      </c>
      <c r="L820">
        <v>1234</v>
      </c>
      <c r="M820" t="s">
        <v>645</v>
      </c>
      <c r="N820" t="s">
        <v>398</v>
      </c>
      <c r="O820" t="s">
        <v>1228</v>
      </c>
      <c r="P820">
        <v>895</v>
      </c>
    </row>
    <row r="821" spans="1:17" x14ac:dyDescent="0.3">
      <c r="A821" t="s">
        <v>6245</v>
      </c>
      <c r="B821" t="s">
        <v>6246</v>
      </c>
      <c r="C821" t="s">
        <v>1210</v>
      </c>
      <c r="D821" t="s">
        <v>6247</v>
      </c>
      <c r="E821" t="s">
        <v>704</v>
      </c>
      <c r="F821" t="s">
        <v>6248</v>
      </c>
      <c r="G821">
        <v>0</v>
      </c>
      <c r="H821">
        <v>0</v>
      </c>
      <c r="I821" t="s">
        <v>6249</v>
      </c>
      <c r="J821">
        <v>9774218912</v>
      </c>
      <c r="K821" t="s">
        <v>6250</v>
      </c>
      <c r="L821">
        <v>1234</v>
      </c>
      <c r="M821" t="s">
        <v>645</v>
      </c>
      <c r="N821" t="s">
        <v>931</v>
      </c>
      <c r="P821">
        <v>2884</v>
      </c>
    </row>
    <row r="822" spans="1:17" x14ac:dyDescent="0.3">
      <c r="A822" t="s">
        <v>6251</v>
      </c>
      <c r="B822" t="s">
        <v>6252</v>
      </c>
      <c r="C822" t="s">
        <v>6253</v>
      </c>
      <c r="D822" t="s">
        <v>3335</v>
      </c>
      <c r="E822" t="s">
        <v>6254</v>
      </c>
      <c r="F822" t="s">
        <v>6255</v>
      </c>
      <c r="G822">
        <v>0</v>
      </c>
      <c r="H822">
        <v>0</v>
      </c>
      <c r="I822" t="s">
        <v>6256</v>
      </c>
      <c r="J822" t="s">
        <v>6257</v>
      </c>
      <c r="K822" t="s">
        <v>6258</v>
      </c>
      <c r="L822">
        <v>1234</v>
      </c>
      <c r="M822" t="s">
        <v>645</v>
      </c>
      <c r="N822" t="s">
        <v>83</v>
      </c>
      <c r="O822" t="s">
        <v>370</v>
      </c>
      <c r="P822">
        <v>2889</v>
      </c>
    </row>
    <row r="823" spans="1:17" x14ac:dyDescent="0.3">
      <c r="A823" t="s">
        <v>6211</v>
      </c>
      <c r="B823" t="s">
        <v>236</v>
      </c>
      <c r="C823" t="s">
        <v>4216</v>
      </c>
      <c r="D823" t="s">
        <v>6212</v>
      </c>
      <c r="E823" t="s">
        <v>1276</v>
      </c>
      <c r="F823" t="s">
        <v>6213</v>
      </c>
      <c r="G823">
        <v>0</v>
      </c>
      <c r="H823">
        <v>0</v>
      </c>
      <c r="I823" t="s">
        <v>6214</v>
      </c>
      <c r="J823" t="s">
        <v>6215</v>
      </c>
      <c r="K823" t="s">
        <v>6216</v>
      </c>
      <c r="L823">
        <v>1234</v>
      </c>
      <c r="M823" t="s">
        <v>645</v>
      </c>
      <c r="N823" t="s">
        <v>398</v>
      </c>
      <c r="O823" t="s">
        <v>2435</v>
      </c>
      <c r="P823">
        <v>1436</v>
      </c>
    </row>
    <row r="824" spans="1:17" x14ac:dyDescent="0.3">
      <c r="A824" t="s">
        <v>6259</v>
      </c>
      <c r="B824" t="s">
        <v>6260</v>
      </c>
      <c r="C824" t="s">
        <v>6261</v>
      </c>
      <c r="D824" t="s">
        <v>6262</v>
      </c>
      <c r="E824" t="s">
        <v>6263</v>
      </c>
      <c r="F824" t="s">
        <v>6264</v>
      </c>
      <c r="G824">
        <v>15.1761721486415</v>
      </c>
      <c r="H824">
        <v>120.52945017814601</v>
      </c>
      <c r="I824" t="s">
        <v>6265</v>
      </c>
      <c r="J824" t="s">
        <v>6266</v>
      </c>
      <c r="K824" t="s">
        <v>6267</v>
      </c>
      <c r="L824" t="s">
        <v>6268</v>
      </c>
      <c r="M824" t="s">
        <v>645</v>
      </c>
      <c r="N824" t="s">
        <v>16</v>
      </c>
      <c r="O824" t="s">
        <v>292</v>
      </c>
      <c r="P824">
        <v>2882</v>
      </c>
    </row>
    <row r="825" spans="1:17" x14ac:dyDescent="0.3">
      <c r="A825" t="s">
        <v>6269</v>
      </c>
      <c r="B825" t="s">
        <v>6270</v>
      </c>
      <c r="C825" t="s">
        <v>6271</v>
      </c>
      <c r="D825" t="s">
        <v>6272</v>
      </c>
      <c r="E825" t="s">
        <v>1276</v>
      </c>
      <c r="F825" t="s">
        <v>6273</v>
      </c>
      <c r="I825" t="s">
        <v>6274</v>
      </c>
      <c r="J825" t="s">
        <v>6275</v>
      </c>
      <c r="K825" t="s">
        <v>6276</v>
      </c>
      <c r="L825">
        <v>1234</v>
      </c>
      <c r="M825" t="s">
        <v>645</v>
      </c>
      <c r="N825" t="s">
        <v>398</v>
      </c>
      <c r="O825" t="s">
        <v>6277</v>
      </c>
      <c r="P825">
        <v>2701</v>
      </c>
    </row>
    <row r="826" spans="1:17" x14ac:dyDescent="0.3">
      <c r="A826" t="s">
        <v>6278</v>
      </c>
      <c r="B826" t="s">
        <v>6279</v>
      </c>
      <c r="C826" t="s">
        <v>6280</v>
      </c>
      <c r="D826" t="s">
        <v>6281</v>
      </c>
      <c r="E826" t="s">
        <v>6282</v>
      </c>
      <c r="F826" t="s">
        <v>6283</v>
      </c>
      <c r="G826">
        <v>0</v>
      </c>
      <c r="H826">
        <v>0</v>
      </c>
      <c r="I826" t="s">
        <v>6284</v>
      </c>
      <c r="J826" t="s">
        <v>6285</v>
      </c>
      <c r="K826" t="s">
        <v>6286</v>
      </c>
      <c r="L826">
        <v>1234</v>
      </c>
      <c r="M826" t="s">
        <v>645</v>
      </c>
      <c r="N826" t="s">
        <v>398</v>
      </c>
      <c r="O826" t="s">
        <v>685</v>
      </c>
      <c r="P826">
        <v>2865</v>
      </c>
    </row>
    <row r="827" spans="1:17" x14ac:dyDescent="0.3">
      <c r="A827" t="s">
        <v>6287</v>
      </c>
      <c r="B827" t="s">
        <v>6288</v>
      </c>
      <c r="C827" t="s">
        <v>3815</v>
      </c>
      <c r="D827" t="s">
        <v>2003</v>
      </c>
      <c r="E827" t="s">
        <v>6289</v>
      </c>
      <c r="F827" t="s">
        <v>6290</v>
      </c>
      <c r="G827">
        <v>0</v>
      </c>
      <c r="H827">
        <v>0</v>
      </c>
      <c r="I827" t="s">
        <v>6291</v>
      </c>
      <c r="J827">
        <v>9398366464</v>
      </c>
      <c r="K827" t="s">
        <v>6292</v>
      </c>
      <c r="L827">
        <v>1234</v>
      </c>
      <c r="M827" t="s">
        <v>645</v>
      </c>
      <c r="N827" t="s">
        <v>369</v>
      </c>
      <c r="O827" t="s">
        <v>6293</v>
      </c>
      <c r="P827">
        <v>2917</v>
      </c>
    </row>
    <row r="828" spans="1:17" x14ac:dyDescent="0.3">
      <c r="A828" t="s">
        <v>6294</v>
      </c>
      <c r="B828" t="s">
        <v>6295</v>
      </c>
      <c r="C828" t="s">
        <v>123</v>
      </c>
      <c r="D828" t="s">
        <v>6296</v>
      </c>
      <c r="E828" t="s">
        <v>1276</v>
      </c>
      <c r="F828" t="s">
        <v>6273</v>
      </c>
      <c r="G828">
        <v>0</v>
      </c>
      <c r="H828">
        <v>0</v>
      </c>
      <c r="I828" t="s">
        <v>6297</v>
      </c>
      <c r="J828" t="s">
        <v>6298</v>
      </c>
      <c r="K828" t="s">
        <v>6299</v>
      </c>
      <c r="L828">
        <v>1234</v>
      </c>
      <c r="M828" t="s">
        <v>645</v>
      </c>
      <c r="N828" t="s">
        <v>398</v>
      </c>
      <c r="O828" t="s">
        <v>2435</v>
      </c>
      <c r="P828">
        <v>2766</v>
      </c>
    </row>
    <row r="829" spans="1:17" x14ac:dyDescent="0.3">
      <c r="A829" t="s">
        <v>6300</v>
      </c>
      <c r="B829" t="s">
        <v>6301</v>
      </c>
      <c r="C829" t="s">
        <v>6302</v>
      </c>
      <c r="D829" t="s">
        <v>426</v>
      </c>
      <c r="E829" t="s">
        <v>717</v>
      </c>
      <c r="F829" t="s">
        <v>6303</v>
      </c>
      <c r="G829">
        <v>0</v>
      </c>
      <c r="H829">
        <v>0</v>
      </c>
      <c r="I829" t="s">
        <v>6304</v>
      </c>
      <c r="J829">
        <v>9268867194</v>
      </c>
      <c r="K829" t="s">
        <v>6305</v>
      </c>
      <c r="L829">
        <v>1234</v>
      </c>
      <c r="M829" t="s">
        <v>645</v>
      </c>
      <c r="N829" t="s">
        <v>398</v>
      </c>
      <c r="O829" t="s">
        <v>6306</v>
      </c>
      <c r="P829">
        <v>2908</v>
      </c>
    </row>
    <row r="830" spans="1:17" x14ac:dyDescent="0.3">
      <c r="A830" t="s">
        <v>6307</v>
      </c>
      <c r="B830" t="s">
        <v>474</v>
      </c>
      <c r="C830" t="s">
        <v>6308</v>
      </c>
      <c r="D830" t="s">
        <v>1907</v>
      </c>
      <c r="E830" t="s">
        <v>6309</v>
      </c>
      <c r="F830" t="s">
        <v>6310</v>
      </c>
      <c r="G830">
        <v>0</v>
      </c>
      <c r="H830">
        <v>0</v>
      </c>
      <c r="I830" t="s">
        <v>6311</v>
      </c>
      <c r="J830" t="s">
        <v>6312</v>
      </c>
      <c r="K830" t="s">
        <v>6313</v>
      </c>
      <c r="L830" t="s">
        <v>6314</v>
      </c>
      <c r="M830" t="s">
        <v>645</v>
      </c>
      <c r="N830" t="s">
        <v>6315</v>
      </c>
      <c r="O830" t="s">
        <v>6316</v>
      </c>
      <c r="P830">
        <v>580</v>
      </c>
    </row>
    <row r="831" spans="1:17" x14ac:dyDescent="0.3">
      <c r="A831" t="s">
        <v>6317</v>
      </c>
      <c r="B831" t="s">
        <v>6318</v>
      </c>
      <c r="C831" t="s">
        <v>6319</v>
      </c>
      <c r="D831" t="s">
        <v>6320</v>
      </c>
      <c r="E831" t="s">
        <v>6321</v>
      </c>
      <c r="F831" t="s">
        <v>6322</v>
      </c>
      <c r="G831">
        <v>0</v>
      </c>
      <c r="H831">
        <v>0</v>
      </c>
      <c r="I831" t="s">
        <v>6323</v>
      </c>
      <c r="J831" t="s">
        <v>6324</v>
      </c>
      <c r="K831" t="s">
        <v>6325</v>
      </c>
      <c r="L831" t="s">
        <v>6326</v>
      </c>
      <c r="M831" t="s">
        <v>645</v>
      </c>
      <c r="N831" t="s">
        <v>336</v>
      </c>
      <c r="O831" t="s">
        <v>2952</v>
      </c>
      <c r="P831">
        <v>2800</v>
      </c>
    </row>
    <row r="832" spans="1:17" x14ac:dyDescent="0.3">
      <c r="A832" t="s">
        <v>6317</v>
      </c>
      <c r="B832" t="s">
        <v>6318</v>
      </c>
      <c r="C832" t="s">
        <v>6319</v>
      </c>
      <c r="D832" t="s">
        <v>6320</v>
      </c>
      <c r="E832" t="s">
        <v>6321</v>
      </c>
      <c r="F832" t="s">
        <v>6322</v>
      </c>
      <c r="G832">
        <v>0</v>
      </c>
      <c r="H832">
        <v>0</v>
      </c>
      <c r="I832" t="s">
        <v>6323</v>
      </c>
      <c r="J832" t="s">
        <v>6324</v>
      </c>
      <c r="K832" t="s">
        <v>6325</v>
      </c>
      <c r="L832" t="s">
        <v>6326</v>
      </c>
      <c r="M832" t="s">
        <v>645</v>
      </c>
      <c r="N832" t="s">
        <v>336</v>
      </c>
      <c r="O832" t="s">
        <v>2952</v>
      </c>
      <c r="P832">
        <v>2800</v>
      </c>
    </row>
    <row r="833" spans="1:17" x14ac:dyDescent="0.3">
      <c r="A833" t="s">
        <v>6327</v>
      </c>
      <c r="B833" t="s">
        <v>3487</v>
      </c>
      <c r="C833" t="s">
        <v>6328</v>
      </c>
      <c r="D833" t="s">
        <v>6329</v>
      </c>
      <c r="E833" t="s">
        <v>363</v>
      </c>
      <c r="F833" t="s">
        <v>6330</v>
      </c>
      <c r="G833">
        <v>0</v>
      </c>
      <c r="H833">
        <v>0</v>
      </c>
      <c r="I833" t="s">
        <v>6331</v>
      </c>
      <c r="J833" t="s">
        <v>6332</v>
      </c>
      <c r="K833" t="s">
        <v>6333</v>
      </c>
      <c r="L833">
        <v>1234</v>
      </c>
      <c r="M833" t="s">
        <v>645</v>
      </c>
      <c r="N833" t="s">
        <v>369</v>
      </c>
      <c r="O833" t="s">
        <v>370</v>
      </c>
      <c r="P833">
        <v>2900</v>
      </c>
      <c r="Q833" t="s">
        <v>6334</v>
      </c>
    </row>
    <row r="834" spans="1:17" x14ac:dyDescent="0.3">
      <c r="A834" t="s">
        <v>6335</v>
      </c>
      <c r="B834" t="s">
        <v>6336</v>
      </c>
      <c r="C834" t="s">
        <v>6337</v>
      </c>
      <c r="D834" t="s">
        <v>6338</v>
      </c>
      <c r="E834" t="s">
        <v>6339</v>
      </c>
      <c r="F834" t="s">
        <v>6340</v>
      </c>
      <c r="I834" t="s">
        <v>6341</v>
      </c>
      <c r="J834" t="s">
        <v>6342</v>
      </c>
      <c r="K834" t="s">
        <v>6343</v>
      </c>
      <c r="L834">
        <v>1234</v>
      </c>
      <c r="M834" t="s">
        <v>645</v>
      </c>
      <c r="N834" t="s">
        <v>398</v>
      </c>
      <c r="O834" t="s">
        <v>685</v>
      </c>
      <c r="P834">
        <v>2711</v>
      </c>
    </row>
    <row r="835" spans="1:17" x14ac:dyDescent="0.3">
      <c r="A835" t="s">
        <v>6344</v>
      </c>
      <c r="B835" t="s">
        <v>1544</v>
      </c>
      <c r="C835" t="s">
        <v>6345</v>
      </c>
      <c r="D835" t="s">
        <v>1182</v>
      </c>
      <c r="E835" t="s">
        <v>1470</v>
      </c>
      <c r="F835" t="s">
        <v>6346</v>
      </c>
      <c r="G835">
        <v>0</v>
      </c>
      <c r="H835">
        <v>0</v>
      </c>
      <c r="I835" t="s">
        <v>6347</v>
      </c>
      <c r="J835">
        <v>9559237881</v>
      </c>
      <c r="K835" t="s">
        <v>6348</v>
      </c>
      <c r="L835" t="s">
        <v>6349</v>
      </c>
      <c r="M835" t="s">
        <v>645</v>
      </c>
      <c r="N835" t="s">
        <v>336</v>
      </c>
      <c r="O835" t="s">
        <v>515</v>
      </c>
      <c r="P835">
        <v>2901</v>
      </c>
    </row>
    <row r="836" spans="1:17" x14ac:dyDescent="0.3">
      <c r="A836" t="s">
        <v>6350</v>
      </c>
      <c r="B836" t="s">
        <v>6351</v>
      </c>
      <c r="C836" t="s">
        <v>6352</v>
      </c>
      <c r="D836" t="s">
        <v>6353</v>
      </c>
      <c r="E836" t="s">
        <v>1194</v>
      </c>
      <c r="F836" t="s">
        <v>6354</v>
      </c>
      <c r="G836">
        <v>0</v>
      </c>
      <c r="H836">
        <v>0</v>
      </c>
      <c r="I836" t="s">
        <v>6355</v>
      </c>
      <c r="J836" t="s">
        <v>6356</v>
      </c>
      <c r="K836" t="s">
        <v>6357</v>
      </c>
      <c r="L836">
        <v>11272018</v>
      </c>
      <c r="M836" t="s">
        <v>645</v>
      </c>
      <c r="N836" t="s">
        <v>336</v>
      </c>
      <c r="O836" t="s">
        <v>515</v>
      </c>
      <c r="P836">
        <v>2881</v>
      </c>
    </row>
    <row r="837" spans="1:17" x14ac:dyDescent="0.3">
      <c r="A837" t="s">
        <v>6358</v>
      </c>
      <c r="B837" t="s">
        <v>1061</v>
      </c>
      <c r="C837" t="s">
        <v>6359</v>
      </c>
      <c r="D837" t="s">
        <v>6360</v>
      </c>
      <c r="E837" t="s">
        <v>1110</v>
      </c>
      <c r="F837" t="s">
        <v>6361</v>
      </c>
      <c r="I837" t="s">
        <v>6362</v>
      </c>
      <c r="J837" t="s">
        <v>6363</v>
      </c>
      <c r="K837" t="s">
        <v>6364</v>
      </c>
      <c r="L837" t="s">
        <v>6365</v>
      </c>
      <c r="M837" t="s">
        <v>645</v>
      </c>
      <c r="N837" t="s">
        <v>369</v>
      </c>
      <c r="O837" t="s">
        <v>83</v>
      </c>
      <c r="P837">
        <v>2910</v>
      </c>
    </row>
    <row r="838" spans="1:17" x14ac:dyDescent="0.3">
      <c r="A838" t="s">
        <v>6366</v>
      </c>
      <c r="B838" t="s">
        <v>2398</v>
      </c>
      <c r="C838" t="s">
        <v>6173</v>
      </c>
      <c r="D838" t="s">
        <v>6174</v>
      </c>
      <c r="E838" t="s">
        <v>1276</v>
      </c>
      <c r="F838" t="s">
        <v>6367</v>
      </c>
      <c r="G838">
        <v>0</v>
      </c>
      <c r="H838">
        <v>0</v>
      </c>
      <c r="I838" t="s">
        <v>6177</v>
      </c>
      <c r="J838" t="s">
        <v>6368</v>
      </c>
      <c r="K838" t="s">
        <v>6369</v>
      </c>
      <c r="L838">
        <v>1234</v>
      </c>
      <c r="M838" t="s">
        <v>645</v>
      </c>
      <c r="N838" t="s">
        <v>336</v>
      </c>
      <c r="O838" t="s">
        <v>515</v>
      </c>
      <c r="P838">
        <v>2902</v>
      </c>
    </row>
    <row r="839" spans="1:17" x14ac:dyDescent="0.3">
      <c r="A839" t="s">
        <v>6370</v>
      </c>
      <c r="B839" t="s">
        <v>2398</v>
      </c>
      <c r="C839" t="s">
        <v>6173</v>
      </c>
      <c r="D839" t="s">
        <v>6174</v>
      </c>
      <c r="E839" t="s">
        <v>1470</v>
      </c>
      <c r="F839" t="s">
        <v>6371</v>
      </c>
      <c r="G839">
        <v>0</v>
      </c>
      <c r="H839">
        <v>0</v>
      </c>
      <c r="I839" t="s">
        <v>6177</v>
      </c>
      <c r="J839" t="s">
        <v>6368</v>
      </c>
      <c r="K839" t="s">
        <v>6372</v>
      </c>
      <c r="L839">
        <v>1234</v>
      </c>
      <c r="M839" t="s">
        <v>645</v>
      </c>
      <c r="N839" t="s">
        <v>336</v>
      </c>
      <c r="O839" t="s">
        <v>515</v>
      </c>
      <c r="P839">
        <v>2916</v>
      </c>
    </row>
    <row r="840" spans="1:17" x14ac:dyDescent="0.3">
      <c r="A840" t="s">
        <v>6373</v>
      </c>
      <c r="B840" t="s">
        <v>5129</v>
      </c>
      <c r="C840" t="s">
        <v>6374</v>
      </c>
      <c r="D840" t="s">
        <v>5308</v>
      </c>
      <c r="E840" t="s">
        <v>4344</v>
      </c>
      <c r="F840" t="s">
        <v>6375</v>
      </c>
      <c r="G840">
        <v>0</v>
      </c>
      <c r="H840">
        <v>0</v>
      </c>
      <c r="I840" t="s">
        <v>6376</v>
      </c>
      <c r="J840">
        <v>9175041109</v>
      </c>
      <c r="K840" t="s">
        <v>6377</v>
      </c>
      <c r="L840" t="s">
        <v>6378</v>
      </c>
      <c r="M840" t="s">
        <v>645</v>
      </c>
      <c r="N840" t="s">
        <v>336</v>
      </c>
      <c r="O840" t="s">
        <v>515</v>
      </c>
      <c r="P840">
        <v>2914</v>
      </c>
    </row>
    <row r="841" spans="1:17" x14ac:dyDescent="0.3">
      <c r="A841" t="s">
        <v>6379</v>
      </c>
      <c r="B841" t="s">
        <v>6380</v>
      </c>
      <c r="C841" t="s">
        <v>6381</v>
      </c>
      <c r="D841" t="s">
        <v>6382</v>
      </c>
      <c r="E841" t="s">
        <v>5026</v>
      </c>
      <c r="F841" t="s">
        <v>6383</v>
      </c>
      <c r="I841" t="s">
        <v>6384</v>
      </c>
      <c r="J841" t="s">
        <v>6385</v>
      </c>
      <c r="K841" t="s">
        <v>6386</v>
      </c>
      <c r="L841" t="s">
        <v>6387</v>
      </c>
      <c r="M841" t="s">
        <v>645</v>
      </c>
      <c r="N841" t="s">
        <v>779</v>
      </c>
      <c r="O841" t="s">
        <v>1049</v>
      </c>
      <c r="P841">
        <v>2676</v>
      </c>
    </row>
    <row r="842" spans="1:17" x14ac:dyDescent="0.3">
      <c r="A842" t="s">
        <v>6388</v>
      </c>
      <c r="B842" t="s">
        <v>351</v>
      </c>
      <c r="C842" t="s">
        <v>6389</v>
      </c>
      <c r="D842" t="s">
        <v>6390</v>
      </c>
      <c r="E842" t="s">
        <v>6391</v>
      </c>
      <c r="F842" t="s">
        <v>6392</v>
      </c>
      <c r="I842" t="s">
        <v>6393</v>
      </c>
      <c r="J842" t="s">
        <v>6394</v>
      </c>
      <c r="K842" t="s">
        <v>6395</v>
      </c>
      <c r="L842">
        <v>1234</v>
      </c>
      <c r="M842" t="s">
        <v>645</v>
      </c>
      <c r="N842" t="s">
        <v>16</v>
      </c>
      <c r="O842" t="s">
        <v>2468</v>
      </c>
      <c r="P842">
        <v>2773</v>
      </c>
    </row>
    <row r="843" spans="1:17" x14ac:dyDescent="0.3">
      <c r="A843" t="s">
        <v>6388</v>
      </c>
      <c r="B843" t="s">
        <v>351</v>
      </c>
      <c r="C843" t="s">
        <v>6389</v>
      </c>
      <c r="D843" t="s">
        <v>6390</v>
      </c>
      <c r="E843" t="s">
        <v>6391</v>
      </c>
      <c r="F843" t="s">
        <v>6392</v>
      </c>
      <c r="I843" t="s">
        <v>6393</v>
      </c>
      <c r="J843" t="s">
        <v>6394</v>
      </c>
      <c r="K843" t="s">
        <v>6395</v>
      </c>
      <c r="L843">
        <v>1234</v>
      </c>
      <c r="M843" t="s">
        <v>645</v>
      </c>
      <c r="N843" t="s">
        <v>16</v>
      </c>
      <c r="O843" t="s">
        <v>2468</v>
      </c>
      <c r="P843">
        <v>2773</v>
      </c>
    </row>
    <row r="844" spans="1:17" x14ac:dyDescent="0.3">
      <c r="A844" t="s">
        <v>6396</v>
      </c>
      <c r="B844" t="s">
        <v>1633</v>
      </c>
      <c r="C844" t="s">
        <v>6397</v>
      </c>
      <c r="D844" t="s">
        <v>3304</v>
      </c>
      <c r="E844" t="s">
        <v>3723</v>
      </c>
      <c r="F844" t="s">
        <v>6398</v>
      </c>
      <c r="G844">
        <v>0</v>
      </c>
      <c r="H844">
        <v>0</v>
      </c>
      <c r="I844" t="s">
        <v>6399</v>
      </c>
      <c r="J844" t="s">
        <v>6400</v>
      </c>
      <c r="K844" t="s">
        <v>6401</v>
      </c>
      <c r="L844">
        <v>1234</v>
      </c>
      <c r="M844" t="s">
        <v>645</v>
      </c>
      <c r="N844" t="s">
        <v>16</v>
      </c>
      <c r="O844" t="s">
        <v>292</v>
      </c>
      <c r="P844">
        <v>2262</v>
      </c>
    </row>
    <row r="845" spans="1:17" x14ac:dyDescent="0.3">
      <c r="A845" t="s">
        <v>6402</v>
      </c>
      <c r="B845" t="s">
        <v>944</v>
      </c>
      <c r="C845" t="s">
        <v>6403</v>
      </c>
      <c r="D845" t="s">
        <v>234</v>
      </c>
      <c r="E845" t="s">
        <v>6404</v>
      </c>
      <c r="F845" t="s">
        <v>6405</v>
      </c>
      <c r="G845">
        <v>0</v>
      </c>
      <c r="H845">
        <v>0</v>
      </c>
      <c r="I845" t="s">
        <v>6406</v>
      </c>
      <c r="J845">
        <v>9189435097</v>
      </c>
      <c r="K845" t="s">
        <v>6407</v>
      </c>
      <c r="L845">
        <v>1234</v>
      </c>
      <c r="M845" t="s">
        <v>645</v>
      </c>
      <c r="N845" t="s">
        <v>336</v>
      </c>
      <c r="O845" t="s">
        <v>441</v>
      </c>
      <c r="P845">
        <v>2862</v>
      </c>
    </row>
    <row r="846" spans="1:17" x14ac:dyDescent="0.3">
      <c r="A846" t="s">
        <v>6408</v>
      </c>
      <c r="B846" t="s">
        <v>6409</v>
      </c>
      <c r="C846" t="s">
        <v>6410</v>
      </c>
      <c r="D846" t="s">
        <v>585</v>
      </c>
      <c r="E846" t="s">
        <v>2994</v>
      </c>
      <c r="F846" t="s">
        <v>6411</v>
      </c>
      <c r="G846">
        <v>0</v>
      </c>
      <c r="H846">
        <v>0</v>
      </c>
      <c r="I846" t="s">
        <v>6412</v>
      </c>
      <c r="J846" t="s">
        <v>6413</v>
      </c>
      <c r="K846" t="s">
        <v>6414</v>
      </c>
      <c r="L846">
        <v>1234</v>
      </c>
      <c r="M846" t="s">
        <v>645</v>
      </c>
      <c r="N846" t="s">
        <v>398</v>
      </c>
      <c r="O846" t="s">
        <v>853</v>
      </c>
      <c r="P846">
        <v>2854</v>
      </c>
    </row>
    <row r="847" spans="1:17" x14ac:dyDescent="0.3">
      <c r="A847" t="s">
        <v>6415</v>
      </c>
      <c r="B847" t="s">
        <v>1587</v>
      </c>
      <c r="C847" t="s">
        <v>6416</v>
      </c>
      <c r="D847" t="s">
        <v>6417</v>
      </c>
      <c r="E847" t="s">
        <v>1311</v>
      </c>
      <c r="F847" t="s">
        <v>6418</v>
      </c>
      <c r="G847">
        <v>0</v>
      </c>
      <c r="H847">
        <v>0</v>
      </c>
      <c r="I847" t="s">
        <v>6419</v>
      </c>
      <c r="J847" t="s">
        <v>6420</v>
      </c>
      <c r="K847" t="s">
        <v>6421</v>
      </c>
      <c r="L847">
        <v>1234</v>
      </c>
      <c r="M847" t="s">
        <v>645</v>
      </c>
      <c r="N847" t="s">
        <v>369</v>
      </c>
      <c r="O847" t="s">
        <v>2181</v>
      </c>
      <c r="P847">
        <v>2933</v>
      </c>
    </row>
    <row r="848" spans="1:17" x14ac:dyDescent="0.3">
      <c r="A848" t="s">
        <v>6422</v>
      </c>
      <c r="B848" t="s">
        <v>4199</v>
      </c>
      <c r="C848" t="s">
        <v>6423</v>
      </c>
      <c r="D848" t="s">
        <v>974</v>
      </c>
      <c r="E848" t="s">
        <v>1339</v>
      </c>
      <c r="F848" t="s">
        <v>6424</v>
      </c>
      <c r="G848">
        <v>0</v>
      </c>
      <c r="H848">
        <v>0</v>
      </c>
      <c r="I848" t="s">
        <v>6425</v>
      </c>
      <c r="J848">
        <v>9176241061</v>
      </c>
      <c r="K848" t="s">
        <v>6426</v>
      </c>
      <c r="L848" t="s">
        <v>6427</v>
      </c>
      <c r="M848" t="s">
        <v>645</v>
      </c>
      <c r="N848" t="s">
        <v>16</v>
      </c>
      <c r="O848" t="s">
        <v>292</v>
      </c>
      <c r="P848">
        <v>2819</v>
      </c>
      <c r="Q848" t="s">
        <v>6428</v>
      </c>
    </row>
    <row r="849" spans="1:17" x14ac:dyDescent="0.3">
      <c r="A849" t="s">
        <v>6429</v>
      </c>
      <c r="B849" t="s">
        <v>6430</v>
      </c>
      <c r="C849" t="s">
        <v>6431</v>
      </c>
      <c r="D849" t="s">
        <v>86</v>
      </c>
      <c r="E849" t="s">
        <v>1470</v>
      </c>
      <c r="F849" t="s">
        <v>6432</v>
      </c>
      <c r="G849">
        <v>0</v>
      </c>
      <c r="H849">
        <v>0</v>
      </c>
      <c r="I849" t="s">
        <v>6433</v>
      </c>
      <c r="J849" t="s">
        <v>6434</v>
      </c>
      <c r="K849" t="s">
        <v>6435</v>
      </c>
      <c r="L849" t="s">
        <v>6436</v>
      </c>
      <c r="M849" t="s">
        <v>645</v>
      </c>
      <c r="N849" t="s">
        <v>398</v>
      </c>
      <c r="O849" t="s">
        <v>6437</v>
      </c>
      <c r="P849">
        <v>2505</v>
      </c>
    </row>
    <row r="850" spans="1:17" x14ac:dyDescent="0.3">
      <c r="A850" t="s">
        <v>6438</v>
      </c>
      <c r="B850" t="s">
        <v>5849</v>
      </c>
      <c r="C850" t="s">
        <v>507</v>
      </c>
      <c r="D850" t="s">
        <v>3095</v>
      </c>
      <c r="E850" t="s">
        <v>6439</v>
      </c>
      <c r="F850" t="s">
        <v>6440</v>
      </c>
      <c r="J850">
        <v>9753572343</v>
      </c>
      <c r="K850" t="s">
        <v>6441</v>
      </c>
      <c r="L850" t="s">
        <v>6442</v>
      </c>
      <c r="M850" t="s">
        <v>645</v>
      </c>
      <c r="N850" t="s">
        <v>336</v>
      </c>
      <c r="O850" t="s">
        <v>515</v>
      </c>
      <c r="P850">
        <v>2963</v>
      </c>
    </row>
    <row r="851" spans="1:17" x14ac:dyDescent="0.3">
      <c r="A851" t="s">
        <v>6443</v>
      </c>
      <c r="B851" t="s">
        <v>6444</v>
      </c>
      <c r="C851" t="s">
        <v>6445</v>
      </c>
      <c r="D851" t="s">
        <v>4052</v>
      </c>
      <c r="E851" t="s">
        <v>329</v>
      </c>
      <c r="F851" t="s">
        <v>6446</v>
      </c>
      <c r="I851" t="s">
        <v>6447</v>
      </c>
      <c r="J851" t="s">
        <v>6448</v>
      </c>
      <c r="K851" t="s">
        <v>6449</v>
      </c>
      <c r="L851">
        <v>1234</v>
      </c>
      <c r="M851" t="s">
        <v>645</v>
      </c>
      <c r="N851" t="s">
        <v>336</v>
      </c>
      <c r="O851" t="s">
        <v>515</v>
      </c>
      <c r="P851">
        <v>2944</v>
      </c>
    </row>
    <row r="852" spans="1:17" x14ac:dyDescent="0.3">
      <c r="A852" t="s">
        <v>6450</v>
      </c>
      <c r="B852" t="s">
        <v>6229</v>
      </c>
      <c r="C852" t="s">
        <v>6451</v>
      </c>
      <c r="D852" t="s">
        <v>1571</v>
      </c>
      <c r="E852" t="s">
        <v>6452</v>
      </c>
      <c r="F852" t="s">
        <v>6453</v>
      </c>
      <c r="G852">
        <v>0</v>
      </c>
      <c r="H852">
        <v>0</v>
      </c>
      <c r="I852" t="s">
        <v>6454</v>
      </c>
      <c r="J852" t="s">
        <v>6455</v>
      </c>
      <c r="K852" t="s">
        <v>6456</v>
      </c>
      <c r="L852" t="s">
        <v>6457</v>
      </c>
      <c r="M852" t="s">
        <v>645</v>
      </c>
      <c r="N852" t="s">
        <v>336</v>
      </c>
      <c r="O852" t="s">
        <v>515</v>
      </c>
      <c r="P852">
        <v>2742</v>
      </c>
    </row>
    <row r="853" spans="1:17" x14ac:dyDescent="0.3">
      <c r="A853" t="s">
        <v>6458</v>
      </c>
      <c r="B853" t="s">
        <v>6360</v>
      </c>
      <c r="C853" t="s">
        <v>6459</v>
      </c>
      <c r="D853" t="s">
        <v>1555</v>
      </c>
      <c r="E853" t="s">
        <v>6460</v>
      </c>
      <c r="F853" t="s">
        <v>6461</v>
      </c>
      <c r="G853">
        <v>0</v>
      </c>
      <c r="H853">
        <v>0</v>
      </c>
      <c r="I853" t="s">
        <v>6462</v>
      </c>
      <c r="J853" t="s">
        <v>6463</v>
      </c>
      <c r="K853" t="s">
        <v>6464</v>
      </c>
      <c r="L853">
        <v>1234</v>
      </c>
      <c r="M853" t="s">
        <v>645</v>
      </c>
      <c r="N853" t="s">
        <v>369</v>
      </c>
      <c r="O853" t="s">
        <v>6465</v>
      </c>
      <c r="P853">
        <v>2700</v>
      </c>
    </row>
    <row r="854" spans="1:17" x14ac:dyDescent="0.3">
      <c r="A854" t="s">
        <v>6466</v>
      </c>
      <c r="B854" t="s">
        <v>6467</v>
      </c>
      <c r="C854" t="s">
        <v>6468</v>
      </c>
      <c r="D854" t="s">
        <v>5398</v>
      </c>
      <c r="E854" t="s">
        <v>5026</v>
      </c>
      <c r="F854" t="s">
        <v>6469</v>
      </c>
      <c r="G854">
        <v>0</v>
      </c>
      <c r="H854">
        <v>0</v>
      </c>
      <c r="I854" t="s">
        <v>6470</v>
      </c>
      <c r="J854" t="s">
        <v>6471</v>
      </c>
      <c r="K854" t="s">
        <v>6472</v>
      </c>
      <c r="L854">
        <v>1234</v>
      </c>
      <c r="M854" t="s">
        <v>645</v>
      </c>
      <c r="N854" t="s">
        <v>398</v>
      </c>
      <c r="O854" t="s">
        <v>582</v>
      </c>
      <c r="P854">
        <v>2691</v>
      </c>
    </row>
    <row r="855" spans="1:17" x14ac:dyDescent="0.3">
      <c r="A855" t="s">
        <v>6473</v>
      </c>
      <c r="B855" t="s">
        <v>6474</v>
      </c>
      <c r="C855" t="s">
        <v>6475</v>
      </c>
      <c r="D855" t="s">
        <v>236</v>
      </c>
      <c r="E855" t="s">
        <v>6476</v>
      </c>
      <c r="F855" t="s">
        <v>6477</v>
      </c>
      <c r="G855">
        <v>0</v>
      </c>
      <c r="H855">
        <v>0</v>
      </c>
      <c r="I855" t="s">
        <v>6478</v>
      </c>
      <c r="J855">
        <v>9178599532</v>
      </c>
      <c r="K855" t="s">
        <v>6479</v>
      </c>
      <c r="L855">
        <v>1234</v>
      </c>
      <c r="M855" t="s">
        <v>645</v>
      </c>
      <c r="N855" t="s">
        <v>779</v>
      </c>
      <c r="O855" t="s">
        <v>780</v>
      </c>
      <c r="P855">
        <v>2434</v>
      </c>
    </row>
    <row r="856" spans="1:17" x14ac:dyDescent="0.3">
      <c r="A856" t="s">
        <v>6480</v>
      </c>
      <c r="B856" t="s">
        <v>2576</v>
      </c>
      <c r="C856" t="s">
        <v>6481</v>
      </c>
      <c r="E856" t="s">
        <v>477</v>
      </c>
      <c r="F856" t="s">
        <v>6482</v>
      </c>
      <c r="I856" t="s">
        <v>6483</v>
      </c>
      <c r="J856">
        <f>-45- 499-8502</f>
        <v>-9046</v>
      </c>
      <c r="K856" t="s">
        <v>6484</v>
      </c>
      <c r="L856" t="s">
        <v>6485</v>
      </c>
      <c r="M856" t="s">
        <v>645</v>
      </c>
      <c r="N856" t="s">
        <v>369</v>
      </c>
      <c r="O856" t="s">
        <v>370</v>
      </c>
      <c r="P856">
        <v>2936</v>
      </c>
    </row>
    <row r="857" spans="1:17" x14ac:dyDescent="0.3">
      <c r="A857" t="s">
        <v>6486</v>
      </c>
      <c r="B857" t="s">
        <v>2576</v>
      </c>
      <c r="C857" t="s">
        <v>6481</v>
      </c>
      <c r="E857" t="s">
        <v>477</v>
      </c>
      <c r="F857" t="s">
        <v>6487</v>
      </c>
      <c r="I857" t="s">
        <v>6483</v>
      </c>
      <c r="J857">
        <f>-45- 499-8502</f>
        <v>-9046</v>
      </c>
      <c r="K857" t="s">
        <v>6488</v>
      </c>
      <c r="L857" t="s">
        <v>6489</v>
      </c>
      <c r="M857" t="s">
        <v>645</v>
      </c>
      <c r="N857" t="s">
        <v>369</v>
      </c>
      <c r="O857" t="s">
        <v>370</v>
      </c>
      <c r="P857">
        <v>2935</v>
      </c>
    </row>
    <row r="858" spans="1:17" x14ac:dyDescent="0.3">
      <c r="A858" t="s">
        <v>6490</v>
      </c>
      <c r="B858" t="s">
        <v>426</v>
      </c>
      <c r="C858" t="s">
        <v>6491</v>
      </c>
      <c r="D858" t="s">
        <v>974</v>
      </c>
      <c r="E858" t="s">
        <v>6492</v>
      </c>
      <c r="F858" t="s">
        <v>6493</v>
      </c>
      <c r="G858">
        <v>0</v>
      </c>
      <c r="H858">
        <v>0</v>
      </c>
      <c r="I858" t="s">
        <v>6494</v>
      </c>
      <c r="J858" t="s">
        <v>6495</v>
      </c>
      <c r="K858" t="s">
        <v>6496</v>
      </c>
      <c r="L858">
        <v>1234</v>
      </c>
      <c r="M858" t="s">
        <v>645</v>
      </c>
      <c r="N858" t="s">
        <v>336</v>
      </c>
      <c r="O858" t="s">
        <v>515</v>
      </c>
      <c r="P858">
        <v>2973</v>
      </c>
      <c r="Q858" t="s">
        <v>6497</v>
      </c>
    </row>
    <row r="859" spans="1:17" x14ac:dyDescent="0.3">
      <c r="A859" t="s">
        <v>6498</v>
      </c>
      <c r="B859" t="s">
        <v>6499</v>
      </c>
      <c r="C859" t="s">
        <v>6500</v>
      </c>
      <c r="D859" t="s">
        <v>3354</v>
      </c>
      <c r="E859" t="s">
        <v>6501</v>
      </c>
      <c r="F859" t="s">
        <v>6502</v>
      </c>
      <c r="G859">
        <v>0</v>
      </c>
      <c r="H859">
        <v>0</v>
      </c>
      <c r="I859" t="s">
        <v>6503</v>
      </c>
      <c r="J859" t="s">
        <v>6504</v>
      </c>
      <c r="K859" t="s">
        <v>6505</v>
      </c>
      <c r="L859">
        <v>1234</v>
      </c>
      <c r="M859" t="s">
        <v>645</v>
      </c>
      <c r="N859" t="s">
        <v>336</v>
      </c>
      <c r="O859" t="s">
        <v>337</v>
      </c>
      <c r="P859">
        <v>2878</v>
      </c>
    </row>
    <row r="860" spans="1:17" x14ac:dyDescent="0.3">
      <c r="A860" t="s">
        <v>6506</v>
      </c>
      <c r="B860" t="s">
        <v>1433</v>
      </c>
      <c r="C860" t="s">
        <v>4261</v>
      </c>
      <c r="D860" t="s">
        <v>539</v>
      </c>
      <c r="E860" t="s">
        <v>6507</v>
      </c>
      <c r="F860" t="s">
        <v>6508</v>
      </c>
      <c r="G860">
        <v>0</v>
      </c>
      <c r="H860">
        <v>0</v>
      </c>
      <c r="I860" t="s">
        <v>6509</v>
      </c>
      <c r="J860" t="s">
        <v>6510</v>
      </c>
      <c r="K860" t="s">
        <v>6511</v>
      </c>
      <c r="L860" t="s">
        <v>6512</v>
      </c>
      <c r="M860" t="s">
        <v>645</v>
      </c>
      <c r="N860" t="s">
        <v>398</v>
      </c>
      <c r="O860" t="s">
        <v>399</v>
      </c>
      <c r="P860">
        <v>2922</v>
      </c>
      <c r="Q860" t="s">
        <v>6513</v>
      </c>
    </row>
    <row r="861" spans="1:17" x14ac:dyDescent="0.3">
      <c r="A861" t="s">
        <v>6514</v>
      </c>
      <c r="B861" t="s">
        <v>6515</v>
      </c>
      <c r="C861" t="s">
        <v>123</v>
      </c>
      <c r="D861" t="s">
        <v>539</v>
      </c>
      <c r="E861" t="s">
        <v>329</v>
      </c>
      <c r="F861" t="s">
        <v>6516</v>
      </c>
      <c r="I861" t="s">
        <v>6517</v>
      </c>
      <c r="J861">
        <v>9959047815</v>
      </c>
      <c r="K861" t="s">
        <v>6518</v>
      </c>
      <c r="L861" t="s">
        <v>6519</v>
      </c>
      <c r="M861" t="s">
        <v>645</v>
      </c>
      <c r="N861" t="s">
        <v>398</v>
      </c>
      <c r="O861" t="s">
        <v>582</v>
      </c>
      <c r="P861">
        <v>2956</v>
      </c>
    </row>
    <row r="862" spans="1:17" x14ac:dyDescent="0.3">
      <c r="A862" t="s">
        <v>6520</v>
      </c>
      <c r="B862" t="s">
        <v>620</v>
      </c>
      <c r="C862" t="s">
        <v>6521</v>
      </c>
      <c r="D862" t="s">
        <v>1555</v>
      </c>
      <c r="E862" t="s">
        <v>1062</v>
      </c>
      <c r="F862" t="s">
        <v>6522</v>
      </c>
      <c r="G862" t="s">
        <v>6523</v>
      </c>
      <c r="H862">
        <v>-4.8708915710449201E-3</v>
      </c>
      <c r="I862" t="s">
        <v>6524</v>
      </c>
      <c r="J862">
        <v>9171837166</v>
      </c>
      <c r="K862" t="s">
        <v>6525</v>
      </c>
      <c r="L862" t="s">
        <v>6526</v>
      </c>
      <c r="M862" t="s">
        <v>645</v>
      </c>
      <c r="N862" t="s">
        <v>243</v>
      </c>
      <c r="O862" t="s">
        <v>6527</v>
      </c>
      <c r="P862">
        <v>2969</v>
      </c>
      <c r="Q862" t="s">
        <v>6528</v>
      </c>
    </row>
    <row r="863" spans="1:17" x14ac:dyDescent="0.3">
      <c r="A863" t="s">
        <v>6529</v>
      </c>
      <c r="B863" t="s">
        <v>326</v>
      </c>
      <c r="C863" t="s">
        <v>6530</v>
      </c>
      <c r="D863" t="s">
        <v>6531</v>
      </c>
      <c r="E863" t="s">
        <v>329</v>
      </c>
      <c r="F863" t="s">
        <v>6532</v>
      </c>
      <c r="G863">
        <v>0</v>
      </c>
      <c r="H863">
        <v>0</v>
      </c>
      <c r="I863" t="s">
        <v>6533</v>
      </c>
      <c r="J863" t="s">
        <v>6534</v>
      </c>
      <c r="K863" t="s">
        <v>6535</v>
      </c>
      <c r="L863">
        <v>1234</v>
      </c>
      <c r="M863" t="s">
        <v>645</v>
      </c>
      <c r="N863" t="s">
        <v>369</v>
      </c>
      <c r="O863" t="s">
        <v>370</v>
      </c>
      <c r="P863">
        <v>2954</v>
      </c>
    </row>
    <row r="864" spans="1:17" x14ac:dyDescent="0.3">
      <c r="A864" t="s">
        <v>6536</v>
      </c>
      <c r="B864" t="s">
        <v>1453</v>
      </c>
      <c r="C864" t="s">
        <v>6537</v>
      </c>
      <c r="D864" t="s">
        <v>4650</v>
      </c>
      <c r="E864" t="s">
        <v>6538</v>
      </c>
      <c r="F864" t="s">
        <v>6539</v>
      </c>
      <c r="G864">
        <v>0</v>
      </c>
      <c r="H864">
        <v>0</v>
      </c>
      <c r="I864" t="s">
        <v>6540</v>
      </c>
      <c r="J864">
        <v>9330389235</v>
      </c>
      <c r="K864" t="s">
        <v>6541</v>
      </c>
      <c r="L864">
        <v>1234</v>
      </c>
      <c r="M864" t="s">
        <v>645</v>
      </c>
      <c r="N864" t="s">
        <v>336</v>
      </c>
      <c r="O864" t="s">
        <v>515</v>
      </c>
      <c r="P864">
        <v>2951</v>
      </c>
    </row>
    <row r="865" spans="1:17" x14ac:dyDescent="0.3">
      <c r="A865" t="s">
        <v>6542</v>
      </c>
      <c r="B865" t="s">
        <v>6543</v>
      </c>
      <c r="C865" t="s">
        <v>6544</v>
      </c>
      <c r="D865" t="s">
        <v>6545</v>
      </c>
      <c r="E865" t="s">
        <v>6546</v>
      </c>
      <c r="F865" t="s">
        <v>6547</v>
      </c>
      <c r="G865">
        <v>0</v>
      </c>
      <c r="H865">
        <v>0</v>
      </c>
      <c r="I865" t="s">
        <v>6548</v>
      </c>
      <c r="J865" t="s">
        <v>6549</v>
      </c>
      <c r="K865" t="s">
        <v>6550</v>
      </c>
      <c r="L865">
        <v>1312019</v>
      </c>
      <c r="M865" t="s">
        <v>645</v>
      </c>
      <c r="N865" t="s">
        <v>336</v>
      </c>
      <c r="O865" t="s">
        <v>515</v>
      </c>
      <c r="P865">
        <v>2748</v>
      </c>
    </row>
    <row r="866" spans="1:17" x14ac:dyDescent="0.3">
      <c r="A866" t="s">
        <v>6529</v>
      </c>
      <c r="B866" t="s">
        <v>326</v>
      </c>
      <c r="C866" t="s">
        <v>6530</v>
      </c>
      <c r="D866" t="s">
        <v>6531</v>
      </c>
      <c r="E866" t="s">
        <v>329</v>
      </c>
      <c r="F866" t="s">
        <v>6532</v>
      </c>
      <c r="G866">
        <v>0</v>
      </c>
      <c r="H866">
        <v>0</v>
      </c>
      <c r="I866" t="s">
        <v>6533</v>
      </c>
      <c r="J866" t="s">
        <v>6534</v>
      </c>
      <c r="K866" t="s">
        <v>6535</v>
      </c>
      <c r="L866">
        <v>1234</v>
      </c>
      <c r="M866" t="s">
        <v>645</v>
      </c>
      <c r="N866" t="s">
        <v>369</v>
      </c>
      <c r="O866" t="s">
        <v>370</v>
      </c>
      <c r="P866">
        <v>2954</v>
      </c>
    </row>
    <row r="867" spans="1:17" x14ac:dyDescent="0.3">
      <c r="A867" t="s">
        <v>6480</v>
      </c>
      <c r="B867" t="s">
        <v>2576</v>
      </c>
      <c r="C867" t="s">
        <v>6481</v>
      </c>
      <c r="D867" t="s">
        <v>3317</v>
      </c>
      <c r="E867" t="s">
        <v>477</v>
      </c>
      <c r="F867" t="s">
        <v>6482</v>
      </c>
      <c r="I867" t="s">
        <v>6483</v>
      </c>
      <c r="J867" t="s">
        <v>6551</v>
      </c>
      <c r="K867" t="s">
        <v>6484</v>
      </c>
      <c r="L867" t="s">
        <v>6485</v>
      </c>
      <c r="M867" t="s">
        <v>645</v>
      </c>
      <c r="N867" t="s">
        <v>369</v>
      </c>
      <c r="O867" t="s">
        <v>370</v>
      </c>
      <c r="P867">
        <v>2936</v>
      </c>
    </row>
    <row r="868" spans="1:17" x14ac:dyDescent="0.3">
      <c r="A868" t="s">
        <v>6486</v>
      </c>
      <c r="B868" t="s">
        <v>2576</v>
      </c>
      <c r="C868" t="s">
        <v>6481</v>
      </c>
      <c r="D868" t="s">
        <v>3317</v>
      </c>
      <c r="E868" t="s">
        <v>477</v>
      </c>
      <c r="F868" t="s">
        <v>6486</v>
      </c>
      <c r="I868" t="s">
        <v>6483</v>
      </c>
      <c r="J868" t="s">
        <v>6551</v>
      </c>
      <c r="K868" t="s">
        <v>6488</v>
      </c>
      <c r="L868" t="s">
        <v>6489</v>
      </c>
      <c r="M868" t="s">
        <v>645</v>
      </c>
      <c r="N868" t="s">
        <v>369</v>
      </c>
      <c r="O868" t="s">
        <v>370</v>
      </c>
      <c r="P868">
        <v>2935</v>
      </c>
    </row>
    <row r="869" spans="1:17" x14ac:dyDescent="0.3">
      <c r="A869" t="s">
        <v>6552</v>
      </c>
      <c r="B869" t="s">
        <v>6553</v>
      </c>
      <c r="C869" t="s">
        <v>6554</v>
      </c>
      <c r="D869" t="s">
        <v>539</v>
      </c>
      <c r="E869" t="s">
        <v>717</v>
      </c>
      <c r="F869" t="s">
        <v>6555</v>
      </c>
      <c r="G869">
        <v>0</v>
      </c>
      <c r="H869">
        <v>0</v>
      </c>
      <c r="I869" t="s">
        <v>6556</v>
      </c>
      <c r="J869" t="s">
        <v>6557</v>
      </c>
      <c r="K869" t="s">
        <v>6558</v>
      </c>
      <c r="L869">
        <v>1234</v>
      </c>
      <c r="M869" t="s">
        <v>645</v>
      </c>
      <c r="N869" t="s">
        <v>336</v>
      </c>
      <c r="O869" t="s">
        <v>441</v>
      </c>
      <c r="P869">
        <v>2681</v>
      </c>
    </row>
    <row r="870" spans="1:17" x14ac:dyDescent="0.3">
      <c r="A870" t="s">
        <v>6559</v>
      </c>
      <c r="B870" t="s">
        <v>1852</v>
      </c>
      <c r="C870" t="s">
        <v>6560</v>
      </c>
      <c r="D870" t="s">
        <v>6561</v>
      </c>
      <c r="E870" t="s">
        <v>6562</v>
      </c>
      <c r="F870" t="s">
        <v>6563</v>
      </c>
      <c r="G870">
        <v>15.1772438545489</v>
      </c>
      <c r="H870">
        <v>120.52736878395</v>
      </c>
      <c r="I870" t="s">
        <v>6564</v>
      </c>
      <c r="J870">
        <v>9177128085</v>
      </c>
      <c r="K870" t="s">
        <v>6565</v>
      </c>
      <c r="L870">
        <v>1234</v>
      </c>
      <c r="M870" t="s">
        <v>645</v>
      </c>
      <c r="N870" t="s">
        <v>369</v>
      </c>
      <c r="O870" t="s">
        <v>370</v>
      </c>
      <c r="P870">
        <v>2938</v>
      </c>
      <c r="Q870" t="s">
        <v>6566</v>
      </c>
    </row>
    <row r="871" spans="1:17" x14ac:dyDescent="0.3">
      <c r="A871" t="s">
        <v>6567</v>
      </c>
      <c r="B871" t="s">
        <v>6568</v>
      </c>
      <c r="C871" t="s">
        <v>6569</v>
      </c>
      <c r="D871" t="s">
        <v>6570</v>
      </c>
      <c r="E871" t="s">
        <v>6571</v>
      </c>
      <c r="F871" t="s">
        <v>6572</v>
      </c>
      <c r="G871">
        <v>0</v>
      </c>
      <c r="H871">
        <v>0</v>
      </c>
      <c r="I871" t="s">
        <v>6573</v>
      </c>
      <c r="J871" t="s">
        <v>6574</v>
      </c>
      <c r="K871" t="s">
        <v>6575</v>
      </c>
      <c r="L871">
        <v>1234</v>
      </c>
      <c r="M871" t="s">
        <v>645</v>
      </c>
      <c r="N871" t="s">
        <v>336</v>
      </c>
      <c r="O871" t="s">
        <v>515</v>
      </c>
      <c r="P871">
        <v>2971</v>
      </c>
      <c r="Q871" t="s">
        <v>6576</v>
      </c>
    </row>
    <row r="872" spans="1:17" x14ac:dyDescent="0.3">
      <c r="A872" t="s">
        <v>6577</v>
      </c>
      <c r="B872" t="s">
        <v>6578</v>
      </c>
      <c r="C872" t="s">
        <v>6579</v>
      </c>
      <c r="D872" t="s">
        <v>6580</v>
      </c>
      <c r="E872" t="s">
        <v>3990</v>
      </c>
      <c r="F872" t="s">
        <v>6581</v>
      </c>
      <c r="I872" t="s">
        <v>6582</v>
      </c>
      <c r="J872">
        <v>90881815175</v>
      </c>
      <c r="K872" t="s">
        <v>6583</v>
      </c>
      <c r="L872">
        <v>1234</v>
      </c>
      <c r="M872" t="s">
        <v>645</v>
      </c>
      <c r="N872" t="s">
        <v>336</v>
      </c>
      <c r="O872" t="s">
        <v>6584</v>
      </c>
      <c r="P872">
        <v>2976</v>
      </c>
      <c r="Q872" t="s">
        <v>6585</v>
      </c>
    </row>
    <row r="873" spans="1:17" x14ac:dyDescent="0.3">
      <c r="A873" t="s">
        <v>6586</v>
      </c>
      <c r="B873" t="s">
        <v>326</v>
      </c>
      <c r="C873" t="s">
        <v>6587</v>
      </c>
      <c r="D873" t="s">
        <v>6588</v>
      </c>
      <c r="E873" t="s">
        <v>6589</v>
      </c>
      <c r="F873" t="s">
        <v>6590</v>
      </c>
      <c r="G873">
        <v>0</v>
      </c>
      <c r="H873">
        <v>0</v>
      </c>
      <c r="I873" t="s">
        <v>6591</v>
      </c>
      <c r="J873" t="s">
        <v>6592</v>
      </c>
      <c r="K873" t="s">
        <v>6593</v>
      </c>
      <c r="L873">
        <v>1234</v>
      </c>
      <c r="M873" t="s">
        <v>645</v>
      </c>
      <c r="N873" t="s">
        <v>710</v>
      </c>
      <c r="O873" t="s">
        <v>789</v>
      </c>
      <c r="P873">
        <v>1160</v>
      </c>
    </row>
    <row r="874" spans="1:17" x14ac:dyDescent="0.3">
      <c r="A874" t="s">
        <v>6594</v>
      </c>
      <c r="F874" t="s">
        <v>6595</v>
      </c>
      <c r="K874" t="s">
        <v>6596</v>
      </c>
      <c r="L874">
        <v>1234</v>
      </c>
      <c r="M874" t="s">
        <v>645</v>
      </c>
      <c r="N874" t="s">
        <v>336</v>
      </c>
      <c r="O874" t="s">
        <v>483</v>
      </c>
      <c r="P874">
        <v>2980</v>
      </c>
    </row>
    <row r="875" spans="1:17" x14ac:dyDescent="0.3">
      <c r="A875" t="s">
        <v>6597</v>
      </c>
      <c r="B875" t="s">
        <v>6598</v>
      </c>
      <c r="C875" t="s">
        <v>6599</v>
      </c>
      <c r="D875" t="s">
        <v>4313</v>
      </c>
      <c r="E875" t="s">
        <v>6600</v>
      </c>
      <c r="F875" t="s">
        <v>6601</v>
      </c>
      <c r="G875">
        <v>0</v>
      </c>
      <c r="H875">
        <v>0</v>
      </c>
      <c r="I875" t="s">
        <v>6602</v>
      </c>
      <c r="J875">
        <v>9175090591</v>
      </c>
      <c r="K875" t="s">
        <v>6603</v>
      </c>
      <c r="L875">
        <v>1234</v>
      </c>
      <c r="M875" t="s">
        <v>645</v>
      </c>
      <c r="N875" t="s">
        <v>763</v>
      </c>
      <c r="O875" t="s">
        <v>1288</v>
      </c>
      <c r="P875">
        <v>2962</v>
      </c>
    </row>
    <row r="876" spans="1:17" x14ac:dyDescent="0.3">
      <c r="A876" t="s">
        <v>6604</v>
      </c>
      <c r="B876" t="s">
        <v>326</v>
      </c>
      <c r="C876" t="s">
        <v>6605</v>
      </c>
      <c r="D876" t="s">
        <v>3578</v>
      </c>
      <c r="E876" t="s">
        <v>3222</v>
      </c>
      <c r="F876" t="s">
        <v>6606</v>
      </c>
      <c r="G876">
        <v>0</v>
      </c>
      <c r="H876">
        <v>0</v>
      </c>
      <c r="I876" t="s">
        <v>6607</v>
      </c>
      <c r="J876" t="s">
        <v>6608</v>
      </c>
      <c r="K876" t="s">
        <v>6609</v>
      </c>
      <c r="L876">
        <v>1234</v>
      </c>
      <c r="M876" t="s">
        <v>645</v>
      </c>
      <c r="N876" t="s">
        <v>336</v>
      </c>
      <c r="O876" t="s">
        <v>441</v>
      </c>
      <c r="P876">
        <v>2887</v>
      </c>
    </row>
    <row r="877" spans="1:17" x14ac:dyDescent="0.3">
      <c r="A877" t="s">
        <v>6610</v>
      </c>
      <c r="B877" t="s">
        <v>6611</v>
      </c>
      <c r="C877" t="s">
        <v>6612</v>
      </c>
      <c r="D877" t="s">
        <v>6613</v>
      </c>
      <c r="E877" t="s">
        <v>2216</v>
      </c>
      <c r="F877" t="s">
        <v>6614</v>
      </c>
      <c r="G877">
        <v>0</v>
      </c>
      <c r="H877">
        <v>0</v>
      </c>
      <c r="I877" t="s">
        <v>6615</v>
      </c>
      <c r="J877">
        <v>9950818615</v>
      </c>
      <c r="K877" t="s">
        <v>6616</v>
      </c>
      <c r="L877" t="s">
        <v>6617</v>
      </c>
      <c r="M877" t="s">
        <v>645</v>
      </c>
      <c r="N877" t="s">
        <v>336</v>
      </c>
      <c r="O877" t="s">
        <v>2952</v>
      </c>
      <c r="P877">
        <v>2818</v>
      </c>
    </row>
    <row r="878" spans="1:17" x14ac:dyDescent="0.3">
      <c r="A878" t="s">
        <v>6618</v>
      </c>
      <c r="B878" t="s">
        <v>6619</v>
      </c>
      <c r="C878" t="s">
        <v>6620</v>
      </c>
      <c r="D878" t="s">
        <v>1909</v>
      </c>
      <c r="E878" t="s">
        <v>6621</v>
      </c>
      <c r="F878" t="s">
        <v>6622</v>
      </c>
      <c r="G878">
        <v>0</v>
      </c>
      <c r="H878">
        <v>0</v>
      </c>
      <c r="I878" t="s">
        <v>6623</v>
      </c>
      <c r="J878">
        <v>9458891157</v>
      </c>
      <c r="K878" t="s">
        <v>6624</v>
      </c>
      <c r="L878" t="s">
        <v>6625</v>
      </c>
      <c r="M878" t="s">
        <v>645</v>
      </c>
      <c r="N878" t="s">
        <v>336</v>
      </c>
      <c r="O878" t="s">
        <v>515</v>
      </c>
      <c r="P878">
        <v>2782</v>
      </c>
      <c r="Q878" t="s">
        <v>6626</v>
      </c>
    </row>
    <row r="879" spans="1:17" x14ac:dyDescent="0.3">
      <c r="A879" t="s">
        <v>6627</v>
      </c>
      <c r="B879" t="s">
        <v>6628</v>
      </c>
      <c r="C879" t="s">
        <v>6629</v>
      </c>
      <c r="E879" t="s">
        <v>6630</v>
      </c>
      <c r="F879" t="s">
        <v>6631</v>
      </c>
      <c r="G879">
        <v>15.1918485412024</v>
      </c>
      <c r="H879">
        <v>-1679.4499826431199</v>
      </c>
      <c r="I879" t="s">
        <v>6632</v>
      </c>
      <c r="J879">
        <v>9177751204</v>
      </c>
      <c r="K879" t="s">
        <v>6633</v>
      </c>
      <c r="L879" t="s">
        <v>6634</v>
      </c>
      <c r="M879" t="s">
        <v>645</v>
      </c>
      <c r="N879" t="s">
        <v>871</v>
      </c>
      <c r="O879" t="s">
        <v>6635</v>
      </c>
      <c r="P879">
        <v>2572</v>
      </c>
    </row>
    <row r="880" spans="1:17" x14ac:dyDescent="0.3">
      <c r="A880" t="s">
        <v>6636</v>
      </c>
      <c r="B880" t="s">
        <v>6637</v>
      </c>
      <c r="C880" t="s">
        <v>6638</v>
      </c>
      <c r="D880" t="s">
        <v>585</v>
      </c>
      <c r="E880" t="s">
        <v>6639</v>
      </c>
      <c r="F880" t="s">
        <v>6640</v>
      </c>
      <c r="G880">
        <v>0</v>
      </c>
      <c r="H880">
        <v>0</v>
      </c>
      <c r="I880" t="s">
        <v>6641</v>
      </c>
      <c r="J880" t="s">
        <v>6642</v>
      </c>
      <c r="K880" t="s">
        <v>6643</v>
      </c>
      <c r="L880">
        <v>1234</v>
      </c>
      <c r="M880" t="s">
        <v>645</v>
      </c>
      <c r="N880" t="s">
        <v>336</v>
      </c>
      <c r="O880" t="s">
        <v>515</v>
      </c>
      <c r="P880">
        <v>2877</v>
      </c>
    </row>
    <row r="881" spans="1:17" x14ac:dyDescent="0.3">
      <c r="A881" t="s">
        <v>6644</v>
      </c>
      <c r="B881" t="s">
        <v>6645</v>
      </c>
      <c r="C881" t="s">
        <v>6646</v>
      </c>
      <c r="D881" t="s">
        <v>6647</v>
      </c>
      <c r="E881" t="s">
        <v>1470</v>
      </c>
      <c r="F881" t="s">
        <v>6648</v>
      </c>
      <c r="G881">
        <v>0</v>
      </c>
      <c r="H881">
        <v>0</v>
      </c>
      <c r="I881" t="s">
        <v>6649</v>
      </c>
      <c r="J881" t="s">
        <v>6650</v>
      </c>
      <c r="K881" t="s">
        <v>6651</v>
      </c>
      <c r="L881">
        <v>1234</v>
      </c>
      <c r="M881" t="s">
        <v>645</v>
      </c>
      <c r="N881" t="s">
        <v>398</v>
      </c>
      <c r="O881" t="s">
        <v>582</v>
      </c>
      <c r="P881">
        <v>2907</v>
      </c>
    </row>
    <row r="882" spans="1:17" x14ac:dyDescent="0.3">
      <c r="A882" t="s">
        <v>6652</v>
      </c>
      <c r="B882" t="s">
        <v>603</v>
      </c>
      <c r="C882" t="s">
        <v>2920</v>
      </c>
      <c r="D882" t="s">
        <v>1877</v>
      </c>
      <c r="E882" t="s">
        <v>859</v>
      </c>
      <c r="F882" t="s">
        <v>6653</v>
      </c>
      <c r="G882">
        <v>0</v>
      </c>
      <c r="H882">
        <v>0</v>
      </c>
      <c r="I882" t="s">
        <v>6654</v>
      </c>
      <c r="J882">
        <v>9666483955</v>
      </c>
      <c r="K882" t="s">
        <v>6655</v>
      </c>
      <c r="L882" t="s">
        <v>6656</v>
      </c>
      <c r="M882" t="s">
        <v>645</v>
      </c>
      <c r="N882" t="s">
        <v>336</v>
      </c>
      <c r="O882" t="s">
        <v>6584</v>
      </c>
      <c r="P882">
        <v>2970</v>
      </c>
      <c r="Q882" t="s">
        <v>6657</v>
      </c>
    </row>
    <row r="883" spans="1:17" x14ac:dyDescent="0.3">
      <c r="A883" t="s">
        <v>6658</v>
      </c>
      <c r="B883" t="s">
        <v>6659</v>
      </c>
      <c r="C883" t="s">
        <v>6173</v>
      </c>
      <c r="D883" t="s">
        <v>6660</v>
      </c>
      <c r="E883" t="s">
        <v>6661</v>
      </c>
      <c r="F883" t="s">
        <v>6662</v>
      </c>
      <c r="G883">
        <v>15.171901</v>
      </c>
      <c r="H883">
        <v>120.528577</v>
      </c>
      <c r="I883" t="s">
        <v>6663</v>
      </c>
      <c r="J883">
        <v>9358749467</v>
      </c>
      <c r="K883" t="s">
        <v>6664</v>
      </c>
      <c r="L883" t="s">
        <v>6665</v>
      </c>
      <c r="M883" t="s">
        <v>645</v>
      </c>
      <c r="N883" t="s">
        <v>304</v>
      </c>
      <c r="O883" t="s">
        <v>305</v>
      </c>
      <c r="P883">
        <v>2772</v>
      </c>
    </row>
    <row r="884" spans="1:17" x14ac:dyDescent="0.3">
      <c r="A884" t="s">
        <v>6666</v>
      </c>
      <c r="B884" t="s">
        <v>3335</v>
      </c>
      <c r="C884" t="s">
        <v>6667</v>
      </c>
      <c r="D884" t="s">
        <v>6668</v>
      </c>
      <c r="E884" t="s">
        <v>4804</v>
      </c>
      <c r="F884" t="s">
        <v>6669</v>
      </c>
      <c r="G884">
        <v>0</v>
      </c>
      <c r="H884">
        <v>0</v>
      </c>
      <c r="I884" t="s">
        <v>6670</v>
      </c>
      <c r="J884">
        <v>9989736231</v>
      </c>
      <c r="K884" t="s">
        <v>6671</v>
      </c>
      <c r="L884">
        <v>8888</v>
      </c>
      <c r="M884" t="s">
        <v>645</v>
      </c>
      <c r="N884" t="s">
        <v>6672</v>
      </c>
      <c r="O884" t="s">
        <v>6672</v>
      </c>
      <c r="P884">
        <v>2978</v>
      </c>
      <c r="Q884" t="s">
        <v>6673</v>
      </c>
    </row>
    <row r="885" spans="1:17" x14ac:dyDescent="0.3">
      <c r="A885" t="s">
        <v>6674</v>
      </c>
      <c r="B885" t="s">
        <v>5228</v>
      </c>
      <c r="C885" t="s">
        <v>2345</v>
      </c>
      <c r="D885" t="s">
        <v>6675</v>
      </c>
      <c r="E885" t="s">
        <v>6676</v>
      </c>
      <c r="F885" t="s">
        <v>6677</v>
      </c>
      <c r="G885">
        <v>0</v>
      </c>
      <c r="H885">
        <v>0</v>
      </c>
      <c r="I885" t="s">
        <v>6678</v>
      </c>
      <c r="J885">
        <v>9179578725</v>
      </c>
      <c r="K885" t="s">
        <v>6679</v>
      </c>
      <c r="L885">
        <v>1234</v>
      </c>
      <c r="M885" t="s">
        <v>645</v>
      </c>
      <c r="N885" t="s">
        <v>16</v>
      </c>
      <c r="O885" t="s">
        <v>17</v>
      </c>
      <c r="P885">
        <v>1063</v>
      </c>
      <c r="Q885" t="s">
        <v>6680</v>
      </c>
    </row>
    <row r="886" spans="1:17" x14ac:dyDescent="0.3">
      <c r="A886" t="s">
        <v>6681</v>
      </c>
      <c r="B886" t="s">
        <v>832</v>
      </c>
      <c r="C886" t="s">
        <v>6682</v>
      </c>
      <c r="D886" t="s">
        <v>634</v>
      </c>
      <c r="E886" t="s">
        <v>286</v>
      </c>
      <c r="F886" t="s">
        <v>6683</v>
      </c>
      <c r="G886">
        <v>0</v>
      </c>
      <c r="H886">
        <v>0</v>
      </c>
      <c r="I886" t="s">
        <v>6684</v>
      </c>
      <c r="J886">
        <v>9958445500</v>
      </c>
      <c r="K886" t="s">
        <v>6685</v>
      </c>
      <c r="L886" t="s">
        <v>6686</v>
      </c>
      <c r="M886" t="s">
        <v>645</v>
      </c>
      <c r="N886" t="s">
        <v>336</v>
      </c>
      <c r="O886" t="s">
        <v>515</v>
      </c>
      <c r="P886">
        <v>2995</v>
      </c>
      <c r="Q886" t="s">
        <v>6687</v>
      </c>
    </row>
    <row r="887" spans="1:17" x14ac:dyDescent="0.3">
      <c r="A887" t="s">
        <v>6688</v>
      </c>
      <c r="B887" t="s">
        <v>234</v>
      </c>
      <c r="C887" t="s">
        <v>799</v>
      </c>
      <c r="D887" t="s">
        <v>341</v>
      </c>
      <c r="E887" t="s">
        <v>1276</v>
      </c>
      <c r="F887" t="s">
        <v>6689</v>
      </c>
      <c r="G887">
        <v>0</v>
      </c>
      <c r="H887">
        <v>0</v>
      </c>
      <c r="I887" t="s">
        <v>6690</v>
      </c>
      <c r="J887" t="s">
        <v>6691</v>
      </c>
      <c r="K887" t="s">
        <v>6692</v>
      </c>
      <c r="L887" t="s">
        <v>6693</v>
      </c>
      <c r="M887" t="s">
        <v>645</v>
      </c>
      <c r="N887" t="s">
        <v>398</v>
      </c>
      <c r="O887" t="s">
        <v>582</v>
      </c>
      <c r="P887">
        <v>2926</v>
      </c>
    </row>
    <row r="888" spans="1:17" x14ac:dyDescent="0.3">
      <c r="A888" t="s">
        <v>6694</v>
      </c>
      <c r="B888" t="s">
        <v>1182</v>
      </c>
      <c r="C888" t="s">
        <v>6695</v>
      </c>
      <c r="D888" t="s">
        <v>6696</v>
      </c>
      <c r="E888" t="s">
        <v>1276</v>
      </c>
      <c r="F888" t="s">
        <v>6697</v>
      </c>
      <c r="G888">
        <v>0</v>
      </c>
      <c r="H888">
        <v>0</v>
      </c>
      <c r="I888" t="s">
        <v>6698</v>
      </c>
      <c r="J888">
        <v>9202881378</v>
      </c>
      <c r="K888" t="s">
        <v>6699</v>
      </c>
      <c r="L888">
        <v>1234</v>
      </c>
      <c r="M888" t="s">
        <v>645</v>
      </c>
      <c r="N888" t="s">
        <v>398</v>
      </c>
      <c r="O888" t="s">
        <v>582</v>
      </c>
      <c r="P888">
        <v>2804</v>
      </c>
    </row>
    <row r="889" spans="1:17" x14ac:dyDescent="0.3">
      <c r="A889" t="s">
        <v>6700</v>
      </c>
      <c r="B889" t="s">
        <v>1544</v>
      </c>
      <c r="C889" t="s">
        <v>6599</v>
      </c>
      <c r="D889" t="s">
        <v>1633</v>
      </c>
      <c r="E889" t="s">
        <v>704</v>
      </c>
      <c r="F889" t="s">
        <v>6701</v>
      </c>
      <c r="G889">
        <v>4.8065185490437099E-3</v>
      </c>
      <c r="H889">
        <v>-9.3727111816406194E-2</v>
      </c>
      <c r="I889" t="s">
        <v>6702</v>
      </c>
      <c r="J889">
        <v>9675198967</v>
      </c>
      <c r="K889" t="s">
        <v>6703</v>
      </c>
      <c r="L889" t="s">
        <v>6704</v>
      </c>
      <c r="M889" t="s">
        <v>645</v>
      </c>
      <c r="N889" t="s">
        <v>931</v>
      </c>
      <c r="O889" t="s">
        <v>6705</v>
      </c>
      <c r="P889">
        <v>2987</v>
      </c>
    </row>
    <row r="890" spans="1:17" x14ac:dyDescent="0.3">
      <c r="A890" t="s">
        <v>6706</v>
      </c>
      <c r="B890" t="s">
        <v>924</v>
      </c>
      <c r="C890" t="s">
        <v>6707</v>
      </c>
      <c r="E890" t="s">
        <v>286</v>
      </c>
      <c r="F890" t="s">
        <v>6708</v>
      </c>
      <c r="I890" t="s">
        <v>6709</v>
      </c>
      <c r="J890" t="s">
        <v>6710</v>
      </c>
      <c r="K890" t="s">
        <v>6711</v>
      </c>
      <c r="L890">
        <v>1234</v>
      </c>
      <c r="M890" t="s">
        <v>645</v>
      </c>
      <c r="N890" t="s">
        <v>336</v>
      </c>
      <c r="O890" t="s">
        <v>515</v>
      </c>
      <c r="P890">
        <v>3000</v>
      </c>
    </row>
    <row r="891" spans="1:17" x14ac:dyDescent="0.3">
      <c r="A891" t="s">
        <v>6712</v>
      </c>
      <c r="B891" t="s">
        <v>2598</v>
      </c>
      <c r="C891" t="s">
        <v>6713</v>
      </c>
      <c r="D891" t="s">
        <v>2039</v>
      </c>
      <c r="E891" t="s">
        <v>3932</v>
      </c>
      <c r="F891" t="s">
        <v>6714</v>
      </c>
      <c r="I891" t="s">
        <v>6715</v>
      </c>
      <c r="J891">
        <v>9178970983</v>
      </c>
      <c r="K891" t="s">
        <v>6716</v>
      </c>
      <c r="L891">
        <v>1234</v>
      </c>
      <c r="M891" t="s">
        <v>645</v>
      </c>
      <c r="N891" t="s">
        <v>763</v>
      </c>
      <c r="O891" t="s">
        <v>764</v>
      </c>
      <c r="P891">
        <v>2896</v>
      </c>
    </row>
    <row r="892" spans="1:17" x14ac:dyDescent="0.3">
      <c r="A892" t="s">
        <v>6717</v>
      </c>
      <c r="B892" t="s">
        <v>6718</v>
      </c>
      <c r="C892" t="s">
        <v>6719</v>
      </c>
      <c r="D892" t="s">
        <v>1483</v>
      </c>
      <c r="E892" t="s">
        <v>329</v>
      </c>
      <c r="F892" t="s">
        <v>6720</v>
      </c>
      <c r="I892" t="s">
        <v>6721</v>
      </c>
      <c r="J892">
        <v>9184200050</v>
      </c>
      <c r="K892" t="s">
        <v>6722</v>
      </c>
      <c r="L892">
        <v>1234</v>
      </c>
      <c r="M892" t="s">
        <v>645</v>
      </c>
      <c r="N892" t="s">
        <v>336</v>
      </c>
      <c r="O892" t="s">
        <v>337</v>
      </c>
      <c r="P892">
        <v>2845</v>
      </c>
    </row>
    <row r="893" spans="1:17" x14ac:dyDescent="0.3">
      <c r="A893" t="s">
        <v>6723</v>
      </c>
      <c r="B893" t="s">
        <v>4068</v>
      </c>
      <c r="C893" t="s">
        <v>5379</v>
      </c>
      <c r="D893" t="s">
        <v>3855</v>
      </c>
      <c r="E893" t="s">
        <v>6724</v>
      </c>
      <c r="F893" t="s">
        <v>6725</v>
      </c>
      <c r="G893">
        <v>0</v>
      </c>
      <c r="H893">
        <v>0</v>
      </c>
      <c r="I893" t="s">
        <v>6726</v>
      </c>
      <c r="J893" t="s">
        <v>6727</v>
      </c>
      <c r="K893" t="s">
        <v>6728</v>
      </c>
      <c r="L893" t="s">
        <v>6729</v>
      </c>
      <c r="M893" t="s">
        <v>645</v>
      </c>
      <c r="N893" t="s">
        <v>336</v>
      </c>
      <c r="O893" t="s">
        <v>515</v>
      </c>
      <c r="P893">
        <v>2873</v>
      </c>
    </row>
    <row r="894" spans="1:17" x14ac:dyDescent="0.3">
      <c r="A894" t="s">
        <v>6730</v>
      </c>
      <c r="B894" t="s">
        <v>6731</v>
      </c>
      <c r="C894" t="s">
        <v>2270</v>
      </c>
      <c r="D894" t="s">
        <v>6732</v>
      </c>
      <c r="E894" t="s">
        <v>6339</v>
      </c>
      <c r="F894" t="s">
        <v>6733</v>
      </c>
      <c r="G894">
        <v>8.5830688485964105E-5</v>
      </c>
      <c r="H894">
        <v>-1.5020370483398401E-3</v>
      </c>
      <c r="I894" t="s">
        <v>6734</v>
      </c>
      <c r="J894">
        <v>9176818688</v>
      </c>
      <c r="K894" t="s">
        <v>6735</v>
      </c>
      <c r="L894">
        <v>1234</v>
      </c>
      <c r="M894" t="s">
        <v>645</v>
      </c>
      <c r="N894" t="s">
        <v>398</v>
      </c>
      <c r="O894" t="s">
        <v>2435</v>
      </c>
      <c r="P894">
        <v>2984</v>
      </c>
    </row>
    <row r="895" spans="1:17" x14ac:dyDescent="0.3">
      <c r="A895" t="s">
        <v>6736</v>
      </c>
      <c r="B895" t="s">
        <v>6737</v>
      </c>
      <c r="C895" t="s">
        <v>6738</v>
      </c>
      <c r="D895" t="s">
        <v>88</v>
      </c>
      <c r="E895" t="s">
        <v>1276</v>
      </c>
      <c r="F895" t="s">
        <v>6739</v>
      </c>
      <c r="G895">
        <v>0</v>
      </c>
      <c r="H895">
        <v>0</v>
      </c>
      <c r="I895" t="s">
        <v>6740</v>
      </c>
      <c r="J895">
        <v>9237286500</v>
      </c>
      <c r="K895" t="s">
        <v>6741</v>
      </c>
      <c r="L895">
        <v>1234</v>
      </c>
      <c r="M895" t="s">
        <v>645</v>
      </c>
      <c r="N895" t="s">
        <v>336</v>
      </c>
      <c r="O895" t="s">
        <v>441</v>
      </c>
      <c r="P895">
        <v>3006</v>
      </c>
    </row>
    <row r="896" spans="1:17" x14ac:dyDescent="0.3">
      <c r="A896" t="s">
        <v>6742</v>
      </c>
      <c r="B896" t="s">
        <v>1182</v>
      </c>
      <c r="C896" t="s">
        <v>6743</v>
      </c>
      <c r="D896" t="s">
        <v>6744</v>
      </c>
      <c r="E896" t="s">
        <v>23</v>
      </c>
      <c r="F896" t="s">
        <v>6745</v>
      </c>
      <c r="G896">
        <v>0</v>
      </c>
      <c r="H896">
        <v>0</v>
      </c>
      <c r="I896" t="s">
        <v>6746</v>
      </c>
      <c r="J896" t="s">
        <v>396</v>
      </c>
      <c r="K896" t="s">
        <v>6747</v>
      </c>
      <c r="L896">
        <v>1234</v>
      </c>
      <c r="M896" t="s">
        <v>645</v>
      </c>
      <c r="N896" t="s">
        <v>398</v>
      </c>
      <c r="O896" t="s">
        <v>685</v>
      </c>
      <c r="P896">
        <v>2981</v>
      </c>
    </row>
    <row r="897" spans="1:17" x14ac:dyDescent="0.3">
      <c r="A897" t="s">
        <v>6748</v>
      </c>
      <c r="B897" t="s">
        <v>5903</v>
      </c>
      <c r="C897" t="s">
        <v>5904</v>
      </c>
      <c r="D897" t="s">
        <v>539</v>
      </c>
      <c r="E897" t="s">
        <v>2022</v>
      </c>
      <c r="F897" t="s">
        <v>6749</v>
      </c>
      <c r="G897">
        <v>0</v>
      </c>
      <c r="H897">
        <v>0</v>
      </c>
      <c r="I897" t="s">
        <v>6750</v>
      </c>
      <c r="J897">
        <v>9177027676</v>
      </c>
      <c r="K897" t="s">
        <v>6751</v>
      </c>
      <c r="L897">
        <v>1234</v>
      </c>
      <c r="M897" t="s">
        <v>645</v>
      </c>
      <c r="N897" t="s">
        <v>369</v>
      </c>
      <c r="O897" t="s">
        <v>370</v>
      </c>
      <c r="P897">
        <v>2986</v>
      </c>
    </row>
    <row r="898" spans="1:17" x14ac:dyDescent="0.3">
      <c r="A898" t="s">
        <v>6752</v>
      </c>
      <c r="B898" t="s">
        <v>6753</v>
      </c>
      <c r="C898" t="s">
        <v>6754</v>
      </c>
      <c r="D898" t="s">
        <v>326</v>
      </c>
      <c r="E898" t="s">
        <v>1443</v>
      </c>
      <c r="F898" t="s">
        <v>6755</v>
      </c>
      <c r="G898">
        <v>0</v>
      </c>
      <c r="H898">
        <v>0</v>
      </c>
      <c r="I898" t="s">
        <v>6756</v>
      </c>
      <c r="J898" t="s">
        <v>6757</v>
      </c>
      <c r="K898" t="s">
        <v>6758</v>
      </c>
      <c r="L898">
        <v>1234</v>
      </c>
      <c r="M898" t="s">
        <v>645</v>
      </c>
      <c r="N898" t="s">
        <v>369</v>
      </c>
      <c r="O898" t="s">
        <v>2181</v>
      </c>
      <c r="P898">
        <v>3005</v>
      </c>
      <c r="Q898" t="s">
        <v>6759</v>
      </c>
    </row>
    <row r="899" spans="1:17" x14ac:dyDescent="0.3">
      <c r="A899" t="s">
        <v>6760</v>
      </c>
      <c r="B899" t="s">
        <v>6761</v>
      </c>
      <c r="C899" t="s">
        <v>5930</v>
      </c>
      <c r="D899" t="s">
        <v>944</v>
      </c>
      <c r="E899" t="s">
        <v>1110</v>
      </c>
      <c r="F899" t="s">
        <v>6762</v>
      </c>
      <c r="G899">
        <v>0</v>
      </c>
      <c r="H899">
        <v>0</v>
      </c>
      <c r="I899" t="s">
        <v>6763</v>
      </c>
      <c r="J899" t="s">
        <v>6764</v>
      </c>
      <c r="K899" t="s">
        <v>6765</v>
      </c>
      <c r="L899" t="s">
        <v>6766</v>
      </c>
      <c r="M899" t="s">
        <v>645</v>
      </c>
      <c r="N899" t="s">
        <v>336</v>
      </c>
      <c r="O899" t="s">
        <v>441</v>
      </c>
      <c r="P899">
        <v>2945</v>
      </c>
      <c r="Q899" t="s">
        <v>6767</v>
      </c>
    </row>
    <row r="900" spans="1:17" x14ac:dyDescent="0.3">
      <c r="A900" t="s">
        <v>6768</v>
      </c>
      <c r="B900" t="s">
        <v>5095</v>
      </c>
      <c r="C900" t="s">
        <v>831</v>
      </c>
      <c r="D900" t="s">
        <v>476</v>
      </c>
      <c r="E900" t="s">
        <v>6769</v>
      </c>
      <c r="F900" t="s">
        <v>6770</v>
      </c>
      <c r="G900">
        <v>0</v>
      </c>
      <c r="H900">
        <v>0</v>
      </c>
      <c r="I900" t="s">
        <v>6771</v>
      </c>
      <c r="J900">
        <v>9190000052</v>
      </c>
      <c r="K900" t="s">
        <v>6772</v>
      </c>
      <c r="L900">
        <v>1234</v>
      </c>
      <c r="M900" t="s">
        <v>645</v>
      </c>
      <c r="N900" t="s">
        <v>369</v>
      </c>
      <c r="O900" t="s">
        <v>370</v>
      </c>
      <c r="P900">
        <v>3007</v>
      </c>
      <c r="Q900" t="s">
        <v>6773</v>
      </c>
    </row>
    <row r="901" spans="1:17" x14ac:dyDescent="0.3">
      <c r="A901" t="s">
        <v>6774</v>
      </c>
      <c r="B901" t="s">
        <v>2701</v>
      </c>
      <c r="C901" t="s">
        <v>6775</v>
      </c>
      <c r="D901" t="s">
        <v>6776</v>
      </c>
      <c r="E901" t="s">
        <v>859</v>
      </c>
      <c r="F901" t="s">
        <v>6777</v>
      </c>
      <c r="G901">
        <v>0</v>
      </c>
      <c r="H901">
        <v>0</v>
      </c>
      <c r="I901" t="s">
        <v>6778</v>
      </c>
      <c r="J901">
        <v>9084853332</v>
      </c>
      <c r="K901" t="s">
        <v>6779</v>
      </c>
      <c r="L901">
        <v>70319</v>
      </c>
      <c r="M901" t="s">
        <v>645</v>
      </c>
      <c r="N901" t="s">
        <v>336</v>
      </c>
      <c r="O901" t="s">
        <v>515</v>
      </c>
      <c r="P901">
        <v>2870</v>
      </c>
    </row>
    <row r="902" spans="1:17" x14ac:dyDescent="0.3">
      <c r="A902" t="s">
        <v>6752</v>
      </c>
      <c r="B902" t="s">
        <v>6753</v>
      </c>
      <c r="C902" t="s">
        <v>6754</v>
      </c>
      <c r="D902" t="s">
        <v>326</v>
      </c>
      <c r="E902" t="s">
        <v>1443</v>
      </c>
      <c r="F902" t="s">
        <v>6755</v>
      </c>
      <c r="G902">
        <v>0</v>
      </c>
      <c r="H902">
        <v>0</v>
      </c>
      <c r="I902" t="s">
        <v>6756</v>
      </c>
      <c r="J902" t="s">
        <v>6757</v>
      </c>
      <c r="K902" t="s">
        <v>6758</v>
      </c>
      <c r="L902">
        <v>1234</v>
      </c>
      <c r="M902" t="s">
        <v>645</v>
      </c>
      <c r="N902" t="s">
        <v>369</v>
      </c>
      <c r="O902" t="s">
        <v>2181</v>
      </c>
      <c r="P902">
        <v>3005</v>
      </c>
      <c r="Q902" t="s">
        <v>6759</v>
      </c>
    </row>
    <row r="903" spans="1:17" x14ac:dyDescent="0.3">
      <c r="A903" t="s">
        <v>6780</v>
      </c>
      <c r="B903" t="s">
        <v>6781</v>
      </c>
      <c r="C903" t="s">
        <v>6782</v>
      </c>
      <c r="D903" t="s">
        <v>539</v>
      </c>
      <c r="E903" t="s">
        <v>1311</v>
      </c>
      <c r="F903" t="s">
        <v>6783</v>
      </c>
      <c r="G903">
        <v>0</v>
      </c>
      <c r="H903">
        <v>0</v>
      </c>
      <c r="I903" t="s">
        <v>6784</v>
      </c>
      <c r="J903">
        <v>9777441973</v>
      </c>
      <c r="K903" t="s">
        <v>6785</v>
      </c>
      <c r="L903">
        <v>1234</v>
      </c>
      <c r="M903" t="s">
        <v>645</v>
      </c>
      <c r="N903" t="s">
        <v>931</v>
      </c>
      <c r="P903">
        <v>3001</v>
      </c>
    </row>
    <row r="904" spans="1:17" x14ac:dyDescent="0.3">
      <c r="A904" t="s">
        <v>6786</v>
      </c>
      <c r="B904" t="s">
        <v>6787</v>
      </c>
      <c r="C904" t="s">
        <v>6788</v>
      </c>
      <c r="D904" t="s">
        <v>284</v>
      </c>
      <c r="E904" t="s">
        <v>6789</v>
      </c>
      <c r="F904" t="s">
        <v>6790</v>
      </c>
      <c r="G904">
        <v>0</v>
      </c>
      <c r="H904">
        <v>0</v>
      </c>
      <c r="I904" t="s">
        <v>6791</v>
      </c>
      <c r="J904" t="s">
        <v>6792</v>
      </c>
      <c r="K904" t="s">
        <v>6793</v>
      </c>
      <c r="L904" t="s">
        <v>6794</v>
      </c>
      <c r="M904" t="s">
        <v>645</v>
      </c>
      <c r="N904" t="s">
        <v>369</v>
      </c>
      <c r="O904" t="s">
        <v>370</v>
      </c>
      <c r="P904">
        <v>2924</v>
      </c>
      <c r="Q904" t="s">
        <v>6795</v>
      </c>
    </row>
    <row r="905" spans="1:17" x14ac:dyDescent="0.3">
      <c r="A905" t="s">
        <v>6796</v>
      </c>
      <c r="B905" t="s">
        <v>426</v>
      </c>
      <c r="C905" t="s">
        <v>6797</v>
      </c>
      <c r="D905" t="s">
        <v>6247</v>
      </c>
      <c r="E905" t="s">
        <v>1194</v>
      </c>
      <c r="F905" t="s">
        <v>6798</v>
      </c>
      <c r="I905" t="s">
        <v>6799</v>
      </c>
      <c r="J905">
        <v>9985357528</v>
      </c>
      <c r="K905" t="s">
        <v>6800</v>
      </c>
      <c r="L905">
        <v>1234</v>
      </c>
      <c r="M905" t="s">
        <v>645</v>
      </c>
      <c r="N905" t="s">
        <v>336</v>
      </c>
      <c r="O905" t="s">
        <v>515</v>
      </c>
      <c r="P905">
        <v>2972</v>
      </c>
    </row>
    <row r="906" spans="1:17" x14ac:dyDescent="0.3">
      <c r="A906" t="s">
        <v>6801</v>
      </c>
      <c r="B906" t="s">
        <v>6802</v>
      </c>
      <c r="C906" t="s">
        <v>6803</v>
      </c>
      <c r="D906" t="s">
        <v>6804</v>
      </c>
      <c r="E906" t="s">
        <v>23</v>
      </c>
      <c r="F906" t="s">
        <v>6805</v>
      </c>
      <c r="G906">
        <v>0</v>
      </c>
      <c r="H906">
        <v>0</v>
      </c>
      <c r="I906" t="s">
        <v>6806</v>
      </c>
      <c r="J906" t="s">
        <v>6807</v>
      </c>
      <c r="K906" t="s">
        <v>6808</v>
      </c>
      <c r="L906">
        <v>1234</v>
      </c>
      <c r="M906" t="s">
        <v>645</v>
      </c>
      <c r="N906" t="s">
        <v>398</v>
      </c>
      <c r="O906" t="s">
        <v>582</v>
      </c>
      <c r="P906">
        <v>2982</v>
      </c>
    </row>
    <row r="907" spans="1:17" x14ac:dyDescent="0.3">
      <c r="A907" t="s">
        <v>6801</v>
      </c>
      <c r="B907" t="s">
        <v>6802</v>
      </c>
      <c r="C907" t="s">
        <v>6803</v>
      </c>
      <c r="D907" t="s">
        <v>6804</v>
      </c>
      <c r="E907" t="s">
        <v>23</v>
      </c>
      <c r="F907" t="s">
        <v>6805</v>
      </c>
      <c r="G907">
        <v>0</v>
      </c>
      <c r="H907">
        <v>0</v>
      </c>
      <c r="I907" t="s">
        <v>6806</v>
      </c>
      <c r="J907" t="s">
        <v>6807</v>
      </c>
      <c r="K907" t="s">
        <v>6808</v>
      </c>
      <c r="L907">
        <v>1234</v>
      </c>
      <c r="M907" t="s">
        <v>645</v>
      </c>
      <c r="N907" t="s">
        <v>398</v>
      </c>
      <c r="O907" t="s">
        <v>582</v>
      </c>
      <c r="P907">
        <v>2982</v>
      </c>
    </row>
    <row r="908" spans="1:17" x14ac:dyDescent="0.3">
      <c r="A908" t="s">
        <v>6809</v>
      </c>
      <c r="B908" t="s">
        <v>6810</v>
      </c>
      <c r="C908" t="s">
        <v>6811</v>
      </c>
      <c r="D908" t="s">
        <v>3095</v>
      </c>
      <c r="F908" t="s">
        <v>5140</v>
      </c>
      <c r="I908" t="s">
        <v>6812</v>
      </c>
      <c r="J908" t="s">
        <v>6813</v>
      </c>
      <c r="K908" t="s">
        <v>6814</v>
      </c>
      <c r="L908">
        <v>322</v>
      </c>
      <c r="M908" t="s">
        <v>645</v>
      </c>
      <c r="N908" t="s">
        <v>398</v>
      </c>
      <c r="O908" t="s">
        <v>685</v>
      </c>
      <c r="P908">
        <v>2891</v>
      </c>
    </row>
    <row r="909" spans="1:17" x14ac:dyDescent="0.3">
      <c r="A909" t="s">
        <v>6815</v>
      </c>
      <c r="B909" t="s">
        <v>974</v>
      </c>
      <c r="C909" t="s">
        <v>6816</v>
      </c>
      <c r="D909" t="s">
        <v>2561</v>
      </c>
      <c r="E909" t="s">
        <v>6817</v>
      </c>
      <c r="F909" t="s">
        <v>6818</v>
      </c>
      <c r="G909">
        <v>15.1938157737652</v>
      </c>
      <c r="H909">
        <v>120.532207489013</v>
      </c>
      <c r="I909" t="s">
        <v>6819</v>
      </c>
      <c r="J909">
        <v>9175193737</v>
      </c>
      <c r="K909" t="s">
        <v>6820</v>
      </c>
      <c r="L909" t="s">
        <v>6821</v>
      </c>
      <c r="M909" t="s">
        <v>645</v>
      </c>
      <c r="N909" t="s">
        <v>336</v>
      </c>
      <c r="O909" t="s">
        <v>441</v>
      </c>
      <c r="P909">
        <v>2874</v>
      </c>
    </row>
    <row r="910" spans="1:17" x14ac:dyDescent="0.3">
      <c r="A910" t="s">
        <v>6822</v>
      </c>
      <c r="B910" t="s">
        <v>1237</v>
      </c>
      <c r="C910" t="s">
        <v>1238</v>
      </c>
      <c r="D910" t="s">
        <v>1239</v>
      </c>
      <c r="E910" t="s">
        <v>3723</v>
      </c>
      <c r="F910" t="s">
        <v>6823</v>
      </c>
      <c r="G910">
        <v>0</v>
      </c>
      <c r="H910">
        <v>0</v>
      </c>
      <c r="I910" t="s">
        <v>1242</v>
      </c>
      <c r="J910">
        <v>9325590094</v>
      </c>
      <c r="K910" t="s">
        <v>6824</v>
      </c>
      <c r="L910">
        <v>1234</v>
      </c>
      <c r="M910" t="s">
        <v>645</v>
      </c>
      <c r="N910" t="s">
        <v>398</v>
      </c>
      <c r="O910" t="s">
        <v>1104</v>
      </c>
      <c r="P910">
        <v>2950</v>
      </c>
    </row>
    <row r="911" spans="1:17" x14ac:dyDescent="0.3">
      <c r="A911" t="s">
        <v>6825</v>
      </c>
      <c r="B911" t="s">
        <v>6826</v>
      </c>
      <c r="C911" t="s">
        <v>6827</v>
      </c>
      <c r="D911" t="s">
        <v>6828</v>
      </c>
      <c r="E911" t="s">
        <v>1572</v>
      </c>
      <c r="F911" t="s">
        <v>6829</v>
      </c>
      <c r="G911">
        <v>0</v>
      </c>
      <c r="H911">
        <v>0</v>
      </c>
      <c r="I911" t="s">
        <v>6830</v>
      </c>
      <c r="J911">
        <v>9177089727</v>
      </c>
      <c r="K911" t="s">
        <v>6831</v>
      </c>
      <c r="L911">
        <v>1234</v>
      </c>
      <c r="M911" t="s">
        <v>645</v>
      </c>
      <c r="N911" t="s">
        <v>6144</v>
      </c>
      <c r="O911" t="s">
        <v>1628</v>
      </c>
      <c r="P911">
        <v>2405</v>
      </c>
    </row>
    <row r="912" spans="1:17" x14ac:dyDescent="0.3">
      <c r="A912" t="s">
        <v>6832</v>
      </c>
      <c r="B912" t="s">
        <v>6833</v>
      </c>
      <c r="C912" t="s">
        <v>4118</v>
      </c>
      <c r="D912" t="s">
        <v>6834</v>
      </c>
      <c r="E912" t="s">
        <v>1276</v>
      </c>
      <c r="F912" t="s">
        <v>6835</v>
      </c>
      <c r="J912" t="s">
        <v>6836</v>
      </c>
      <c r="K912" t="s">
        <v>6837</v>
      </c>
      <c r="L912">
        <v>123456</v>
      </c>
      <c r="M912" t="s">
        <v>645</v>
      </c>
      <c r="N912" t="s">
        <v>398</v>
      </c>
      <c r="O912" t="s">
        <v>685</v>
      </c>
      <c r="P912">
        <v>2989</v>
      </c>
    </row>
    <row r="913" spans="1:17" x14ac:dyDescent="0.3">
      <c r="A913" t="s">
        <v>6838</v>
      </c>
      <c r="B913" t="s">
        <v>6839</v>
      </c>
      <c r="C913" t="s">
        <v>6840</v>
      </c>
      <c r="D913" t="s">
        <v>6841</v>
      </c>
      <c r="E913" t="s">
        <v>1985</v>
      </c>
      <c r="F913" t="s">
        <v>6842</v>
      </c>
      <c r="G913">
        <v>0</v>
      </c>
      <c r="H913">
        <v>0</v>
      </c>
      <c r="I913" t="s">
        <v>6843</v>
      </c>
      <c r="J913">
        <v>9274527186</v>
      </c>
      <c r="K913" t="s">
        <v>6844</v>
      </c>
      <c r="L913" t="s">
        <v>6845</v>
      </c>
      <c r="M913" t="s">
        <v>645</v>
      </c>
      <c r="N913" t="s">
        <v>336</v>
      </c>
      <c r="O913" t="s">
        <v>337</v>
      </c>
      <c r="P913">
        <v>2968</v>
      </c>
      <c r="Q913" t="s">
        <v>6846</v>
      </c>
    </row>
    <row r="914" spans="1:17" x14ac:dyDescent="0.3">
      <c r="A914" t="s">
        <v>6847</v>
      </c>
      <c r="B914" t="s">
        <v>2701</v>
      </c>
      <c r="C914" t="s">
        <v>6848</v>
      </c>
      <c r="D914" t="s">
        <v>2304</v>
      </c>
      <c r="E914" t="s">
        <v>833</v>
      </c>
      <c r="F914" t="s">
        <v>5023</v>
      </c>
      <c r="G914">
        <v>0</v>
      </c>
      <c r="H914">
        <v>0</v>
      </c>
      <c r="I914" t="s">
        <v>6849</v>
      </c>
      <c r="J914" t="s">
        <v>6850</v>
      </c>
      <c r="K914" t="s">
        <v>6851</v>
      </c>
      <c r="L914">
        <v>1234</v>
      </c>
      <c r="M914" t="s">
        <v>645</v>
      </c>
      <c r="N914" t="s">
        <v>304</v>
      </c>
      <c r="O914" t="s">
        <v>323</v>
      </c>
      <c r="P914">
        <v>2930</v>
      </c>
    </row>
    <row r="915" spans="1:17" x14ac:dyDescent="0.3">
      <c r="A915" t="s">
        <v>6852</v>
      </c>
      <c r="B915" t="s">
        <v>6853</v>
      </c>
      <c r="C915" t="s">
        <v>6854</v>
      </c>
      <c r="D915" t="s">
        <v>1907</v>
      </c>
      <c r="E915" t="s">
        <v>342</v>
      </c>
      <c r="F915" t="s">
        <v>6855</v>
      </c>
      <c r="I915" t="s">
        <v>6856</v>
      </c>
      <c r="J915" t="s">
        <v>6857</v>
      </c>
      <c r="K915" t="s">
        <v>6858</v>
      </c>
      <c r="L915" t="s">
        <v>6859</v>
      </c>
      <c r="M915" t="s">
        <v>645</v>
      </c>
      <c r="N915" t="s">
        <v>369</v>
      </c>
      <c r="O915" t="s">
        <v>370</v>
      </c>
      <c r="P915">
        <v>3014</v>
      </c>
    </row>
    <row r="916" spans="1:17" x14ac:dyDescent="0.3">
      <c r="A916" t="s">
        <v>6860</v>
      </c>
      <c r="B916" t="s">
        <v>3227</v>
      </c>
      <c r="C916" t="s">
        <v>3228</v>
      </c>
      <c r="D916" t="s">
        <v>3229</v>
      </c>
      <c r="E916" t="s">
        <v>3230</v>
      </c>
      <c r="F916" t="s">
        <v>5455</v>
      </c>
      <c r="G916">
        <v>0</v>
      </c>
      <c r="H916">
        <v>0</v>
      </c>
      <c r="I916" t="s">
        <v>1784</v>
      </c>
      <c r="J916" t="s">
        <v>1785</v>
      </c>
      <c r="K916" t="s">
        <v>6861</v>
      </c>
      <c r="L916">
        <v>1234</v>
      </c>
      <c r="M916" t="s">
        <v>645</v>
      </c>
      <c r="N916" t="s">
        <v>336</v>
      </c>
      <c r="O916" t="s">
        <v>441</v>
      </c>
      <c r="P916">
        <v>2992</v>
      </c>
      <c r="Q916" t="s">
        <v>6862</v>
      </c>
    </row>
    <row r="917" spans="1:17" x14ac:dyDescent="0.3">
      <c r="A917" t="s">
        <v>6863</v>
      </c>
      <c r="B917" t="s">
        <v>6864</v>
      </c>
      <c r="C917" t="s">
        <v>6865</v>
      </c>
      <c r="D917" t="s">
        <v>6866</v>
      </c>
      <c r="E917" t="s">
        <v>6867</v>
      </c>
      <c r="F917" t="s">
        <v>6868</v>
      </c>
      <c r="G917">
        <v>15.174073999999999</v>
      </c>
      <c r="H917">
        <v>120.52423400000001</v>
      </c>
      <c r="I917" t="s">
        <v>6869</v>
      </c>
      <c r="J917">
        <v>9331588281</v>
      </c>
      <c r="K917" t="s">
        <v>6870</v>
      </c>
      <c r="L917" t="s">
        <v>6871</v>
      </c>
      <c r="M917" t="s">
        <v>645</v>
      </c>
      <c r="N917" t="s">
        <v>16</v>
      </c>
      <c r="O917" t="s">
        <v>292</v>
      </c>
      <c r="P917">
        <v>2792</v>
      </c>
      <c r="Q917" t="s">
        <v>6872</v>
      </c>
    </row>
    <row r="918" spans="1:17" x14ac:dyDescent="0.3">
      <c r="A918" t="s">
        <v>6873</v>
      </c>
      <c r="B918" t="s">
        <v>6874</v>
      </c>
      <c r="C918" t="s">
        <v>6875</v>
      </c>
      <c r="D918" t="s">
        <v>6876</v>
      </c>
      <c r="E918" t="s">
        <v>1240</v>
      </c>
      <c r="F918" t="s">
        <v>6877</v>
      </c>
      <c r="G918">
        <v>0</v>
      </c>
      <c r="H918">
        <v>0</v>
      </c>
      <c r="I918" t="s">
        <v>6878</v>
      </c>
      <c r="J918" t="s">
        <v>6879</v>
      </c>
      <c r="K918" t="s">
        <v>6880</v>
      </c>
      <c r="L918" t="s">
        <v>6881</v>
      </c>
      <c r="M918" t="s">
        <v>645</v>
      </c>
      <c r="N918" t="s">
        <v>336</v>
      </c>
      <c r="O918" t="s">
        <v>515</v>
      </c>
      <c r="P918">
        <v>2979</v>
      </c>
    </row>
    <row r="919" spans="1:17" x14ac:dyDescent="0.3">
      <c r="A919" t="s">
        <v>6882</v>
      </c>
      <c r="B919" t="s">
        <v>6883</v>
      </c>
      <c r="C919" t="s">
        <v>6884</v>
      </c>
      <c r="D919" t="s">
        <v>6885</v>
      </c>
      <c r="E919" t="s">
        <v>6886</v>
      </c>
      <c r="F919" t="s">
        <v>6887</v>
      </c>
      <c r="G919">
        <v>0</v>
      </c>
      <c r="H919">
        <v>0</v>
      </c>
      <c r="I919" t="s">
        <v>6888</v>
      </c>
      <c r="J919">
        <v>9184221174</v>
      </c>
      <c r="K919" t="s">
        <v>6889</v>
      </c>
      <c r="L919" t="s">
        <v>6890</v>
      </c>
      <c r="M919" t="s">
        <v>645</v>
      </c>
      <c r="N919" t="s">
        <v>304</v>
      </c>
      <c r="O919" t="s">
        <v>305</v>
      </c>
      <c r="P919">
        <v>2678</v>
      </c>
      <c r="Q919" t="s">
        <v>6891</v>
      </c>
    </row>
    <row r="920" spans="1:17" x14ac:dyDescent="0.3">
      <c r="A920" t="s">
        <v>6892</v>
      </c>
      <c r="B920" t="s">
        <v>2003</v>
      </c>
      <c r="C920" t="s">
        <v>6893</v>
      </c>
      <c r="D920" t="s">
        <v>756</v>
      </c>
      <c r="E920" t="s">
        <v>1276</v>
      </c>
      <c r="F920" t="s">
        <v>6894</v>
      </c>
      <c r="G920">
        <v>0</v>
      </c>
      <c r="H920">
        <v>0</v>
      </c>
      <c r="I920" t="s">
        <v>6895</v>
      </c>
      <c r="J920" t="s">
        <v>6523</v>
      </c>
      <c r="K920" t="s">
        <v>6896</v>
      </c>
      <c r="L920">
        <v>1234</v>
      </c>
      <c r="M920" t="s">
        <v>645</v>
      </c>
      <c r="N920" t="s">
        <v>398</v>
      </c>
      <c r="O920" t="s">
        <v>582</v>
      </c>
      <c r="P920">
        <v>2821</v>
      </c>
    </row>
    <row r="921" spans="1:17" x14ac:dyDescent="0.3">
      <c r="A921" t="s">
        <v>6897</v>
      </c>
      <c r="B921" t="s">
        <v>5642</v>
      </c>
      <c r="C921" t="s">
        <v>4565</v>
      </c>
      <c r="D921" t="s">
        <v>1442</v>
      </c>
      <c r="E921" t="s">
        <v>6898</v>
      </c>
      <c r="F921" t="s">
        <v>6899</v>
      </c>
      <c r="G921">
        <v>0</v>
      </c>
      <c r="H921">
        <v>0</v>
      </c>
      <c r="I921" t="s">
        <v>6900</v>
      </c>
      <c r="J921">
        <v>9178693888</v>
      </c>
      <c r="K921" t="s">
        <v>6901</v>
      </c>
      <c r="L921" t="s">
        <v>6902</v>
      </c>
      <c r="M921" t="s">
        <v>645</v>
      </c>
      <c r="N921" t="s">
        <v>369</v>
      </c>
      <c r="O921" t="s">
        <v>370</v>
      </c>
      <c r="P921">
        <v>2940</v>
      </c>
      <c r="Q921" t="s">
        <v>6903</v>
      </c>
    </row>
    <row r="922" spans="1:17" x14ac:dyDescent="0.3">
      <c r="A922" t="s">
        <v>6904</v>
      </c>
      <c r="B922" t="s">
        <v>6905</v>
      </c>
      <c r="C922" t="s">
        <v>6906</v>
      </c>
      <c r="D922" t="s">
        <v>6907</v>
      </c>
      <c r="E922" t="s">
        <v>6908</v>
      </c>
      <c r="F922" t="s">
        <v>6909</v>
      </c>
      <c r="G922">
        <v>0</v>
      </c>
      <c r="H922">
        <v>0</v>
      </c>
      <c r="I922" t="s">
        <v>6910</v>
      </c>
      <c r="J922">
        <v>-639178030286</v>
      </c>
      <c r="K922" t="s">
        <v>6911</v>
      </c>
      <c r="L922" t="s">
        <v>6912</v>
      </c>
      <c r="M922" t="s">
        <v>645</v>
      </c>
      <c r="N922" t="s">
        <v>336</v>
      </c>
      <c r="O922" t="s">
        <v>441</v>
      </c>
      <c r="P922">
        <v>2946</v>
      </c>
    </row>
    <row r="923" spans="1:17" x14ac:dyDescent="0.3">
      <c r="A923" t="s">
        <v>6913</v>
      </c>
      <c r="B923" t="s">
        <v>935</v>
      </c>
      <c r="C923" t="s">
        <v>6914</v>
      </c>
      <c r="D923" t="s">
        <v>236</v>
      </c>
      <c r="E923" t="s">
        <v>6915</v>
      </c>
      <c r="F923" t="s">
        <v>6916</v>
      </c>
      <c r="G923">
        <v>0</v>
      </c>
      <c r="H923">
        <v>0</v>
      </c>
      <c r="I923" t="s">
        <v>6917</v>
      </c>
      <c r="J923" t="s">
        <v>6918</v>
      </c>
      <c r="K923" t="s">
        <v>6919</v>
      </c>
      <c r="L923" t="s">
        <v>6920</v>
      </c>
      <c r="M923" t="s">
        <v>645</v>
      </c>
      <c r="N923" t="s">
        <v>931</v>
      </c>
      <c r="O923" t="s">
        <v>515</v>
      </c>
      <c r="P923">
        <v>3017</v>
      </c>
      <c r="Q923" t="s">
        <v>6921</v>
      </c>
    </row>
    <row r="924" spans="1:17" x14ac:dyDescent="0.3">
      <c r="A924" t="s">
        <v>6922</v>
      </c>
      <c r="F924" t="s">
        <v>6923</v>
      </c>
      <c r="K924" t="s">
        <v>6924</v>
      </c>
      <c r="L924">
        <v>1234</v>
      </c>
      <c r="M924" t="s">
        <v>645</v>
      </c>
      <c r="N924" t="s">
        <v>398</v>
      </c>
      <c r="O924" t="s">
        <v>685</v>
      </c>
      <c r="P924">
        <v>3020</v>
      </c>
    </row>
    <row r="925" spans="1:17" x14ac:dyDescent="0.3">
      <c r="A925" t="s">
        <v>6925</v>
      </c>
      <c r="B925" t="s">
        <v>6926</v>
      </c>
      <c r="C925" t="s">
        <v>6423</v>
      </c>
      <c r="D925" t="s">
        <v>1555</v>
      </c>
      <c r="E925" t="s">
        <v>6927</v>
      </c>
      <c r="F925" t="s">
        <v>6928</v>
      </c>
      <c r="G925">
        <v>0</v>
      </c>
      <c r="H925">
        <v>0</v>
      </c>
      <c r="I925" t="s">
        <v>6929</v>
      </c>
      <c r="J925">
        <v>9812018885</v>
      </c>
      <c r="K925" t="s">
        <v>6930</v>
      </c>
      <c r="L925">
        <v>1234</v>
      </c>
      <c r="M925" t="s">
        <v>645</v>
      </c>
      <c r="N925" t="s">
        <v>336</v>
      </c>
      <c r="O925" t="s">
        <v>515</v>
      </c>
      <c r="P925">
        <v>2960</v>
      </c>
    </row>
    <row r="926" spans="1:17" x14ac:dyDescent="0.3">
      <c r="A926" t="s">
        <v>6931</v>
      </c>
      <c r="B926" t="s">
        <v>6932</v>
      </c>
      <c r="C926" t="s">
        <v>6933</v>
      </c>
      <c r="D926" t="s">
        <v>6934</v>
      </c>
      <c r="E926" t="s">
        <v>286</v>
      </c>
      <c r="F926" t="s">
        <v>6935</v>
      </c>
      <c r="G926">
        <v>15.1998830176019</v>
      </c>
      <c r="H926">
        <v>120.542421340942</v>
      </c>
      <c r="I926" t="s">
        <v>6936</v>
      </c>
      <c r="J926" t="s">
        <v>6937</v>
      </c>
      <c r="K926" t="s">
        <v>6938</v>
      </c>
      <c r="L926">
        <v>1234</v>
      </c>
      <c r="M926" t="s">
        <v>645</v>
      </c>
      <c r="N926" t="s">
        <v>16</v>
      </c>
      <c r="O926" t="s">
        <v>292</v>
      </c>
      <c r="P926">
        <v>2885</v>
      </c>
    </row>
    <row r="927" spans="1:17" x14ac:dyDescent="0.3">
      <c r="A927" t="s">
        <v>6939</v>
      </c>
      <c r="F927" t="s">
        <v>6940</v>
      </c>
      <c r="K927" t="s">
        <v>6941</v>
      </c>
      <c r="L927" t="s">
        <v>6942</v>
      </c>
      <c r="M927" t="s">
        <v>645</v>
      </c>
      <c r="N927" t="s">
        <v>931</v>
      </c>
      <c r="P927">
        <v>2928</v>
      </c>
    </row>
    <row r="928" spans="1:17" x14ac:dyDescent="0.3">
      <c r="A928" t="s">
        <v>6943</v>
      </c>
      <c r="B928" t="s">
        <v>486</v>
      </c>
      <c r="C928" t="s">
        <v>999</v>
      </c>
      <c r="D928" t="s">
        <v>488</v>
      </c>
      <c r="E928" t="s">
        <v>6944</v>
      </c>
      <c r="F928" t="s">
        <v>6945</v>
      </c>
      <c r="G928">
        <v>15.1922212814122</v>
      </c>
      <c r="H928">
        <v>120.528463125228</v>
      </c>
      <c r="I928" t="s">
        <v>6946</v>
      </c>
      <c r="J928" t="s">
        <v>6947</v>
      </c>
      <c r="K928" t="s">
        <v>6948</v>
      </c>
      <c r="L928" t="s">
        <v>6949</v>
      </c>
      <c r="M928" t="s">
        <v>645</v>
      </c>
      <c r="N928" t="s">
        <v>109</v>
      </c>
      <c r="O928" t="s">
        <v>6950</v>
      </c>
      <c r="P928">
        <v>3018</v>
      </c>
      <c r="Q928" t="s">
        <v>6951</v>
      </c>
    </row>
    <row r="929" spans="1:17" x14ac:dyDescent="0.3">
      <c r="A929" t="s">
        <v>6952</v>
      </c>
      <c r="B929" t="s">
        <v>6953</v>
      </c>
      <c r="C929" t="s">
        <v>6148</v>
      </c>
      <c r="D929" t="s">
        <v>6149</v>
      </c>
      <c r="E929" t="s">
        <v>3153</v>
      </c>
      <c r="F929" t="s">
        <v>6954</v>
      </c>
      <c r="I929" t="s">
        <v>6955</v>
      </c>
      <c r="J929" t="s">
        <v>6956</v>
      </c>
      <c r="K929" t="s">
        <v>6957</v>
      </c>
      <c r="L929">
        <v>1234</v>
      </c>
      <c r="M929" t="s">
        <v>645</v>
      </c>
      <c r="N929" t="s">
        <v>16</v>
      </c>
      <c r="O929" t="s">
        <v>2641</v>
      </c>
      <c r="P929">
        <v>3021</v>
      </c>
    </row>
    <row r="930" spans="1:17" x14ac:dyDescent="0.3">
      <c r="A930" t="s">
        <v>6958</v>
      </c>
      <c r="B930" t="s">
        <v>6959</v>
      </c>
      <c r="C930" t="s">
        <v>566</v>
      </c>
      <c r="D930" t="s">
        <v>177</v>
      </c>
      <c r="E930" t="s">
        <v>5026</v>
      </c>
      <c r="F930" t="s">
        <v>6960</v>
      </c>
      <c r="G930">
        <v>0</v>
      </c>
      <c r="H930">
        <v>0</v>
      </c>
      <c r="I930" t="s">
        <v>6961</v>
      </c>
      <c r="J930" t="s">
        <v>6962</v>
      </c>
      <c r="K930" t="s">
        <v>6963</v>
      </c>
      <c r="L930">
        <v>1234</v>
      </c>
      <c r="M930" t="s">
        <v>645</v>
      </c>
      <c r="N930" t="s">
        <v>398</v>
      </c>
      <c r="O930" t="s">
        <v>582</v>
      </c>
      <c r="P930">
        <v>3032</v>
      </c>
    </row>
    <row r="931" spans="1:17" x14ac:dyDescent="0.3">
      <c r="A931" t="s">
        <v>6964</v>
      </c>
      <c r="B931" t="s">
        <v>2252</v>
      </c>
      <c r="C931" t="s">
        <v>6965</v>
      </c>
      <c r="D931" t="s">
        <v>3354</v>
      </c>
      <c r="E931" t="s">
        <v>1276</v>
      </c>
      <c r="F931" t="s">
        <v>6966</v>
      </c>
      <c r="G931">
        <v>0</v>
      </c>
      <c r="H931">
        <v>0</v>
      </c>
      <c r="I931" t="s">
        <v>6967</v>
      </c>
      <c r="J931">
        <v>9338694451</v>
      </c>
      <c r="K931" t="s">
        <v>6968</v>
      </c>
      <c r="L931">
        <v>1234</v>
      </c>
      <c r="M931" t="s">
        <v>645</v>
      </c>
      <c r="N931" t="s">
        <v>398</v>
      </c>
      <c r="O931" t="s">
        <v>582</v>
      </c>
      <c r="P931">
        <v>3027</v>
      </c>
    </row>
    <row r="932" spans="1:17" x14ac:dyDescent="0.3">
      <c r="A932" t="s">
        <v>6969</v>
      </c>
      <c r="B932" t="s">
        <v>6970</v>
      </c>
      <c r="C932" t="s">
        <v>6971</v>
      </c>
      <c r="D932" t="s">
        <v>2097</v>
      </c>
      <c r="E932" t="s">
        <v>77</v>
      </c>
      <c r="F932" t="s">
        <v>6972</v>
      </c>
      <c r="G932">
        <v>151785787</v>
      </c>
      <c r="H932">
        <v>1205184298</v>
      </c>
      <c r="I932" t="s">
        <v>6973</v>
      </c>
      <c r="J932">
        <v>9274514679</v>
      </c>
      <c r="K932" t="s">
        <v>6974</v>
      </c>
      <c r="L932">
        <v>1234</v>
      </c>
      <c r="M932" t="s">
        <v>645</v>
      </c>
      <c r="N932" t="s">
        <v>369</v>
      </c>
      <c r="O932" t="s">
        <v>370</v>
      </c>
      <c r="P932">
        <v>2835</v>
      </c>
    </row>
    <row r="933" spans="1:17" x14ac:dyDescent="0.3">
      <c r="A933" t="s">
        <v>6975</v>
      </c>
      <c r="B933" t="s">
        <v>1182</v>
      </c>
      <c r="C933" t="s">
        <v>5756</v>
      </c>
      <c r="D933" t="s">
        <v>177</v>
      </c>
      <c r="E933" t="s">
        <v>6976</v>
      </c>
      <c r="F933" t="s">
        <v>6977</v>
      </c>
      <c r="G933">
        <v>0</v>
      </c>
      <c r="H933">
        <v>0</v>
      </c>
      <c r="I933" t="s">
        <v>6978</v>
      </c>
      <c r="J933">
        <v>9567728063</v>
      </c>
      <c r="K933" t="s">
        <v>6979</v>
      </c>
      <c r="L933" t="s">
        <v>6980</v>
      </c>
      <c r="M933" t="s">
        <v>645</v>
      </c>
      <c r="N933" t="s">
        <v>398</v>
      </c>
      <c r="O933" t="s">
        <v>582</v>
      </c>
      <c r="P933">
        <v>3011</v>
      </c>
    </row>
    <row r="934" spans="1:17" x14ac:dyDescent="0.3">
      <c r="A934" t="s">
        <v>6981</v>
      </c>
      <c r="B934" t="s">
        <v>6982</v>
      </c>
      <c r="C934" t="s">
        <v>6983</v>
      </c>
      <c r="D934" t="s">
        <v>6984</v>
      </c>
      <c r="E934" t="s">
        <v>6985</v>
      </c>
      <c r="F934" t="s">
        <v>6986</v>
      </c>
      <c r="G934">
        <v>0</v>
      </c>
      <c r="H934">
        <v>0</v>
      </c>
      <c r="I934" t="s">
        <v>6987</v>
      </c>
      <c r="J934" t="s">
        <v>6988</v>
      </c>
      <c r="K934" t="s">
        <v>6989</v>
      </c>
      <c r="L934" t="s">
        <v>6990</v>
      </c>
      <c r="M934" t="s">
        <v>645</v>
      </c>
      <c r="N934" t="s">
        <v>336</v>
      </c>
      <c r="O934" t="s">
        <v>515</v>
      </c>
      <c r="P934">
        <v>3036</v>
      </c>
    </row>
    <row r="935" spans="1:17" x14ac:dyDescent="0.3">
      <c r="A935" t="s">
        <v>6991</v>
      </c>
      <c r="B935" t="s">
        <v>2003</v>
      </c>
      <c r="C935" t="s">
        <v>3253</v>
      </c>
      <c r="D935" t="s">
        <v>236</v>
      </c>
      <c r="E935" t="s">
        <v>23</v>
      </c>
      <c r="F935" t="s">
        <v>6992</v>
      </c>
      <c r="G935">
        <v>0</v>
      </c>
      <c r="H935">
        <v>0</v>
      </c>
      <c r="I935" t="s">
        <v>6993</v>
      </c>
      <c r="J935">
        <v>9190002091</v>
      </c>
      <c r="K935" t="s">
        <v>6994</v>
      </c>
      <c r="L935">
        <v>1234</v>
      </c>
      <c r="M935" t="s">
        <v>645</v>
      </c>
      <c r="N935" t="s">
        <v>369</v>
      </c>
      <c r="O935" t="s">
        <v>370</v>
      </c>
      <c r="P935">
        <v>3008</v>
      </c>
    </row>
    <row r="936" spans="1:17" x14ac:dyDescent="0.3">
      <c r="A936" t="s">
        <v>6995</v>
      </c>
      <c r="F936" t="s">
        <v>6996</v>
      </c>
      <c r="K936" t="s">
        <v>6997</v>
      </c>
      <c r="L936">
        <v>1234</v>
      </c>
      <c r="M936" t="s">
        <v>645</v>
      </c>
      <c r="N936" t="s">
        <v>369</v>
      </c>
      <c r="O936" t="s">
        <v>370</v>
      </c>
      <c r="P936">
        <v>3030</v>
      </c>
    </row>
    <row r="937" spans="1:17" x14ac:dyDescent="0.3">
      <c r="A937" t="s">
        <v>6998</v>
      </c>
      <c r="B937" t="s">
        <v>415</v>
      </c>
      <c r="C937" t="s">
        <v>6999</v>
      </c>
      <c r="D937" t="s">
        <v>4867</v>
      </c>
      <c r="E937" t="s">
        <v>3932</v>
      </c>
      <c r="F937" t="s">
        <v>7000</v>
      </c>
      <c r="G937">
        <v>0</v>
      </c>
      <c r="H937">
        <v>0</v>
      </c>
      <c r="I937" t="s">
        <v>7001</v>
      </c>
      <c r="J937" t="s">
        <v>7002</v>
      </c>
      <c r="K937" t="s">
        <v>7003</v>
      </c>
      <c r="L937" t="s">
        <v>7004</v>
      </c>
      <c r="M937" t="s">
        <v>645</v>
      </c>
      <c r="N937" t="s">
        <v>369</v>
      </c>
      <c r="O937" t="s">
        <v>370</v>
      </c>
      <c r="P937">
        <v>3010</v>
      </c>
    </row>
    <row r="938" spans="1:17" x14ac:dyDescent="0.3">
      <c r="A938" t="s">
        <v>4649</v>
      </c>
      <c r="B938" t="s">
        <v>4650</v>
      </c>
      <c r="C938" t="s">
        <v>4651</v>
      </c>
      <c r="D938" t="s">
        <v>1968</v>
      </c>
      <c r="E938" t="s">
        <v>4652</v>
      </c>
      <c r="F938" t="s">
        <v>4653</v>
      </c>
      <c r="I938" t="s">
        <v>4654</v>
      </c>
      <c r="J938">
        <v>9054568225</v>
      </c>
      <c r="K938" t="s">
        <v>4655</v>
      </c>
      <c r="L938">
        <v>1234</v>
      </c>
      <c r="M938" t="s">
        <v>645</v>
      </c>
      <c r="N938" t="s">
        <v>30</v>
      </c>
      <c r="O938" t="s">
        <v>4657</v>
      </c>
      <c r="P938">
        <v>2467</v>
      </c>
    </row>
    <row r="939" spans="1:17" x14ac:dyDescent="0.3">
      <c r="A939" t="s">
        <v>7005</v>
      </c>
      <c r="B939" t="s">
        <v>1230</v>
      </c>
      <c r="C939" t="s">
        <v>7006</v>
      </c>
      <c r="D939" t="s">
        <v>5185</v>
      </c>
      <c r="E939" t="s">
        <v>1276</v>
      </c>
      <c r="F939" t="s">
        <v>7007</v>
      </c>
      <c r="G939">
        <v>0</v>
      </c>
      <c r="H939">
        <v>0</v>
      </c>
      <c r="I939" t="s">
        <v>7008</v>
      </c>
      <c r="J939" t="s">
        <v>7009</v>
      </c>
      <c r="K939" t="s">
        <v>7010</v>
      </c>
      <c r="L939">
        <v>1234</v>
      </c>
      <c r="M939" t="s">
        <v>645</v>
      </c>
      <c r="N939" t="s">
        <v>398</v>
      </c>
      <c r="O939" t="s">
        <v>685</v>
      </c>
      <c r="P939">
        <v>2880</v>
      </c>
    </row>
    <row r="940" spans="1:17" x14ac:dyDescent="0.3">
      <c r="A940" t="s">
        <v>7011</v>
      </c>
      <c r="B940" t="s">
        <v>7012</v>
      </c>
      <c r="C940" t="s">
        <v>7013</v>
      </c>
      <c r="D940" t="s">
        <v>6079</v>
      </c>
      <c r="E940" t="s">
        <v>1572</v>
      </c>
      <c r="F940" t="s">
        <v>7014</v>
      </c>
      <c r="G940">
        <v>0</v>
      </c>
      <c r="H940">
        <v>0</v>
      </c>
      <c r="I940" t="s">
        <v>7015</v>
      </c>
      <c r="J940" t="s">
        <v>7016</v>
      </c>
      <c r="K940" t="s">
        <v>7017</v>
      </c>
      <c r="L940">
        <v>1234</v>
      </c>
      <c r="M940" t="s">
        <v>645</v>
      </c>
      <c r="N940" t="s">
        <v>336</v>
      </c>
      <c r="O940" t="s">
        <v>337</v>
      </c>
      <c r="P940">
        <v>2778</v>
      </c>
      <c r="Q940" t="s">
        <v>7018</v>
      </c>
    </row>
    <row r="941" spans="1:17" x14ac:dyDescent="0.3">
      <c r="A941" t="s">
        <v>7019</v>
      </c>
      <c r="B941" t="s">
        <v>3938</v>
      </c>
      <c r="C941" t="s">
        <v>3939</v>
      </c>
      <c r="D941" t="s">
        <v>3940</v>
      </c>
      <c r="E941" t="s">
        <v>7020</v>
      </c>
      <c r="F941" t="s">
        <v>7021</v>
      </c>
      <c r="G941">
        <v>0</v>
      </c>
      <c r="H941">
        <v>0</v>
      </c>
      <c r="I941" t="s">
        <v>3942</v>
      </c>
      <c r="J941">
        <v>9052149225</v>
      </c>
      <c r="K941" t="s">
        <v>7022</v>
      </c>
      <c r="L941" t="s">
        <v>7023</v>
      </c>
      <c r="M941" t="s">
        <v>645</v>
      </c>
      <c r="N941" t="s">
        <v>398</v>
      </c>
      <c r="O941" t="s">
        <v>582</v>
      </c>
      <c r="P941">
        <v>3022</v>
      </c>
    </row>
    <row r="942" spans="1:17" x14ac:dyDescent="0.3">
      <c r="A942" t="s">
        <v>7024</v>
      </c>
      <c r="B942" t="s">
        <v>7025</v>
      </c>
      <c r="C942" t="s">
        <v>7026</v>
      </c>
      <c r="D942" t="s">
        <v>7027</v>
      </c>
      <c r="E942" t="s">
        <v>7028</v>
      </c>
      <c r="F942" t="s">
        <v>7029</v>
      </c>
      <c r="G942">
        <v>0</v>
      </c>
      <c r="H942">
        <v>0</v>
      </c>
      <c r="I942" t="s">
        <v>7030</v>
      </c>
      <c r="J942" t="s">
        <v>7031</v>
      </c>
      <c r="K942" t="s">
        <v>7032</v>
      </c>
      <c r="L942">
        <v>1234</v>
      </c>
      <c r="M942" t="s">
        <v>645</v>
      </c>
      <c r="N942" t="s">
        <v>398</v>
      </c>
      <c r="O942" t="s">
        <v>2435</v>
      </c>
      <c r="P942">
        <v>2781</v>
      </c>
    </row>
    <row r="943" spans="1:17" x14ac:dyDescent="0.3">
      <c r="A943" t="s">
        <v>7033</v>
      </c>
      <c r="B943" t="s">
        <v>7034</v>
      </c>
      <c r="C943" t="s">
        <v>3988</v>
      </c>
      <c r="D943" t="s">
        <v>1182</v>
      </c>
      <c r="E943" t="s">
        <v>7035</v>
      </c>
      <c r="F943" t="s">
        <v>7036</v>
      </c>
      <c r="I943" t="s">
        <v>7037</v>
      </c>
      <c r="J943" t="s">
        <v>7038</v>
      </c>
      <c r="K943" t="s">
        <v>7039</v>
      </c>
      <c r="L943">
        <v>1234</v>
      </c>
      <c r="M943" t="s">
        <v>645</v>
      </c>
      <c r="N943" t="s">
        <v>336</v>
      </c>
      <c r="O943" t="s">
        <v>337</v>
      </c>
      <c r="P943">
        <v>2991</v>
      </c>
    </row>
    <row r="944" spans="1:17" x14ac:dyDescent="0.3">
      <c r="A944" t="s">
        <v>7040</v>
      </c>
      <c r="B944" t="s">
        <v>6360</v>
      </c>
      <c r="C944" t="s">
        <v>7041</v>
      </c>
      <c r="D944" t="s">
        <v>7042</v>
      </c>
      <c r="E944" t="s">
        <v>1276</v>
      </c>
      <c r="F944" t="s">
        <v>7043</v>
      </c>
      <c r="I944" t="s">
        <v>7044</v>
      </c>
      <c r="J944" t="s">
        <v>7045</v>
      </c>
      <c r="K944" t="s">
        <v>7046</v>
      </c>
      <c r="L944" t="s">
        <v>7047</v>
      </c>
      <c r="M944" t="s">
        <v>645</v>
      </c>
      <c r="N944" t="s">
        <v>398</v>
      </c>
      <c r="O944" t="s">
        <v>685</v>
      </c>
      <c r="P944">
        <v>3046</v>
      </c>
    </row>
    <row r="945" spans="1:17" x14ac:dyDescent="0.3">
      <c r="A945" t="s">
        <v>7048</v>
      </c>
      <c r="B945" t="s">
        <v>2284</v>
      </c>
      <c r="C945" t="s">
        <v>3685</v>
      </c>
      <c r="D945" t="s">
        <v>2286</v>
      </c>
      <c r="E945" t="s">
        <v>1276</v>
      </c>
      <c r="F945" t="s">
        <v>7049</v>
      </c>
      <c r="I945" t="s">
        <v>7050</v>
      </c>
      <c r="J945" t="s">
        <v>7051</v>
      </c>
      <c r="K945" t="s">
        <v>7052</v>
      </c>
      <c r="L945">
        <v>1234</v>
      </c>
      <c r="M945" t="s">
        <v>645</v>
      </c>
      <c r="N945" t="s">
        <v>398</v>
      </c>
      <c r="O945" t="s">
        <v>582</v>
      </c>
      <c r="P945">
        <v>3053</v>
      </c>
    </row>
    <row r="946" spans="1:17" x14ac:dyDescent="0.3">
      <c r="A946" t="s">
        <v>7053</v>
      </c>
      <c r="B946" t="s">
        <v>4032</v>
      </c>
      <c r="C946" t="s">
        <v>7054</v>
      </c>
      <c r="D946" t="s">
        <v>537</v>
      </c>
      <c r="E946" t="s">
        <v>329</v>
      </c>
      <c r="F946" t="s">
        <v>7055</v>
      </c>
      <c r="G946">
        <v>0</v>
      </c>
      <c r="H946">
        <v>0</v>
      </c>
      <c r="I946" t="s">
        <v>7056</v>
      </c>
      <c r="J946" t="s">
        <v>7057</v>
      </c>
      <c r="K946" t="s">
        <v>7058</v>
      </c>
      <c r="L946">
        <v>1234</v>
      </c>
      <c r="M946" t="s">
        <v>645</v>
      </c>
      <c r="N946" t="s">
        <v>336</v>
      </c>
      <c r="O946" t="s">
        <v>441</v>
      </c>
      <c r="P946">
        <v>2957</v>
      </c>
    </row>
    <row r="947" spans="1:17" x14ac:dyDescent="0.3">
      <c r="A947" t="s">
        <v>7059</v>
      </c>
      <c r="B947" t="s">
        <v>362</v>
      </c>
      <c r="C947" t="s">
        <v>7060</v>
      </c>
      <c r="D947" t="s">
        <v>7061</v>
      </c>
      <c r="E947" t="s">
        <v>1276</v>
      </c>
      <c r="F947" t="s">
        <v>7062</v>
      </c>
      <c r="I947" t="s">
        <v>7063</v>
      </c>
      <c r="J947" t="s">
        <v>7064</v>
      </c>
      <c r="K947" t="s">
        <v>7065</v>
      </c>
      <c r="L947" t="s">
        <v>7066</v>
      </c>
      <c r="M947" t="s">
        <v>645</v>
      </c>
      <c r="N947" t="s">
        <v>336</v>
      </c>
      <c r="O947" t="s">
        <v>441</v>
      </c>
      <c r="P947">
        <v>3016</v>
      </c>
    </row>
    <row r="948" spans="1:17" x14ac:dyDescent="0.3">
      <c r="A948" t="s">
        <v>7067</v>
      </c>
      <c r="B948" t="s">
        <v>2576</v>
      </c>
      <c r="C948" t="s">
        <v>7068</v>
      </c>
      <c r="D948" t="s">
        <v>1976</v>
      </c>
      <c r="E948" t="s">
        <v>1985</v>
      </c>
      <c r="F948" t="s">
        <v>7069</v>
      </c>
      <c r="G948">
        <v>0</v>
      </c>
      <c r="H948">
        <v>0</v>
      </c>
      <c r="I948" t="s">
        <v>7070</v>
      </c>
      <c r="J948" t="s">
        <v>7071</v>
      </c>
      <c r="K948" t="s">
        <v>7072</v>
      </c>
      <c r="L948" t="s">
        <v>7073</v>
      </c>
      <c r="M948" t="s">
        <v>645</v>
      </c>
      <c r="N948" t="s">
        <v>336</v>
      </c>
      <c r="O948" t="s">
        <v>337</v>
      </c>
      <c r="P948">
        <v>3025</v>
      </c>
    </row>
    <row r="949" spans="1:17" x14ac:dyDescent="0.3">
      <c r="A949" t="s">
        <v>7074</v>
      </c>
      <c r="B949" t="s">
        <v>2453</v>
      </c>
      <c r="C949" t="s">
        <v>2454</v>
      </c>
      <c r="D949" t="s">
        <v>2455</v>
      </c>
      <c r="E949" t="s">
        <v>859</v>
      </c>
      <c r="F949" t="s">
        <v>7075</v>
      </c>
      <c r="G949">
        <v>0</v>
      </c>
      <c r="H949">
        <v>0</v>
      </c>
      <c r="I949" t="s">
        <v>7076</v>
      </c>
      <c r="J949">
        <v>9474804580</v>
      </c>
      <c r="K949" t="s">
        <v>7077</v>
      </c>
      <c r="L949">
        <v>1234</v>
      </c>
      <c r="M949" t="s">
        <v>645</v>
      </c>
      <c r="N949" t="s">
        <v>710</v>
      </c>
      <c r="O949" t="s">
        <v>711</v>
      </c>
      <c r="P949">
        <v>2451</v>
      </c>
    </row>
    <row r="950" spans="1:17" x14ac:dyDescent="0.3">
      <c r="A950" t="s">
        <v>7078</v>
      </c>
      <c r="B950" t="s">
        <v>3015</v>
      </c>
      <c r="C950" t="s">
        <v>7079</v>
      </c>
      <c r="D950" t="s">
        <v>7080</v>
      </c>
      <c r="E950" t="s">
        <v>859</v>
      </c>
      <c r="F950" t="s">
        <v>7081</v>
      </c>
      <c r="G950">
        <v>10</v>
      </c>
      <c r="H950">
        <v>0</v>
      </c>
      <c r="I950" t="s">
        <v>7082</v>
      </c>
      <c r="J950">
        <v>9758645155</v>
      </c>
      <c r="K950" t="s">
        <v>7083</v>
      </c>
      <c r="L950">
        <v>3072019</v>
      </c>
      <c r="M950" t="s">
        <v>645</v>
      </c>
      <c r="N950" t="s">
        <v>336</v>
      </c>
      <c r="O950" t="s">
        <v>337</v>
      </c>
      <c r="P950">
        <v>2990</v>
      </c>
    </row>
    <row r="951" spans="1:17" x14ac:dyDescent="0.3">
      <c r="A951" t="s">
        <v>7084</v>
      </c>
      <c r="B951" t="s">
        <v>1152</v>
      </c>
      <c r="C951" t="s">
        <v>7085</v>
      </c>
      <c r="D951" t="s">
        <v>2716</v>
      </c>
      <c r="E951" t="s">
        <v>7086</v>
      </c>
      <c r="F951" t="s">
        <v>7087</v>
      </c>
      <c r="G951">
        <v>0</v>
      </c>
      <c r="H951">
        <v>0</v>
      </c>
      <c r="I951" t="s">
        <v>7088</v>
      </c>
      <c r="J951" t="s">
        <v>7089</v>
      </c>
      <c r="K951" t="s">
        <v>7090</v>
      </c>
      <c r="L951">
        <v>1234</v>
      </c>
      <c r="M951" t="s">
        <v>645</v>
      </c>
      <c r="N951" t="s">
        <v>336</v>
      </c>
      <c r="O951" t="s">
        <v>483</v>
      </c>
      <c r="P951">
        <v>2998</v>
      </c>
    </row>
    <row r="952" spans="1:17" x14ac:dyDescent="0.3">
      <c r="A952" t="s">
        <v>7091</v>
      </c>
      <c r="B952" t="s">
        <v>2804</v>
      </c>
      <c r="C952" t="s">
        <v>7092</v>
      </c>
      <c r="D952" t="s">
        <v>585</v>
      </c>
      <c r="E952" t="s">
        <v>717</v>
      </c>
      <c r="F952" t="s">
        <v>7093</v>
      </c>
      <c r="G952">
        <v>0</v>
      </c>
      <c r="H952">
        <v>0</v>
      </c>
      <c r="I952" t="s">
        <v>7094</v>
      </c>
      <c r="J952" t="s">
        <v>7095</v>
      </c>
      <c r="K952" t="s">
        <v>7096</v>
      </c>
      <c r="L952">
        <v>1234</v>
      </c>
      <c r="M952" t="s">
        <v>645</v>
      </c>
      <c r="N952" t="s">
        <v>398</v>
      </c>
      <c r="O952" t="s">
        <v>582</v>
      </c>
      <c r="P952">
        <v>2135</v>
      </c>
    </row>
    <row r="953" spans="1:17" x14ac:dyDescent="0.3">
      <c r="A953" t="s">
        <v>7097</v>
      </c>
      <c r="B953" t="s">
        <v>3466</v>
      </c>
      <c r="C953" t="s">
        <v>7098</v>
      </c>
      <c r="D953" t="s">
        <v>3585</v>
      </c>
      <c r="E953" t="s">
        <v>1276</v>
      </c>
      <c r="F953" t="s">
        <v>7099</v>
      </c>
      <c r="G953">
        <v>0</v>
      </c>
      <c r="H953">
        <v>0</v>
      </c>
      <c r="I953" t="s">
        <v>7100</v>
      </c>
      <c r="J953" t="s">
        <v>7101</v>
      </c>
      <c r="K953" t="s">
        <v>7102</v>
      </c>
      <c r="L953" t="s">
        <v>7103</v>
      </c>
      <c r="M953" t="s">
        <v>645</v>
      </c>
      <c r="N953" t="s">
        <v>398</v>
      </c>
      <c r="O953" t="s">
        <v>2435</v>
      </c>
      <c r="P953">
        <v>3047</v>
      </c>
      <c r="Q953" t="s">
        <v>7104</v>
      </c>
    </row>
    <row r="954" spans="1:17" x14ac:dyDescent="0.3">
      <c r="A954" t="s">
        <v>7105</v>
      </c>
      <c r="F954" t="s">
        <v>7106</v>
      </c>
      <c r="K954" t="s">
        <v>7107</v>
      </c>
      <c r="L954">
        <v>1234</v>
      </c>
      <c r="M954" t="s">
        <v>645</v>
      </c>
      <c r="N954" t="s">
        <v>336</v>
      </c>
      <c r="O954" t="s">
        <v>515</v>
      </c>
      <c r="P954">
        <v>2779</v>
      </c>
    </row>
    <row r="955" spans="1:17" x14ac:dyDescent="0.3">
      <c r="A955" t="s">
        <v>7108</v>
      </c>
      <c r="B955" t="s">
        <v>4704</v>
      </c>
      <c r="C955" t="s">
        <v>7109</v>
      </c>
      <c r="D955" t="s">
        <v>486</v>
      </c>
      <c r="E955" t="s">
        <v>1470</v>
      </c>
      <c r="F955" t="s">
        <v>7110</v>
      </c>
      <c r="G955">
        <v>0</v>
      </c>
      <c r="H955">
        <v>0</v>
      </c>
      <c r="I955" t="s">
        <v>7111</v>
      </c>
      <c r="J955">
        <v>9858220431</v>
      </c>
      <c r="K955" t="s">
        <v>7112</v>
      </c>
      <c r="L955">
        <v>1234</v>
      </c>
      <c r="M955" t="s">
        <v>645</v>
      </c>
      <c r="N955" t="s">
        <v>779</v>
      </c>
      <c r="O955" t="s">
        <v>2414</v>
      </c>
      <c r="P955">
        <v>2692</v>
      </c>
    </row>
    <row r="956" spans="1:17" x14ac:dyDescent="0.3">
      <c r="A956" t="s">
        <v>7113</v>
      </c>
      <c r="B956" t="s">
        <v>7114</v>
      </c>
      <c r="C956" t="s">
        <v>7115</v>
      </c>
      <c r="D956" t="s">
        <v>2701</v>
      </c>
      <c r="E956" t="s">
        <v>1470</v>
      </c>
      <c r="F956" t="s">
        <v>7116</v>
      </c>
      <c r="G956">
        <v>0</v>
      </c>
      <c r="H956">
        <v>0</v>
      </c>
      <c r="I956" t="s">
        <v>7117</v>
      </c>
      <c r="J956">
        <v>9654287231</v>
      </c>
      <c r="K956" t="s">
        <v>7118</v>
      </c>
      <c r="L956">
        <v>1234</v>
      </c>
      <c r="M956" t="s">
        <v>645</v>
      </c>
      <c r="N956" t="s">
        <v>398</v>
      </c>
      <c r="O956" t="s">
        <v>582</v>
      </c>
      <c r="P956">
        <v>3041</v>
      </c>
    </row>
    <row r="957" spans="1:17" x14ac:dyDescent="0.3">
      <c r="A957" t="s">
        <v>7119</v>
      </c>
      <c r="B957" t="s">
        <v>4032</v>
      </c>
      <c r="C957" t="s">
        <v>5729</v>
      </c>
      <c r="D957" t="s">
        <v>5730</v>
      </c>
      <c r="E957" t="s">
        <v>2994</v>
      </c>
      <c r="F957" t="s">
        <v>7120</v>
      </c>
      <c r="I957" t="s">
        <v>7121</v>
      </c>
      <c r="J957" t="s">
        <v>7122</v>
      </c>
      <c r="K957" t="s">
        <v>7123</v>
      </c>
      <c r="L957">
        <v>1234</v>
      </c>
      <c r="M957" t="s">
        <v>645</v>
      </c>
      <c r="N957" t="s">
        <v>398</v>
      </c>
      <c r="O957" t="s">
        <v>582</v>
      </c>
      <c r="P957">
        <v>2634</v>
      </c>
    </row>
    <row r="958" spans="1:17" x14ac:dyDescent="0.3">
      <c r="A958" t="s">
        <v>7124</v>
      </c>
      <c r="B958" t="s">
        <v>5818</v>
      </c>
      <c r="C958" t="s">
        <v>7125</v>
      </c>
      <c r="D958" t="s">
        <v>2701</v>
      </c>
      <c r="E958" t="s">
        <v>7126</v>
      </c>
      <c r="F958" t="s">
        <v>7127</v>
      </c>
      <c r="G958">
        <v>0</v>
      </c>
      <c r="H958">
        <v>0</v>
      </c>
      <c r="I958" t="s">
        <v>7128</v>
      </c>
      <c r="J958">
        <v>9158848573</v>
      </c>
      <c r="K958" t="s">
        <v>7129</v>
      </c>
      <c r="L958">
        <v>1234</v>
      </c>
      <c r="M958" t="s">
        <v>645</v>
      </c>
      <c r="N958" t="s">
        <v>398</v>
      </c>
      <c r="O958" t="s">
        <v>685</v>
      </c>
      <c r="P958">
        <v>2977</v>
      </c>
    </row>
    <row r="959" spans="1:17" x14ac:dyDescent="0.3">
      <c r="A959" t="s">
        <v>7130</v>
      </c>
      <c r="B959" t="s">
        <v>7131</v>
      </c>
      <c r="C959" t="s">
        <v>3041</v>
      </c>
      <c r="D959" t="s">
        <v>7132</v>
      </c>
      <c r="E959" t="s">
        <v>7133</v>
      </c>
      <c r="F959" t="s">
        <v>7134</v>
      </c>
      <c r="G959">
        <v>4.2915344236620903E-5</v>
      </c>
      <c r="H959">
        <v>2.7894973754882802E-4</v>
      </c>
      <c r="I959" t="s">
        <v>7135</v>
      </c>
      <c r="J959">
        <v>9178352053</v>
      </c>
      <c r="K959" t="s">
        <v>7136</v>
      </c>
      <c r="L959">
        <v>1234</v>
      </c>
      <c r="M959" t="s">
        <v>645</v>
      </c>
      <c r="N959" t="s">
        <v>336</v>
      </c>
      <c r="O959" t="s">
        <v>441</v>
      </c>
      <c r="P959">
        <v>3065</v>
      </c>
    </row>
    <row r="960" spans="1:17" x14ac:dyDescent="0.3">
      <c r="A960" t="s">
        <v>7137</v>
      </c>
      <c r="B960" t="s">
        <v>7138</v>
      </c>
      <c r="C960" t="s">
        <v>7139</v>
      </c>
      <c r="D960" t="s">
        <v>7140</v>
      </c>
      <c r="E960" t="s">
        <v>7141</v>
      </c>
      <c r="F960" t="s">
        <v>7142</v>
      </c>
      <c r="G960">
        <v>0</v>
      </c>
      <c r="H960">
        <v>0</v>
      </c>
      <c r="I960" t="s">
        <v>7143</v>
      </c>
      <c r="J960">
        <v>9364800916</v>
      </c>
      <c r="K960" t="s">
        <v>7144</v>
      </c>
      <c r="L960" t="s">
        <v>7145</v>
      </c>
      <c r="M960" t="s">
        <v>645</v>
      </c>
      <c r="N960" t="s">
        <v>398</v>
      </c>
      <c r="O960" t="s">
        <v>685</v>
      </c>
      <c r="P960">
        <v>2952</v>
      </c>
    </row>
    <row r="961" spans="1:17" x14ac:dyDescent="0.3">
      <c r="A961" t="s">
        <v>7146</v>
      </c>
      <c r="B961" t="s">
        <v>7147</v>
      </c>
      <c r="C961" t="s">
        <v>7148</v>
      </c>
      <c r="D961" t="s">
        <v>7149</v>
      </c>
      <c r="E961" t="s">
        <v>7150</v>
      </c>
      <c r="F961" t="s">
        <v>7151</v>
      </c>
      <c r="I961" t="s">
        <v>7152</v>
      </c>
      <c r="J961" t="s">
        <v>7153</v>
      </c>
      <c r="K961" t="s">
        <v>7154</v>
      </c>
      <c r="L961" t="s">
        <v>7155</v>
      </c>
      <c r="M961" t="s">
        <v>645</v>
      </c>
      <c r="N961" t="s">
        <v>336</v>
      </c>
      <c r="O961" t="s">
        <v>515</v>
      </c>
      <c r="P961">
        <v>3061</v>
      </c>
    </row>
    <row r="962" spans="1:17" x14ac:dyDescent="0.3">
      <c r="A962" t="s">
        <v>7156</v>
      </c>
      <c r="B962" t="s">
        <v>7157</v>
      </c>
      <c r="C962" t="s">
        <v>7158</v>
      </c>
      <c r="D962" t="s">
        <v>7159</v>
      </c>
      <c r="E962" t="s">
        <v>7160</v>
      </c>
      <c r="F962" t="s">
        <v>7161</v>
      </c>
      <c r="G962">
        <v>0</v>
      </c>
      <c r="H962">
        <v>0</v>
      </c>
      <c r="I962" t="s">
        <v>7162</v>
      </c>
      <c r="J962" t="s">
        <v>7163</v>
      </c>
      <c r="K962" t="s">
        <v>7164</v>
      </c>
      <c r="L962">
        <v>1234</v>
      </c>
      <c r="M962" t="s">
        <v>645</v>
      </c>
      <c r="N962" t="s">
        <v>336</v>
      </c>
      <c r="O962" t="s">
        <v>441</v>
      </c>
      <c r="P962">
        <v>3064</v>
      </c>
    </row>
    <row r="963" spans="1:17" x14ac:dyDescent="0.3">
      <c r="A963" t="s">
        <v>7165</v>
      </c>
      <c r="B963" t="s">
        <v>2930</v>
      </c>
      <c r="C963" t="s">
        <v>7166</v>
      </c>
      <c r="D963" t="s">
        <v>7167</v>
      </c>
      <c r="E963" t="s">
        <v>7168</v>
      </c>
      <c r="F963" t="s">
        <v>7169</v>
      </c>
      <c r="G963">
        <v>0</v>
      </c>
      <c r="H963">
        <v>0</v>
      </c>
      <c r="I963" t="s">
        <v>7170</v>
      </c>
      <c r="J963">
        <v>9177036690</v>
      </c>
      <c r="K963" t="s">
        <v>7171</v>
      </c>
      <c r="L963" t="s">
        <v>7172</v>
      </c>
      <c r="M963" t="s">
        <v>645</v>
      </c>
      <c r="N963" t="s">
        <v>398</v>
      </c>
      <c r="O963" t="s">
        <v>685</v>
      </c>
      <c r="P963">
        <v>3035</v>
      </c>
    </row>
    <row r="964" spans="1:17" x14ac:dyDescent="0.3">
      <c r="A964" t="s">
        <v>7173</v>
      </c>
      <c r="B964" t="s">
        <v>7174</v>
      </c>
      <c r="C964" t="s">
        <v>7175</v>
      </c>
      <c r="D964" t="s">
        <v>5030</v>
      </c>
      <c r="E964" t="s">
        <v>7176</v>
      </c>
      <c r="F964" t="s">
        <v>7177</v>
      </c>
      <c r="G964">
        <v>0</v>
      </c>
      <c r="H964">
        <v>0</v>
      </c>
      <c r="I964" t="s">
        <v>7178</v>
      </c>
      <c r="J964" t="s">
        <v>7179</v>
      </c>
      <c r="K964" t="s">
        <v>7180</v>
      </c>
      <c r="L964" t="s">
        <v>7181</v>
      </c>
      <c r="M964" t="s">
        <v>645</v>
      </c>
      <c r="N964" t="s">
        <v>336</v>
      </c>
      <c r="O964" t="s">
        <v>337</v>
      </c>
      <c r="P964">
        <v>3066</v>
      </c>
    </row>
    <row r="965" spans="1:17" x14ac:dyDescent="0.3">
      <c r="A965" t="s">
        <v>7182</v>
      </c>
      <c r="B965" t="s">
        <v>6926</v>
      </c>
      <c r="C965" t="s">
        <v>6423</v>
      </c>
      <c r="D965" t="s">
        <v>1555</v>
      </c>
      <c r="E965" t="s">
        <v>6927</v>
      </c>
      <c r="F965" t="s">
        <v>7183</v>
      </c>
      <c r="G965">
        <v>15.1944111168463</v>
      </c>
      <c r="H965">
        <v>120.52104949951099</v>
      </c>
      <c r="I965" t="s">
        <v>6929</v>
      </c>
      <c r="J965">
        <v>9812018885</v>
      </c>
      <c r="K965" t="s">
        <v>7184</v>
      </c>
      <c r="L965">
        <v>1234</v>
      </c>
      <c r="M965" t="s">
        <v>645</v>
      </c>
      <c r="N965" t="s">
        <v>336</v>
      </c>
      <c r="O965" t="s">
        <v>515</v>
      </c>
      <c r="P965">
        <v>3040</v>
      </c>
      <c r="Q965" t="s">
        <v>7185</v>
      </c>
    </row>
    <row r="966" spans="1:17" x14ac:dyDescent="0.3">
      <c r="A966" t="s">
        <v>7186</v>
      </c>
      <c r="B966" t="s">
        <v>7187</v>
      </c>
      <c r="C966" t="s">
        <v>7188</v>
      </c>
      <c r="D966" t="s">
        <v>2104</v>
      </c>
      <c r="E966" t="s">
        <v>286</v>
      </c>
      <c r="F966" t="s">
        <v>7189</v>
      </c>
      <c r="I966" t="s">
        <v>7190</v>
      </c>
      <c r="J966" t="s">
        <v>7191</v>
      </c>
      <c r="K966" t="s">
        <v>7192</v>
      </c>
      <c r="L966" t="s">
        <v>7193</v>
      </c>
      <c r="M966" t="s">
        <v>645</v>
      </c>
      <c r="N966" t="s">
        <v>398</v>
      </c>
      <c r="O966" t="s">
        <v>582</v>
      </c>
      <c r="P966">
        <v>3062</v>
      </c>
    </row>
    <row r="967" spans="1:17" x14ac:dyDescent="0.3">
      <c r="A967" t="s">
        <v>7194</v>
      </c>
      <c r="B967" t="s">
        <v>2461</v>
      </c>
      <c r="C967" t="s">
        <v>7195</v>
      </c>
      <c r="D967" t="s">
        <v>7196</v>
      </c>
      <c r="E967" t="s">
        <v>7197</v>
      </c>
      <c r="F967" t="s">
        <v>7198</v>
      </c>
      <c r="I967" t="s">
        <v>7199</v>
      </c>
      <c r="J967">
        <v>9363137691</v>
      </c>
      <c r="K967" t="s">
        <v>7200</v>
      </c>
      <c r="L967">
        <v>1234</v>
      </c>
      <c r="M967" t="s">
        <v>645</v>
      </c>
      <c r="N967" t="s">
        <v>779</v>
      </c>
      <c r="O967" t="s">
        <v>2414</v>
      </c>
      <c r="P967">
        <v>3038</v>
      </c>
    </row>
    <row r="968" spans="1:17" x14ac:dyDescent="0.3">
      <c r="A968" t="s">
        <v>7201</v>
      </c>
      <c r="B968" t="s">
        <v>2582</v>
      </c>
      <c r="C968" t="s">
        <v>7202</v>
      </c>
      <c r="D968" t="s">
        <v>2259</v>
      </c>
      <c r="E968" t="s">
        <v>986</v>
      </c>
      <c r="F968" t="s">
        <v>7203</v>
      </c>
      <c r="G968">
        <v>0</v>
      </c>
      <c r="H968">
        <v>0</v>
      </c>
      <c r="I968" t="s">
        <v>7204</v>
      </c>
      <c r="J968">
        <v>9171920085</v>
      </c>
      <c r="K968" t="s">
        <v>7205</v>
      </c>
      <c r="L968">
        <v>1234</v>
      </c>
      <c r="M968" t="s">
        <v>645</v>
      </c>
      <c r="N968" t="s">
        <v>398</v>
      </c>
      <c r="O968" t="s">
        <v>685</v>
      </c>
      <c r="P968">
        <v>2983</v>
      </c>
    </row>
    <row r="969" spans="1:17" x14ac:dyDescent="0.3">
      <c r="A969" t="s">
        <v>7206</v>
      </c>
      <c r="B969" t="s">
        <v>2582</v>
      </c>
      <c r="C969" t="s">
        <v>7202</v>
      </c>
      <c r="D969" t="s">
        <v>2259</v>
      </c>
      <c r="E969" t="s">
        <v>680</v>
      </c>
      <c r="F969" t="s">
        <v>7207</v>
      </c>
      <c r="G969">
        <v>0</v>
      </c>
      <c r="H969">
        <v>0</v>
      </c>
      <c r="I969" t="s">
        <v>7204</v>
      </c>
      <c r="J969">
        <v>9171920085</v>
      </c>
      <c r="K969" t="s">
        <v>7208</v>
      </c>
      <c r="L969">
        <v>1234</v>
      </c>
      <c r="M969" t="s">
        <v>645</v>
      </c>
      <c r="N969" t="s">
        <v>398</v>
      </c>
      <c r="O969" t="s">
        <v>685</v>
      </c>
      <c r="P969">
        <v>2988</v>
      </c>
    </row>
    <row r="970" spans="1:17" x14ac:dyDescent="0.3">
      <c r="A970" t="s">
        <v>7209</v>
      </c>
      <c r="B970" t="s">
        <v>7210</v>
      </c>
      <c r="C970" t="s">
        <v>7211</v>
      </c>
      <c r="D970" t="s">
        <v>7212</v>
      </c>
      <c r="E970" t="s">
        <v>477</v>
      </c>
      <c r="F970" t="s">
        <v>7213</v>
      </c>
      <c r="G970">
        <v>0</v>
      </c>
      <c r="H970">
        <v>0</v>
      </c>
      <c r="I970" t="s">
        <v>7214</v>
      </c>
      <c r="J970" t="s">
        <v>7215</v>
      </c>
      <c r="K970" t="s">
        <v>7216</v>
      </c>
      <c r="L970">
        <v>6182019</v>
      </c>
      <c r="M970" t="s">
        <v>645</v>
      </c>
      <c r="N970" t="s">
        <v>336</v>
      </c>
      <c r="O970" t="s">
        <v>515</v>
      </c>
      <c r="P970">
        <v>3052</v>
      </c>
      <c r="Q970" t="s">
        <v>7217</v>
      </c>
    </row>
    <row r="971" spans="1:17" x14ac:dyDescent="0.3">
      <c r="A971" t="s">
        <v>7218</v>
      </c>
      <c r="B971" t="s">
        <v>7219</v>
      </c>
      <c r="C971" t="s">
        <v>7220</v>
      </c>
      <c r="D971" t="s">
        <v>7221</v>
      </c>
      <c r="E971" t="s">
        <v>975</v>
      </c>
      <c r="F971" t="s">
        <v>7222</v>
      </c>
      <c r="I971" t="s">
        <v>7223</v>
      </c>
      <c r="J971" t="s">
        <v>7224</v>
      </c>
      <c r="K971" t="s">
        <v>7225</v>
      </c>
      <c r="L971">
        <v>1234</v>
      </c>
      <c r="M971" t="s">
        <v>645</v>
      </c>
      <c r="N971" t="s">
        <v>398</v>
      </c>
      <c r="O971" t="s">
        <v>582</v>
      </c>
      <c r="P971">
        <v>3050</v>
      </c>
      <c r="Q971" t="s">
        <v>7226</v>
      </c>
    </row>
    <row r="972" spans="1:17" x14ac:dyDescent="0.3">
      <c r="A972" t="s">
        <v>7227</v>
      </c>
      <c r="B972" t="s">
        <v>7228</v>
      </c>
      <c r="C972" t="s">
        <v>5694</v>
      </c>
      <c r="D972" t="s">
        <v>36</v>
      </c>
      <c r="E972" t="s">
        <v>680</v>
      </c>
      <c r="F972" t="s">
        <v>7229</v>
      </c>
      <c r="G972">
        <v>0</v>
      </c>
      <c r="H972">
        <v>0</v>
      </c>
      <c r="I972" t="s">
        <v>7230</v>
      </c>
      <c r="J972">
        <v>9472726372</v>
      </c>
      <c r="K972" t="s">
        <v>7231</v>
      </c>
      <c r="L972">
        <v>1234</v>
      </c>
      <c r="M972" t="s">
        <v>645</v>
      </c>
      <c r="N972" t="s">
        <v>398</v>
      </c>
      <c r="O972" t="s">
        <v>685</v>
      </c>
      <c r="P972">
        <v>2997</v>
      </c>
    </row>
    <row r="973" spans="1:17" x14ac:dyDescent="0.3">
      <c r="A973" t="s">
        <v>7232</v>
      </c>
      <c r="B973" t="s">
        <v>8</v>
      </c>
      <c r="C973" t="s">
        <v>7233</v>
      </c>
      <c r="D973" t="s">
        <v>7234</v>
      </c>
      <c r="E973" t="s">
        <v>1311</v>
      </c>
      <c r="F973" t="s">
        <v>7235</v>
      </c>
      <c r="I973" t="s">
        <v>6721</v>
      </c>
      <c r="J973">
        <v>9267082341</v>
      </c>
      <c r="K973" t="s">
        <v>7236</v>
      </c>
      <c r="L973">
        <v>1234</v>
      </c>
      <c r="M973" t="s">
        <v>645</v>
      </c>
      <c r="N973" t="s">
        <v>398</v>
      </c>
      <c r="O973" t="s">
        <v>1104</v>
      </c>
      <c r="P973">
        <v>3056</v>
      </c>
    </row>
    <row r="974" spans="1:17" x14ac:dyDescent="0.3">
      <c r="A974" t="s">
        <v>7237</v>
      </c>
      <c r="B974" t="s">
        <v>7238</v>
      </c>
      <c r="C974" t="s">
        <v>7239</v>
      </c>
      <c r="D974" t="s">
        <v>4756</v>
      </c>
      <c r="E974" t="s">
        <v>7240</v>
      </c>
      <c r="F974" t="s">
        <v>7241</v>
      </c>
      <c r="G974">
        <v>0</v>
      </c>
      <c r="H974">
        <v>0</v>
      </c>
      <c r="I974" t="s">
        <v>7242</v>
      </c>
      <c r="J974">
        <v>9985983007</v>
      </c>
      <c r="K974" t="s">
        <v>7243</v>
      </c>
      <c r="L974">
        <v>1234</v>
      </c>
      <c r="M974" t="s">
        <v>645</v>
      </c>
      <c r="N974" t="s">
        <v>398</v>
      </c>
      <c r="O974" t="s">
        <v>582</v>
      </c>
      <c r="P974">
        <v>246</v>
      </c>
    </row>
    <row r="975" spans="1:17" x14ac:dyDescent="0.3">
      <c r="A975" t="s">
        <v>7244</v>
      </c>
      <c r="B975" t="s">
        <v>1237</v>
      </c>
      <c r="C975" t="s">
        <v>1238</v>
      </c>
      <c r="D975" t="s">
        <v>1239</v>
      </c>
      <c r="E975" t="s">
        <v>329</v>
      </c>
      <c r="F975" t="s">
        <v>7245</v>
      </c>
      <c r="I975" t="s">
        <v>1242</v>
      </c>
      <c r="J975" t="s">
        <v>7246</v>
      </c>
      <c r="K975" t="s">
        <v>7247</v>
      </c>
      <c r="L975">
        <v>1234</v>
      </c>
      <c r="M975" t="s">
        <v>645</v>
      </c>
      <c r="N975" t="s">
        <v>398</v>
      </c>
      <c r="O975" t="s">
        <v>582</v>
      </c>
      <c r="P975">
        <v>3043</v>
      </c>
    </row>
    <row r="976" spans="1:17" x14ac:dyDescent="0.3">
      <c r="A976" t="s">
        <v>7156</v>
      </c>
      <c r="B976" t="s">
        <v>7157</v>
      </c>
      <c r="C976" t="s">
        <v>7158</v>
      </c>
      <c r="D976" t="s">
        <v>7159</v>
      </c>
      <c r="E976" t="s">
        <v>7160</v>
      </c>
      <c r="F976" t="s">
        <v>7161</v>
      </c>
      <c r="G976">
        <v>0</v>
      </c>
      <c r="H976">
        <v>0</v>
      </c>
      <c r="I976" t="s">
        <v>7162</v>
      </c>
      <c r="J976" t="s">
        <v>7163</v>
      </c>
      <c r="K976" t="s">
        <v>7164</v>
      </c>
      <c r="L976">
        <v>1234</v>
      </c>
      <c r="M976" t="s">
        <v>645</v>
      </c>
      <c r="N976" t="s">
        <v>336</v>
      </c>
      <c r="O976" t="s">
        <v>441</v>
      </c>
      <c r="P976">
        <v>3064</v>
      </c>
    </row>
    <row r="977" spans="1:17" x14ac:dyDescent="0.3">
      <c r="A977" t="s">
        <v>7248</v>
      </c>
      <c r="B977" t="s">
        <v>7249</v>
      </c>
      <c r="C977" t="s">
        <v>7250</v>
      </c>
      <c r="D977" t="s">
        <v>7251</v>
      </c>
      <c r="E977" t="s">
        <v>286</v>
      </c>
      <c r="F977" t="s">
        <v>7252</v>
      </c>
      <c r="G977">
        <v>0</v>
      </c>
      <c r="H977">
        <v>0</v>
      </c>
      <c r="I977" t="s">
        <v>7253</v>
      </c>
      <c r="J977">
        <v>9568100077</v>
      </c>
      <c r="K977" t="s">
        <v>7254</v>
      </c>
      <c r="L977">
        <v>1234</v>
      </c>
      <c r="M977" t="s">
        <v>645</v>
      </c>
      <c r="N977" t="s">
        <v>398</v>
      </c>
      <c r="O977" t="s">
        <v>853</v>
      </c>
      <c r="P977">
        <v>3071</v>
      </c>
    </row>
    <row r="978" spans="1:17" x14ac:dyDescent="0.3">
      <c r="A978" t="s">
        <v>7255</v>
      </c>
      <c r="B978" t="s">
        <v>7256</v>
      </c>
      <c r="C978" t="s">
        <v>4608</v>
      </c>
      <c r="D978" t="s">
        <v>7257</v>
      </c>
      <c r="E978" t="s">
        <v>1194</v>
      </c>
      <c r="F978" t="s">
        <v>7258</v>
      </c>
      <c r="G978">
        <v>0</v>
      </c>
      <c r="H978">
        <v>0</v>
      </c>
      <c r="I978" t="s">
        <v>7259</v>
      </c>
      <c r="J978">
        <v>9388764686</v>
      </c>
      <c r="K978" t="s">
        <v>7260</v>
      </c>
      <c r="L978">
        <v>1234</v>
      </c>
      <c r="M978" t="s">
        <v>645</v>
      </c>
      <c r="N978" t="s">
        <v>779</v>
      </c>
      <c r="O978" t="s">
        <v>2414</v>
      </c>
      <c r="P978">
        <v>3039</v>
      </c>
    </row>
    <row r="979" spans="1:17" x14ac:dyDescent="0.3">
      <c r="A979" t="s">
        <v>7261</v>
      </c>
      <c r="B979" t="s">
        <v>7262</v>
      </c>
      <c r="C979" t="s">
        <v>7263</v>
      </c>
      <c r="D979" t="s">
        <v>1907</v>
      </c>
      <c r="E979" t="s">
        <v>329</v>
      </c>
      <c r="F979" t="s">
        <v>7264</v>
      </c>
      <c r="G979">
        <v>0</v>
      </c>
      <c r="H979">
        <v>0</v>
      </c>
      <c r="I979" t="s">
        <v>6177</v>
      </c>
      <c r="J979" t="s">
        <v>7265</v>
      </c>
      <c r="K979" t="s">
        <v>7266</v>
      </c>
      <c r="L979">
        <v>1234</v>
      </c>
      <c r="M979" t="s">
        <v>645</v>
      </c>
      <c r="N979" t="s">
        <v>398</v>
      </c>
      <c r="O979" t="s">
        <v>582</v>
      </c>
      <c r="P979">
        <v>3076</v>
      </c>
    </row>
    <row r="980" spans="1:17" x14ac:dyDescent="0.3">
      <c r="A980" t="s">
        <v>7261</v>
      </c>
      <c r="B980" t="s">
        <v>7262</v>
      </c>
      <c r="C980" t="s">
        <v>7263</v>
      </c>
      <c r="D980" t="s">
        <v>1907</v>
      </c>
      <c r="E980" t="s">
        <v>329</v>
      </c>
      <c r="F980" t="s">
        <v>7264</v>
      </c>
      <c r="G980">
        <v>0</v>
      </c>
      <c r="H980">
        <v>0</v>
      </c>
      <c r="I980" t="s">
        <v>6177</v>
      </c>
      <c r="J980" t="s">
        <v>7265</v>
      </c>
      <c r="K980" t="s">
        <v>7266</v>
      </c>
      <c r="L980">
        <v>1234</v>
      </c>
      <c r="M980" t="s">
        <v>645</v>
      </c>
      <c r="N980" t="s">
        <v>398</v>
      </c>
      <c r="O980" t="s">
        <v>582</v>
      </c>
      <c r="P980">
        <v>3076</v>
      </c>
    </row>
    <row r="981" spans="1:17" x14ac:dyDescent="0.3">
      <c r="A981" t="s">
        <v>7267</v>
      </c>
      <c r="B981" t="s">
        <v>2461</v>
      </c>
      <c r="C981" t="s">
        <v>7268</v>
      </c>
      <c r="D981" t="s">
        <v>1173</v>
      </c>
      <c r="E981" t="s">
        <v>680</v>
      </c>
      <c r="F981" t="s">
        <v>7269</v>
      </c>
      <c r="G981">
        <v>0</v>
      </c>
      <c r="H981">
        <v>0</v>
      </c>
      <c r="I981" t="s">
        <v>7270</v>
      </c>
      <c r="J981">
        <v>9219964777</v>
      </c>
      <c r="K981" t="s">
        <v>7271</v>
      </c>
      <c r="L981">
        <v>1234</v>
      </c>
      <c r="M981" t="s">
        <v>645</v>
      </c>
      <c r="N981" t="s">
        <v>398</v>
      </c>
      <c r="O981" t="s">
        <v>685</v>
      </c>
      <c r="P981">
        <v>3029</v>
      </c>
    </row>
    <row r="982" spans="1:17" x14ac:dyDescent="0.3">
      <c r="A982" t="s">
        <v>7267</v>
      </c>
      <c r="B982" t="s">
        <v>2461</v>
      </c>
      <c r="C982" t="s">
        <v>7268</v>
      </c>
      <c r="D982" t="s">
        <v>1173</v>
      </c>
      <c r="E982" t="s">
        <v>680</v>
      </c>
      <c r="F982" t="s">
        <v>7269</v>
      </c>
      <c r="G982">
        <v>0</v>
      </c>
      <c r="H982">
        <v>0</v>
      </c>
      <c r="I982" t="s">
        <v>7270</v>
      </c>
      <c r="J982">
        <v>9219964777</v>
      </c>
      <c r="K982" t="s">
        <v>7271</v>
      </c>
      <c r="L982">
        <v>1234</v>
      </c>
      <c r="M982" t="s">
        <v>645</v>
      </c>
      <c r="N982" t="s">
        <v>398</v>
      </c>
      <c r="O982" t="s">
        <v>685</v>
      </c>
      <c r="P982">
        <v>3029</v>
      </c>
    </row>
    <row r="983" spans="1:17" x14ac:dyDescent="0.3">
      <c r="A983" t="s">
        <v>7272</v>
      </c>
      <c r="B983" t="s">
        <v>7273</v>
      </c>
      <c r="C983" t="s">
        <v>7274</v>
      </c>
      <c r="D983" t="s">
        <v>4513</v>
      </c>
      <c r="E983" t="s">
        <v>7275</v>
      </c>
      <c r="F983" t="s">
        <v>7276</v>
      </c>
      <c r="G983">
        <v>0</v>
      </c>
      <c r="H983">
        <v>0</v>
      </c>
      <c r="I983" t="s">
        <v>7277</v>
      </c>
      <c r="J983">
        <v>9176201994</v>
      </c>
      <c r="K983" t="s">
        <v>7278</v>
      </c>
      <c r="L983">
        <v>1234</v>
      </c>
      <c r="M983" t="s">
        <v>645</v>
      </c>
      <c r="N983" t="s">
        <v>871</v>
      </c>
      <c r="O983">
        <v>2879</v>
      </c>
      <c r="P983">
        <v>2879</v>
      </c>
      <c r="Q983" t="s">
        <v>7279</v>
      </c>
    </row>
    <row r="984" spans="1:17" x14ac:dyDescent="0.3">
      <c r="A984" t="s">
        <v>7280</v>
      </c>
      <c r="B984" t="s">
        <v>7281</v>
      </c>
      <c r="C984" t="s">
        <v>696</v>
      </c>
      <c r="D984" t="s">
        <v>7282</v>
      </c>
      <c r="E984" t="s">
        <v>7283</v>
      </c>
      <c r="F984" t="s">
        <v>7284</v>
      </c>
      <c r="I984" t="s">
        <v>7285</v>
      </c>
      <c r="J984" t="s">
        <v>7286</v>
      </c>
      <c r="K984" t="s">
        <v>7287</v>
      </c>
      <c r="L984">
        <v>1234</v>
      </c>
      <c r="M984" t="s">
        <v>645</v>
      </c>
      <c r="N984" t="s">
        <v>336</v>
      </c>
      <c r="O984" t="s">
        <v>441</v>
      </c>
      <c r="P984">
        <v>2789</v>
      </c>
    </row>
    <row r="985" spans="1:17" x14ac:dyDescent="0.3">
      <c r="A985" t="s">
        <v>7288</v>
      </c>
      <c r="B985" t="s">
        <v>1182</v>
      </c>
      <c r="C985" t="s">
        <v>7289</v>
      </c>
      <c r="D985" t="s">
        <v>5537</v>
      </c>
      <c r="E985" t="s">
        <v>7290</v>
      </c>
      <c r="F985" t="s">
        <v>7291</v>
      </c>
      <c r="G985">
        <v>0</v>
      </c>
      <c r="H985">
        <v>0</v>
      </c>
      <c r="I985" t="s">
        <v>7292</v>
      </c>
      <c r="J985">
        <v>9095748534</v>
      </c>
      <c r="K985" t="s">
        <v>7293</v>
      </c>
      <c r="L985" t="s">
        <v>7294</v>
      </c>
      <c r="M985" t="s">
        <v>645</v>
      </c>
      <c r="N985" t="s">
        <v>779</v>
      </c>
      <c r="O985" t="s">
        <v>1049</v>
      </c>
      <c r="P985">
        <v>3060</v>
      </c>
    </row>
    <row r="986" spans="1:17" x14ac:dyDescent="0.3">
      <c r="A986" t="s">
        <v>7295</v>
      </c>
      <c r="B986" t="s">
        <v>2804</v>
      </c>
      <c r="C986" t="s">
        <v>7296</v>
      </c>
      <c r="D986" t="s">
        <v>1273</v>
      </c>
      <c r="E986" t="s">
        <v>793</v>
      </c>
      <c r="F986" t="s">
        <v>7297</v>
      </c>
      <c r="I986" t="s">
        <v>7298</v>
      </c>
      <c r="J986" t="s">
        <v>7299</v>
      </c>
      <c r="K986" t="s">
        <v>7300</v>
      </c>
      <c r="L986">
        <v>1234</v>
      </c>
      <c r="M986" t="s">
        <v>645</v>
      </c>
      <c r="N986" t="s">
        <v>398</v>
      </c>
      <c r="O986" t="s">
        <v>582</v>
      </c>
      <c r="P986">
        <v>3037</v>
      </c>
      <c r="Q986" t="s">
        <v>7301</v>
      </c>
    </row>
    <row r="987" spans="1:17" x14ac:dyDescent="0.3">
      <c r="A987" t="s">
        <v>7302</v>
      </c>
      <c r="B987" t="s">
        <v>7303</v>
      </c>
      <c r="C987" t="s">
        <v>7304</v>
      </c>
      <c r="D987" t="s">
        <v>1817</v>
      </c>
      <c r="E987" t="s">
        <v>2693</v>
      </c>
      <c r="F987" t="s">
        <v>7305</v>
      </c>
      <c r="G987">
        <v>0</v>
      </c>
      <c r="H987">
        <v>0</v>
      </c>
      <c r="I987" t="s">
        <v>7306</v>
      </c>
      <c r="J987" t="s">
        <v>7307</v>
      </c>
      <c r="K987" t="s">
        <v>7308</v>
      </c>
      <c r="L987" t="s">
        <v>7309</v>
      </c>
      <c r="M987" t="s">
        <v>645</v>
      </c>
      <c r="N987" t="s">
        <v>336</v>
      </c>
      <c r="O987" t="s">
        <v>441</v>
      </c>
      <c r="P987">
        <v>2814</v>
      </c>
    </row>
    <row r="988" spans="1:17" x14ac:dyDescent="0.3">
      <c r="A988" t="s">
        <v>7310</v>
      </c>
      <c r="B988" t="s">
        <v>7311</v>
      </c>
      <c r="C988" t="s">
        <v>7312</v>
      </c>
      <c r="D988" t="s">
        <v>7313</v>
      </c>
      <c r="E988" t="s">
        <v>7314</v>
      </c>
      <c r="F988" t="s">
        <v>7315</v>
      </c>
      <c r="I988" t="s">
        <v>7316</v>
      </c>
      <c r="J988">
        <v>9992233676</v>
      </c>
      <c r="K988" t="s">
        <v>7317</v>
      </c>
      <c r="L988">
        <v>1234</v>
      </c>
      <c r="M988" t="s">
        <v>645</v>
      </c>
      <c r="N988" t="s">
        <v>336</v>
      </c>
      <c r="O988" t="s">
        <v>441</v>
      </c>
      <c r="P988">
        <v>3080</v>
      </c>
    </row>
    <row r="989" spans="1:17" x14ac:dyDescent="0.3">
      <c r="A989" t="s">
        <v>7318</v>
      </c>
      <c r="B989" t="s">
        <v>7319</v>
      </c>
      <c r="C989" t="s">
        <v>7320</v>
      </c>
      <c r="D989" t="s">
        <v>7321</v>
      </c>
      <c r="E989" t="s">
        <v>4409</v>
      </c>
      <c r="F989" t="s">
        <v>7322</v>
      </c>
      <c r="G989">
        <v>0</v>
      </c>
      <c r="H989">
        <v>0</v>
      </c>
      <c r="I989" t="s">
        <v>7323</v>
      </c>
      <c r="J989" t="s">
        <v>7324</v>
      </c>
      <c r="K989" t="s">
        <v>7325</v>
      </c>
      <c r="L989">
        <v>1234</v>
      </c>
      <c r="M989" t="s">
        <v>645</v>
      </c>
      <c r="N989" t="s">
        <v>398</v>
      </c>
      <c r="O989" t="s">
        <v>2435</v>
      </c>
      <c r="P989">
        <v>3058</v>
      </c>
      <c r="Q989" t="s">
        <v>7326</v>
      </c>
    </row>
    <row r="990" spans="1:17" x14ac:dyDescent="0.3">
      <c r="A990" t="s">
        <v>7327</v>
      </c>
      <c r="B990" t="s">
        <v>5740</v>
      </c>
      <c r="C990" t="s">
        <v>7328</v>
      </c>
      <c r="D990" t="s">
        <v>5741</v>
      </c>
      <c r="E990" t="s">
        <v>7329</v>
      </c>
      <c r="F990" t="s">
        <v>7330</v>
      </c>
      <c r="G990">
        <v>0</v>
      </c>
      <c r="H990">
        <v>0</v>
      </c>
      <c r="I990" t="s">
        <v>6177</v>
      </c>
      <c r="J990">
        <v>9212515447</v>
      </c>
      <c r="K990" t="s">
        <v>7331</v>
      </c>
      <c r="L990">
        <v>2208</v>
      </c>
      <c r="M990" t="s">
        <v>645</v>
      </c>
      <c r="N990" t="s">
        <v>336</v>
      </c>
      <c r="O990" t="s">
        <v>441</v>
      </c>
      <c r="P990">
        <v>3075</v>
      </c>
    </row>
    <row r="991" spans="1:17" x14ac:dyDescent="0.3">
      <c r="A991" t="s">
        <v>7332</v>
      </c>
      <c r="B991" t="s">
        <v>4660</v>
      </c>
      <c r="C991" t="s">
        <v>6164</v>
      </c>
      <c r="D991" t="s">
        <v>6165</v>
      </c>
      <c r="E991" t="s">
        <v>6166</v>
      </c>
      <c r="F991" t="s">
        <v>7333</v>
      </c>
      <c r="G991">
        <v>0</v>
      </c>
      <c r="H991">
        <v>0</v>
      </c>
      <c r="I991" t="s">
        <v>6168</v>
      </c>
      <c r="J991" t="s">
        <v>6169</v>
      </c>
      <c r="K991" t="s">
        <v>7334</v>
      </c>
      <c r="L991" t="s">
        <v>7335</v>
      </c>
      <c r="M991" t="s">
        <v>645</v>
      </c>
      <c r="N991" t="s">
        <v>398</v>
      </c>
      <c r="O991" t="s">
        <v>582</v>
      </c>
      <c r="P991">
        <v>3067</v>
      </c>
    </row>
    <row r="992" spans="1:17" x14ac:dyDescent="0.3">
      <c r="A992" t="s">
        <v>7336</v>
      </c>
      <c r="B992" t="s">
        <v>3537</v>
      </c>
      <c r="C992" t="s">
        <v>7337</v>
      </c>
      <c r="D992" t="s">
        <v>7338</v>
      </c>
      <c r="E992" t="s">
        <v>7339</v>
      </c>
      <c r="F992" t="s">
        <v>7340</v>
      </c>
      <c r="G992">
        <v>0</v>
      </c>
      <c r="H992">
        <v>0</v>
      </c>
      <c r="I992" t="s">
        <v>7341</v>
      </c>
      <c r="J992" t="s">
        <v>7342</v>
      </c>
      <c r="K992" t="s">
        <v>7343</v>
      </c>
      <c r="L992">
        <v>1234</v>
      </c>
      <c r="M992" t="s">
        <v>645</v>
      </c>
      <c r="N992" t="s">
        <v>398</v>
      </c>
      <c r="O992" t="s">
        <v>2435</v>
      </c>
      <c r="P992">
        <v>2722</v>
      </c>
    </row>
    <row r="993" spans="1:17" x14ac:dyDescent="0.3">
      <c r="A993" t="s">
        <v>7344</v>
      </c>
      <c r="B993" t="s">
        <v>4976</v>
      </c>
      <c r="C993" t="s">
        <v>7345</v>
      </c>
      <c r="D993" t="s">
        <v>7346</v>
      </c>
      <c r="E993" t="s">
        <v>2674</v>
      </c>
      <c r="F993" t="s">
        <v>7347</v>
      </c>
      <c r="G993">
        <v>0</v>
      </c>
      <c r="H993">
        <v>0</v>
      </c>
      <c r="I993" t="s">
        <v>7348</v>
      </c>
      <c r="J993">
        <v>9102894424</v>
      </c>
      <c r="K993" t="s">
        <v>7349</v>
      </c>
      <c r="L993">
        <v>1234</v>
      </c>
      <c r="M993" t="s">
        <v>645</v>
      </c>
      <c r="N993" t="s">
        <v>7350</v>
      </c>
      <c r="O993" t="s">
        <v>370</v>
      </c>
      <c r="P993">
        <v>3077</v>
      </c>
    </row>
    <row r="994" spans="1:17" x14ac:dyDescent="0.3">
      <c r="A994" t="s">
        <v>7351</v>
      </c>
      <c r="B994" t="s">
        <v>1051</v>
      </c>
      <c r="C994" t="s">
        <v>7352</v>
      </c>
      <c r="E994" t="s">
        <v>3932</v>
      </c>
      <c r="F994" t="s">
        <v>7353</v>
      </c>
      <c r="I994" t="s">
        <v>7354</v>
      </c>
      <c r="J994" t="s">
        <v>7355</v>
      </c>
      <c r="K994" t="s">
        <v>7356</v>
      </c>
      <c r="L994">
        <v>1234</v>
      </c>
      <c r="M994" t="s">
        <v>645</v>
      </c>
      <c r="N994" t="s">
        <v>336</v>
      </c>
      <c r="O994" t="s">
        <v>515</v>
      </c>
      <c r="P994">
        <v>3074</v>
      </c>
    </row>
    <row r="995" spans="1:17" x14ac:dyDescent="0.3">
      <c r="A995" t="s">
        <v>7357</v>
      </c>
      <c r="B995" t="s">
        <v>7358</v>
      </c>
      <c r="C995" t="s">
        <v>7359</v>
      </c>
      <c r="D995" t="s">
        <v>4455</v>
      </c>
      <c r="E995" t="s">
        <v>5139</v>
      </c>
      <c r="F995" t="s">
        <v>7360</v>
      </c>
      <c r="G995">
        <v>0</v>
      </c>
      <c r="H995">
        <v>0</v>
      </c>
      <c r="I995" t="s">
        <v>7361</v>
      </c>
      <c r="J995" t="s">
        <v>7362</v>
      </c>
      <c r="K995" t="s">
        <v>7363</v>
      </c>
      <c r="L995" t="s">
        <v>7364</v>
      </c>
      <c r="M995" t="s">
        <v>645</v>
      </c>
      <c r="N995" t="s">
        <v>398</v>
      </c>
      <c r="O995" t="s">
        <v>685</v>
      </c>
      <c r="P995">
        <v>3078</v>
      </c>
    </row>
    <row r="996" spans="1:17" x14ac:dyDescent="0.3">
      <c r="A996" t="s">
        <v>7357</v>
      </c>
      <c r="B996" t="s">
        <v>7358</v>
      </c>
      <c r="C996" t="s">
        <v>7359</v>
      </c>
      <c r="D996" t="s">
        <v>4455</v>
      </c>
      <c r="E996" t="s">
        <v>5139</v>
      </c>
      <c r="F996" t="s">
        <v>7360</v>
      </c>
      <c r="G996">
        <v>0</v>
      </c>
      <c r="H996">
        <v>0</v>
      </c>
      <c r="I996" t="s">
        <v>7361</v>
      </c>
      <c r="J996" t="s">
        <v>7362</v>
      </c>
      <c r="K996" t="s">
        <v>7363</v>
      </c>
      <c r="L996" t="s">
        <v>7364</v>
      </c>
      <c r="M996" t="s">
        <v>645</v>
      </c>
      <c r="N996" t="s">
        <v>398</v>
      </c>
      <c r="O996" t="s">
        <v>685</v>
      </c>
      <c r="P996">
        <v>3078</v>
      </c>
    </row>
    <row r="997" spans="1:17" x14ac:dyDescent="0.3">
      <c r="A997" t="s">
        <v>7365</v>
      </c>
      <c r="B997" t="s">
        <v>7366</v>
      </c>
      <c r="C997" t="s">
        <v>7367</v>
      </c>
      <c r="D997" t="s">
        <v>7368</v>
      </c>
      <c r="E997" t="s">
        <v>833</v>
      </c>
      <c r="F997" t="s">
        <v>7369</v>
      </c>
      <c r="G997">
        <v>0</v>
      </c>
      <c r="H997">
        <v>0</v>
      </c>
      <c r="I997" t="s">
        <v>7370</v>
      </c>
      <c r="J997" t="s">
        <v>7371</v>
      </c>
      <c r="K997" t="s">
        <v>7372</v>
      </c>
      <c r="L997">
        <v>1234</v>
      </c>
      <c r="M997" t="s">
        <v>645</v>
      </c>
      <c r="N997" t="s">
        <v>336</v>
      </c>
      <c r="O997" t="s">
        <v>5134</v>
      </c>
      <c r="P997">
        <v>2904</v>
      </c>
      <c r="Q997" t="s">
        <v>7373</v>
      </c>
    </row>
    <row r="998" spans="1:17" x14ac:dyDescent="0.3">
      <c r="A998" t="s">
        <v>7374</v>
      </c>
      <c r="B998" t="s">
        <v>7375</v>
      </c>
      <c r="C998" t="s">
        <v>7376</v>
      </c>
      <c r="D998" t="s">
        <v>2781</v>
      </c>
      <c r="E998" t="s">
        <v>7377</v>
      </c>
      <c r="F998" t="s">
        <v>7378</v>
      </c>
      <c r="G998">
        <v>0</v>
      </c>
      <c r="H998">
        <v>0</v>
      </c>
      <c r="I998" t="s">
        <v>7379</v>
      </c>
      <c r="J998" t="s">
        <v>7380</v>
      </c>
      <c r="K998" t="s">
        <v>7381</v>
      </c>
      <c r="L998">
        <v>1234</v>
      </c>
      <c r="M998" t="s">
        <v>645</v>
      </c>
      <c r="N998" t="s">
        <v>398</v>
      </c>
      <c r="O998" t="s">
        <v>853</v>
      </c>
      <c r="P998">
        <v>2567</v>
      </c>
    </row>
    <row r="999" spans="1:17" x14ac:dyDescent="0.3">
      <c r="A999" t="s">
        <v>7382</v>
      </c>
      <c r="B999" t="s">
        <v>7383</v>
      </c>
      <c r="C999" t="s">
        <v>7384</v>
      </c>
      <c r="D999" t="s">
        <v>2993</v>
      </c>
      <c r="E999" t="s">
        <v>3153</v>
      </c>
      <c r="F999" t="s">
        <v>7385</v>
      </c>
      <c r="I999" t="s">
        <v>7386</v>
      </c>
      <c r="J999" t="s">
        <v>7387</v>
      </c>
      <c r="K999" t="s">
        <v>7388</v>
      </c>
      <c r="L999" t="s">
        <v>7389</v>
      </c>
      <c r="M999" t="s">
        <v>645</v>
      </c>
      <c r="N999" t="s">
        <v>398</v>
      </c>
      <c r="O999" t="s">
        <v>853</v>
      </c>
      <c r="P999">
        <v>3084</v>
      </c>
    </row>
    <row r="1000" spans="1:17" x14ac:dyDescent="0.3">
      <c r="A1000" t="s">
        <v>7390</v>
      </c>
      <c r="B1000" t="s">
        <v>7391</v>
      </c>
      <c r="C1000" t="s">
        <v>2920</v>
      </c>
      <c r="D1000" t="s">
        <v>362</v>
      </c>
      <c r="E1000" t="s">
        <v>477</v>
      </c>
      <c r="F1000" t="s">
        <v>7392</v>
      </c>
      <c r="G1000">
        <v>0</v>
      </c>
      <c r="H1000">
        <v>0</v>
      </c>
      <c r="I1000" t="s">
        <v>7393</v>
      </c>
      <c r="J1000" t="s">
        <v>7394</v>
      </c>
      <c r="K1000" t="s">
        <v>7395</v>
      </c>
      <c r="L1000">
        <v>1234</v>
      </c>
      <c r="M1000" t="s">
        <v>645</v>
      </c>
      <c r="N1000" t="s">
        <v>871</v>
      </c>
      <c r="O1000" t="s">
        <v>458</v>
      </c>
      <c r="P1000">
        <v>3098</v>
      </c>
    </row>
    <row r="1001" spans="1:17" x14ac:dyDescent="0.3">
      <c r="A1001" t="s">
        <v>7396</v>
      </c>
      <c r="B1001" t="s">
        <v>7397</v>
      </c>
      <c r="C1001" t="s">
        <v>7398</v>
      </c>
      <c r="D1001" t="s">
        <v>7399</v>
      </c>
      <c r="E1001" t="s">
        <v>329</v>
      </c>
      <c r="F1001" t="s">
        <v>7400</v>
      </c>
      <c r="I1001" t="s">
        <v>7401</v>
      </c>
      <c r="J1001" t="s">
        <v>7402</v>
      </c>
      <c r="K1001" t="s">
        <v>7403</v>
      </c>
      <c r="L1001" t="s">
        <v>7404</v>
      </c>
      <c r="M1001" t="s">
        <v>645</v>
      </c>
      <c r="N1001" t="s">
        <v>16</v>
      </c>
      <c r="O1001" t="s">
        <v>292</v>
      </c>
      <c r="P1001">
        <v>3093</v>
      </c>
      <c r="Q1001" t="s">
        <v>7405</v>
      </c>
    </row>
    <row r="1002" spans="1:17" x14ac:dyDescent="0.3">
      <c r="A1002" t="s">
        <v>7406</v>
      </c>
      <c r="B1002" t="s">
        <v>586</v>
      </c>
      <c r="C1002" t="s">
        <v>6027</v>
      </c>
      <c r="D1002" t="s">
        <v>539</v>
      </c>
      <c r="E1002" t="s">
        <v>7407</v>
      </c>
      <c r="F1002" t="s">
        <v>7408</v>
      </c>
      <c r="G1002">
        <v>15.1760271831737</v>
      </c>
      <c r="H1002">
        <v>120.573234558105</v>
      </c>
      <c r="I1002" t="s">
        <v>7409</v>
      </c>
      <c r="J1002">
        <v>9125455592</v>
      </c>
      <c r="K1002" t="s">
        <v>7410</v>
      </c>
      <c r="L1002" t="s">
        <v>7411</v>
      </c>
      <c r="M1002" t="s">
        <v>645</v>
      </c>
      <c r="N1002" t="s">
        <v>336</v>
      </c>
      <c r="O1002" t="s">
        <v>441</v>
      </c>
      <c r="P1002">
        <v>3045</v>
      </c>
      <c r="Q1002" t="s">
        <v>7412</v>
      </c>
    </row>
    <row r="1003" spans="1:17" x14ac:dyDescent="0.3">
      <c r="A1003" t="s">
        <v>7413</v>
      </c>
      <c r="B1003" t="s">
        <v>5719</v>
      </c>
      <c r="C1003" t="s">
        <v>7414</v>
      </c>
      <c r="D1003" t="s">
        <v>5721</v>
      </c>
      <c r="E1003" t="s">
        <v>329</v>
      </c>
      <c r="F1003" t="s">
        <v>7415</v>
      </c>
      <c r="I1003" t="s">
        <v>7416</v>
      </c>
      <c r="J1003" t="s">
        <v>7417</v>
      </c>
      <c r="K1003" t="s">
        <v>7418</v>
      </c>
      <c r="L1003">
        <v>1234</v>
      </c>
      <c r="M1003" t="s">
        <v>645</v>
      </c>
      <c r="N1003" t="s">
        <v>336</v>
      </c>
      <c r="O1003" t="s">
        <v>5134</v>
      </c>
      <c r="P1003">
        <v>3096</v>
      </c>
    </row>
    <row r="1004" spans="1:17" x14ac:dyDescent="0.3">
      <c r="A1004" t="s">
        <v>7419</v>
      </c>
      <c r="B1004" t="s">
        <v>4331</v>
      </c>
      <c r="C1004" t="s">
        <v>4009</v>
      </c>
      <c r="D1004" t="s">
        <v>7420</v>
      </c>
      <c r="E1004" t="s">
        <v>3990</v>
      </c>
      <c r="F1004" t="s">
        <v>5688</v>
      </c>
      <c r="G1004">
        <v>0</v>
      </c>
      <c r="H1004">
        <v>0</v>
      </c>
      <c r="I1004" t="s">
        <v>7421</v>
      </c>
      <c r="J1004">
        <v>9171938816</v>
      </c>
      <c r="K1004" t="s">
        <v>7422</v>
      </c>
      <c r="L1004" t="s">
        <v>7423</v>
      </c>
      <c r="M1004" t="s">
        <v>645</v>
      </c>
      <c r="N1004" t="s">
        <v>369</v>
      </c>
      <c r="O1004" t="s">
        <v>370</v>
      </c>
      <c r="P1004">
        <v>3091</v>
      </c>
    </row>
    <row r="1005" spans="1:17" x14ac:dyDescent="0.3">
      <c r="A1005" t="s">
        <v>7424</v>
      </c>
      <c r="B1005" t="s">
        <v>1976</v>
      </c>
      <c r="C1005" t="s">
        <v>7425</v>
      </c>
      <c r="D1005" t="s">
        <v>328</v>
      </c>
      <c r="E1005" t="s">
        <v>1470</v>
      </c>
      <c r="F1005" t="s">
        <v>7426</v>
      </c>
      <c r="I1005" t="s">
        <v>7427</v>
      </c>
      <c r="J1005" t="s">
        <v>7428</v>
      </c>
      <c r="K1005" t="s">
        <v>7429</v>
      </c>
      <c r="L1005">
        <v>1234</v>
      </c>
      <c r="M1005" t="s">
        <v>645</v>
      </c>
      <c r="N1005" t="s">
        <v>336</v>
      </c>
      <c r="O1005" t="s">
        <v>515</v>
      </c>
      <c r="P1005">
        <v>3057</v>
      </c>
    </row>
    <row r="1006" spans="1:17" x14ac:dyDescent="0.3">
      <c r="A1006" t="s">
        <v>7430</v>
      </c>
      <c r="B1006" t="s">
        <v>1182</v>
      </c>
      <c r="C1006" t="s">
        <v>7431</v>
      </c>
      <c r="D1006" t="s">
        <v>4215</v>
      </c>
      <c r="E1006" t="s">
        <v>1276</v>
      </c>
      <c r="F1006" t="s">
        <v>7432</v>
      </c>
      <c r="G1006">
        <v>0</v>
      </c>
      <c r="H1006">
        <v>0</v>
      </c>
      <c r="I1006" t="s">
        <v>7433</v>
      </c>
      <c r="J1006" t="s">
        <v>7434</v>
      </c>
      <c r="K1006" t="s">
        <v>7435</v>
      </c>
      <c r="L1006" t="s">
        <v>7436</v>
      </c>
      <c r="M1006" t="s">
        <v>645</v>
      </c>
      <c r="N1006" t="s">
        <v>398</v>
      </c>
      <c r="O1006" t="s">
        <v>685</v>
      </c>
      <c r="P1006">
        <v>3109</v>
      </c>
    </row>
    <row r="1007" spans="1:17" x14ac:dyDescent="0.3">
      <c r="A1007" t="s">
        <v>7437</v>
      </c>
      <c r="F1007" t="s">
        <v>7438</v>
      </c>
      <c r="K1007" t="s">
        <v>7439</v>
      </c>
      <c r="L1007">
        <v>1234</v>
      </c>
      <c r="M1007" t="s">
        <v>645</v>
      </c>
      <c r="N1007" t="s">
        <v>398</v>
      </c>
      <c r="O1007" t="s">
        <v>1104</v>
      </c>
      <c r="P1007">
        <v>2964</v>
      </c>
    </row>
    <row r="1008" spans="1:17" x14ac:dyDescent="0.3">
      <c r="A1008" t="s">
        <v>7440</v>
      </c>
      <c r="F1008" t="s">
        <v>7438</v>
      </c>
      <c r="K1008" t="s">
        <v>7441</v>
      </c>
      <c r="L1008">
        <v>1234</v>
      </c>
      <c r="M1008" t="s">
        <v>645</v>
      </c>
      <c r="N1008" t="s">
        <v>336</v>
      </c>
      <c r="O1008" t="s">
        <v>441</v>
      </c>
      <c r="P1008">
        <v>2965</v>
      </c>
    </row>
    <row r="1009" spans="1:17" x14ac:dyDescent="0.3">
      <c r="A1009" t="s">
        <v>7442</v>
      </c>
      <c r="F1009" t="s">
        <v>7443</v>
      </c>
      <c r="K1009" t="s">
        <v>7444</v>
      </c>
      <c r="L1009">
        <v>1234</v>
      </c>
      <c r="M1009" t="s">
        <v>645</v>
      </c>
      <c r="N1009" t="s">
        <v>398</v>
      </c>
      <c r="O1009" t="s">
        <v>582</v>
      </c>
      <c r="P1009">
        <v>2967</v>
      </c>
    </row>
    <row r="1010" spans="1:17" x14ac:dyDescent="0.3">
      <c r="A1010" t="s">
        <v>7445</v>
      </c>
      <c r="F1010" t="s">
        <v>7446</v>
      </c>
      <c r="K1010" t="s">
        <v>7447</v>
      </c>
      <c r="L1010">
        <v>1234</v>
      </c>
      <c r="M1010" t="s">
        <v>645</v>
      </c>
      <c r="N1010" t="s">
        <v>398</v>
      </c>
      <c r="O1010" t="s">
        <v>582</v>
      </c>
      <c r="P1010">
        <v>2966</v>
      </c>
    </row>
    <row r="1011" spans="1:17" x14ac:dyDescent="0.3">
      <c r="A1011" t="s">
        <v>7448</v>
      </c>
      <c r="B1011" t="s">
        <v>1182</v>
      </c>
      <c r="C1011" t="s">
        <v>7289</v>
      </c>
      <c r="D1011" t="s">
        <v>5537</v>
      </c>
      <c r="E1011" t="s">
        <v>7290</v>
      </c>
      <c r="F1011" t="s">
        <v>7449</v>
      </c>
      <c r="G1011">
        <v>0</v>
      </c>
      <c r="H1011">
        <v>0</v>
      </c>
      <c r="I1011" t="s">
        <v>7292</v>
      </c>
      <c r="J1011">
        <v>9095748534</v>
      </c>
      <c r="K1011" t="s">
        <v>7450</v>
      </c>
      <c r="L1011" t="s">
        <v>7451</v>
      </c>
      <c r="M1011" t="s">
        <v>645</v>
      </c>
      <c r="N1011" t="s">
        <v>336</v>
      </c>
      <c r="O1011" t="s">
        <v>441</v>
      </c>
      <c r="P1011">
        <v>3104</v>
      </c>
    </row>
    <row r="1012" spans="1:17" x14ac:dyDescent="0.3">
      <c r="A1012" t="s">
        <v>7452</v>
      </c>
      <c r="B1012" t="s">
        <v>3317</v>
      </c>
      <c r="C1012" t="s">
        <v>7453</v>
      </c>
      <c r="D1012" t="s">
        <v>7454</v>
      </c>
      <c r="E1012" t="s">
        <v>7455</v>
      </c>
      <c r="F1012" t="s">
        <v>7449</v>
      </c>
      <c r="G1012">
        <v>0</v>
      </c>
      <c r="H1012">
        <v>0</v>
      </c>
      <c r="I1012" t="s">
        <v>7456</v>
      </c>
      <c r="J1012">
        <v>9175267819</v>
      </c>
      <c r="K1012" t="s">
        <v>7457</v>
      </c>
      <c r="L1012" t="s">
        <v>7458</v>
      </c>
      <c r="M1012" t="s">
        <v>645</v>
      </c>
      <c r="N1012" t="s">
        <v>336</v>
      </c>
      <c r="O1012" t="s">
        <v>515</v>
      </c>
      <c r="P1012">
        <v>3103</v>
      </c>
    </row>
    <row r="1013" spans="1:17" x14ac:dyDescent="0.3">
      <c r="A1013" t="s">
        <v>7459</v>
      </c>
      <c r="F1013" t="s">
        <v>7460</v>
      </c>
      <c r="K1013" t="s">
        <v>7461</v>
      </c>
      <c r="L1013">
        <v>1234</v>
      </c>
      <c r="M1013" t="s">
        <v>645</v>
      </c>
      <c r="N1013" t="s">
        <v>336</v>
      </c>
      <c r="O1013" t="s">
        <v>337</v>
      </c>
      <c r="P1013">
        <v>3087</v>
      </c>
    </row>
    <row r="1014" spans="1:17" x14ac:dyDescent="0.3">
      <c r="A1014" t="s">
        <v>7462</v>
      </c>
      <c r="B1014" t="s">
        <v>7463</v>
      </c>
      <c r="C1014" t="s">
        <v>7464</v>
      </c>
      <c r="D1014" t="s">
        <v>2087</v>
      </c>
      <c r="E1014" t="s">
        <v>7465</v>
      </c>
      <c r="F1014" t="s">
        <v>7466</v>
      </c>
      <c r="G1014">
        <v>0</v>
      </c>
      <c r="H1014">
        <v>0</v>
      </c>
      <c r="I1014" t="s">
        <v>7467</v>
      </c>
      <c r="J1014" t="s">
        <v>7468</v>
      </c>
      <c r="K1014" t="s">
        <v>7469</v>
      </c>
      <c r="L1014">
        <v>1234</v>
      </c>
      <c r="M1014" t="s">
        <v>645</v>
      </c>
      <c r="N1014" t="s">
        <v>16</v>
      </c>
      <c r="O1014" t="s">
        <v>421</v>
      </c>
      <c r="P1014">
        <v>3102</v>
      </c>
    </row>
    <row r="1015" spans="1:17" x14ac:dyDescent="0.3">
      <c r="A1015" t="s">
        <v>7470</v>
      </c>
      <c r="B1015" t="s">
        <v>2329</v>
      </c>
      <c r="C1015" t="s">
        <v>2285</v>
      </c>
      <c r="D1015" t="s">
        <v>7471</v>
      </c>
      <c r="E1015" t="s">
        <v>7472</v>
      </c>
      <c r="F1015" t="s">
        <v>7473</v>
      </c>
      <c r="G1015">
        <v>0</v>
      </c>
      <c r="H1015">
        <v>0</v>
      </c>
      <c r="I1015" t="s">
        <v>7474</v>
      </c>
      <c r="J1015">
        <v>9281415147</v>
      </c>
      <c r="K1015" t="s">
        <v>7475</v>
      </c>
      <c r="L1015">
        <v>1234</v>
      </c>
      <c r="M1015" t="s">
        <v>645</v>
      </c>
      <c r="N1015" t="s">
        <v>336</v>
      </c>
      <c r="O1015" t="s">
        <v>515</v>
      </c>
      <c r="P1015">
        <v>3107</v>
      </c>
    </row>
    <row r="1016" spans="1:17" x14ac:dyDescent="0.3">
      <c r="A1016" t="s">
        <v>7470</v>
      </c>
      <c r="B1016" t="s">
        <v>2329</v>
      </c>
      <c r="C1016" t="s">
        <v>2285</v>
      </c>
      <c r="D1016" t="s">
        <v>7471</v>
      </c>
      <c r="E1016" t="s">
        <v>7472</v>
      </c>
      <c r="F1016" t="s">
        <v>7473</v>
      </c>
      <c r="G1016">
        <v>0</v>
      </c>
      <c r="H1016">
        <v>0</v>
      </c>
      <c r="I1016" t="s">
        <v>7474</v>
      </c>
      <c r="J1016">
        <v>9281415147</v>
      </c>
      <c r="K1016" t="s">
        <v>7475</v>
      </c>
      <c r="L1016">
        <v>1234</v>
      </c>
      <c r="M1016" t="s">
        <v>645</v>
      </c>
      <c r="N1016" t="s">
        <v>336</v>
      </c>
      <c r="O1016" t="s">
        <v>515</v>
      </c>
      <c r="P1016">
        <v>3107</v>
      </c>
    </row>
    <row r="1017" spans="1:17" x14ac:dyDescent="0.3">
      <c r="A1017" t="s">
        <v>7476</v>
      </c>
      <c r="B1017" t="s">
        <v>7477</v>
      </c>
      <c r="C1017" t="s">
        <v>7478</v>
      </c>
      <c r="D1017" t="s">
        <v>7479</v>
      </c>
      <c r="E1017" t="s">
        <v>7290</v>
      </c>
      <c r="F1017" t="s">
        <v>7480</v>
      </c>
      <c r="G1017">
        <v>0</v>
      </c>
      <c r="H1017">
        <v>0</v>
      </c>
      <c r="I1017" t="s">
        <v>7481</v>
      </c>
      <c r="J1017" t="s">
        <v>7482</v>
      </c>
      <c r="K1017" t="s">
        <v>7483</v>
      </c>
      <c r="L1017">
        <v>1234</v>
      </c>
      <c r="M1017" t="s">
        <v>645</v>
      </c>
      <c r="N1017" t="s">
        <v>336</v>
      </c>
      <c r="O1017" t="s">
        <v>515</v>
      </c>
      <c r="P1017">
        <v>3117</v>
      </c>
    </row>
    <row r="1018" spans="1:17" x14ac:dyDescent="0.3">
      <c r="A1018" t="s">
        <v>7484</v>
      </c>
      <c r="B1018" t="s">
        <v>7485</v>
      </c>
      <c r="C1018" t="s">
        <v>7486</v>
      </c>
      <c r="D1018" t="s">
        <v>7487</v>
      </c>
      <c r="E1018" t="s">
        <v>89</v>
      </c>
      <c r="F1018" t="s">
        <v>7488</v>
      </c>
      <c r="G1018">
        <v>0</v>
      </c>
      <c r="H1018">
        <v>0</v>
      </c>
      <c r="I1018" t="s">
        <v>7489</v>
      </c>
      <c r="J1018" t="s">
        <v>7490</v>
      </c>
      <c r="K1018" t="s">
        <v>7491</v>
      </c>
      <c r="L1018">
        <v>1234</v>
      </c>
      <c r="M1018" t="s">
        <v>645</v>
      </c>
      <c r="N1018" t="s">
        <v>336</v>
      </c>
      <c r="O1018" t="s">
        <v>515</v>
      </c>
      <c r="P1018">
        <v>3085</v>
      </c>
    </row>
    <row r="1019" spans="1:17" x14ac:dyDescent="0.3">
      <c r="A1019" t="s">
        <v>7492</v>
      </c>
      <c r="B1019" t="s">
        <v>7493</v>
      </c>
      <c r="C1019" t="s">
        <v>7494</v>
      </c>
      <c r="D1019" t="s">
        <v>687</v>
      </c>
      <c r="E1019" t="s">
        <v>2693</v>
      </c>
      <c r="F1019" t="s">
        <v>7495</v>
      </c>
      <c r="G1019">
        <v>0</v>
      </c>
      <c r="H1019">
        <v>0</v>
      </c>
      <c r="I1019" t="s">
        <v>7496</v>
      </c>
      <c r="J1019" t="s">
        <v>7497</v>
      </c>
      <c r="K1019" t="s">
        <v>7498</v>
      </c>
      <c r="L1019">
        <v>1234</v>
      </c>
      <c r="M1019" t="s">
        <v>645</v>
      </c>
      <c r="N1019" t="s">
        <v>763</v>
      </c>
      <c r="O1019" t="s">
        <v>1224</v>
      </c>
      <c r="P1019">
        <v>3095</v>
      </c>
    </row>
    <row r="1020" spans="1:17" x14ac:dyDescent="0.3">
      <c r="A1020" t="s">
        <v>7492</v>
      </c>
      <c r="B1020" t="s">
        <v>7493</v>
      </c>
      <c r="C1020" t="s">
        <v>7494</v>
      </c>
      <c r="D1020" t="s">
        <v>687</v>
      </c>
      <c r="E1020" t="s">
        <v>2693</v>
      </c>
      <c r="F1020" t="s">
        <v>7495</v>
      </c>
      <c r="G1020">
        <v>0</v>
      </c>
      <c r="H1020">
        <v>0</v>
      </c>
      <c r="I1020" t="s">
        <v>7496</v>
      </c>
      <c r="J1020" t="s">
        <v>7497</v>
      </c>
      <c r="K1020" t="s">
        <v>7498</v>
      </c>
      <c r="L1020">
        <v>1234</v>
      </c>
      <c r="M1020" t="s">
        <v>645</v>
      </c>
      <c r="N1020" t="s">
        <v>763</v>
      </c>
      <c r="O1020" t="s">
        <v>1224</v>
      </c>
      <c r="P1020">
        <v>3095</v>
      </c>
    </row>
    <row r="1021" spans="1:17" x14ac:dyDescent="0.3">
      <c r="A1021" t="s">
        <v>7499</v>
      </c>
      <c r="B1021" t="s">
        <v>1772</v>
      </c>
      <c r="C1021" t="s">
        <v>7500</v>
      </c>
      <c r="D1021" t="s">
        <v>236</v>
      </c>
      <c r="E1021" t="s">
        <v>329</v>
      </c>
      <c r="F1021" t="s">
        <v>7501</v>
      </c>
      <c r="G1021">
        <v>0</v>
      </c>
      <c r="H1021">
        <v>0</v>
      </c>
      <c r="I1021" t="s">
        <v>7502</v>
      </c>
      <c r="J1021">
        <v>9433549377</v>
      </c>
      <c r="K1021" t="s">
        <v>7503</v>
      </c>
      <c r="L1021">
        <v>1234</v>
      </c>
      <c r="M1021" t="s">
        <v>645</v>
      </c>
      <c r="N1021" t="s">
        <v>336</v>
      </c>
      <c r="O1021" t="s">
        <v>515</v>
      </c>
      <c r="P1021">
        <v>3116</v>
      </c>
    </row>
    <row r="1022" spans="1:17" x14ac:dyDescent="0.3">
      <c r="A1022" t="s">
        <v>7504</v>
      </c>
      <c r="B1022" t="s">
        <v>7505</v>
      </c>
      <c r="C1022" t="s">
        <v>7506</v>
      </c>
      <c r="D1022" t="s">
        <v>7507</v>
      </c>
      <c r="E1022" t="s">
        <v>7508</v>
      </c>
      <c r="F1022" t="s">
        <v>7509</v>
      </c>
      <c r="G1022">
        <v>0</v>
      </c>
      <c r="H1022">
        <v>0</v>
      </c>
      <c r="I1022" t="s">
        <v>7510</v>
      </c>
      <c r="J1022" t="s">
        <v>7511</v>
      </c>
      <c r="K1022" t="s">
        <v>7512</v>
      </c>
      <c r="L1022">
        <v>1234</v>
      </c>
      <c r="M1022" t="s">
        <v>645</v>
      </c>
      <c r="N1022" t="s">
        <v>763</v>
      </c>
      <c r="O1022" t="s">
        <v>1288</v>
      </c>
      <c r="P1022">
        <v>3127</v>
      </c>
      <c r="Q1022" t="s">
        <v>7513</v>
      </c>
    </row>
    <row r="1023" spans="1:17" x14ac:dyDescent="0.3">
      <c r="A1023" t="s">
        <v>7514</v>
      </c>
      <c r="B1023" t="s">
        <v>7515</v>
      </c>
      <c r="C1023" t="s">
        <v>7516</v>
      </c>
      <c r="D1023" t="s">
        <v>7517</v>
      </c>
      <c r="E1023" t="s">
        <v>7518</v>
      </c>
      <c r="F1023" t="s">
        <v>7519</v>
      </c>
      <c r="G1023">
        <v>0</v>
      </c>
      <c r="H1023">
        <v>0</v>
      </c>
      <c r="I1023" t="s">
        <v>7520</v>
      </c>
      <c r="J1023">
        <v>9651387330</v>
      </c>
      <c r="K1023" t="s">
        <v>7521</v>
      </c>
      <c r="L1023">
        <v>1234</v>
      </c>
      <c r="M1023" t="s">
        <v>645</v>
      </c>
      <c r="N1023" t="s">
        <v>398</v>
      </c>
      <c r="O1023" t="s">
        <v>685</v>
      </c>
      <c r="P1023">
        <v>3099</v>
      </c>
    </row>
    <row r="1024" spans="1:17" x14ac:dyDescent="0.3">
      <c r="A1024" t="s">
        <v>7522</v>
      </c>
      <c r="B1024" t="s">
        <v>7523</v>
      </c>
      <c r="C1024" t="s">
        <v>7524</v>
      </c>
      <c r="D1024" t="s">
        <v>7525</v>
      </c>
      <c r="E1024" t="s">
        <v>77</v>
      </c>
      <c r="F1024" t="s">
        <v>7526</v>
      </c>
      <c r="G1024">
        <v>15.174580000000001</v>
      </c>
      <c r="H1024">
        <v>120.53446</v>
      </c>
      <c r="I1024" t="s">
        <v>7527</v>
      </c>
      <c r="J1024">
        <v>9190806470</v>
      </c>
      <c r="K1024" t="s">
        <v>7528</v>
      </c>
      <c r="L1024">
        <v>1234</v>
      </c>
      <c r="M1024" t="s">
        <v>645</v>
      </c>
      <c r="N1024" t="s">
        <v>369</v>
      </c>
      <c r="O1024" t="s">
        <v>370</v>
      </c>
      <c r="P1024">
        <v>3097</v>
      </c>
      <c r="Q1024" t="s">
        <v>7529</v>
      </c>
    </row>
    <row r="1025" spans="1:17" x14ac:dyDescent="0.3">
      <c r="A1025" t="s">
        <v>7530</v>
      </c>
      <c r="B1025" t="s">
        <v>7531</v>
      </c>
      <c r="C1025" t="s">
        <v>7532</v>
      </c>
      <c r="D1025" t="s">
        <v>5931</v>
      </c>
      <c r="E1025" t="s">
        <v>7533</v>
      </c>
      <c r="F1025" t="s">
        <v>7534</v>
      </c>
      <c r="I1025" t="s">
        <v>7535</v>
      </c>
      <c r="J1025" t="s">
        <v>7536</v>
      </c>
      <c r="K1025" t="s">
        <v>7537</v>
      </c>
      <c r="L1025">
        <v>1234</v>
      </c>
      <c r="M1025" t="s">
        <v>645</v>
      </c>
      <c r="N1025" t="s">
        <v>336</v>
      </c>
      <c r="O1025" t="s">
        <v>515</v>
      </c>
      <c r="P1025">
        <v>3123</v>
      </c>
    </row>
    <row r="1026" spans="1:17" x14ac:dyDescent="0.3">
      <c r="A1026" t="s">
        <v>7538</v>
      </c>
      <c r="B1026" t="s">
        <v>7539</v>
      </c>
      <c r="C1026" t="s">
        <v>7540</v>
      </c>
      <c r="D1026" t="s">
        <v>974</v>
      </c>
      <c r="E1026" t="s">
        <v>7541</v>
      </c>
      <c r="F1026" t="s">
        <v>7542</v>
      </c>
      <c r="G1026">
        <v>0</v>
      </c>
      <c r="H1026">
        <v>0</v>
      </c>
      <c r="I1026" t="s">
        <v>7543</v>
      </c>
      <c r="J1026">
        <v>9392118248</v>
      </c>
      <c r="K1026" t="s">
        <v>7544</v>
      </c>
      <c r="L1026">
        <v>2127</v>
      </c>
      <c r="M1026" t="s">
        <v>645</v>
      </c>
      <c r="N1026" t="s">
        <v>398</v>
      </c>
      <c r="O1026" t="s">
        <v>685</v>
      </c>
      <c r="P1026">
        <v>3003</v>
      </c>
    </row>
    <row r="1027" spans="1:17" x14ac:dyDescent="0.3">
      <c r="A1027" t="s">
        <v>7545</v>
      </c>
      <c r="B1027" t="s">
        <v>974</v>
      </c>
      <c r="C1027" t="s">
        <v>7546</v>
      </c>
      <c r="D1027" t="s">
        <v>7547</v>
      </c>
      <c r="E1027" t="s">
        <v>1276</v>
      </c>
      <c r="F1027" t="s">
        <v>7548</v>
      </c>
      <c r="I1027" t="s">
        <v>7549</v>
      </c>
      <c r="J1027" t="s">
        <v>7550</v>
      </c>
      <c r="K1027" t="s">
        <v>7551</v>
      </c>
      <c r="L1027">
        <v>1234</v>
      </c>
      <c r="M1027" t="s">
        <v>645</v>
      </c>
      <c r="N1027" t="s">
        <v>398</v>
      </c>
      <c r="O1027" t="s">
        <v>685</v>
      </c>
      <c r="P1027">
        <v>3106</v>
      </c>
    </row>
    <row r="1028" spans="1:17" x14ac:dyDescent="0.3">
      <c r="A1028" t="s">
        <v>7552</v>
      </c>
      <c r="B1028" t="s">
        <v>3694</v>
      </c>
      <c r="C1028" t="s">
        <v>7553</v>
      </c>
      <c r="D1028" t="s">
        <v>805</v>
      </c>
      <c r="E1028" t="s">
        <v>7020</v>
      </c>
      <c r="F1028" t="s">
        <v>7554</v>
      </c>
      <c r="I1028" t="s">
        <v>7555</v>
      </c>
      <c r="J1028">
        <v>9225607004</v>
      </c>
      <c r="K1028" t="s">
        <v>7556</v>
      </c>
      <c r="L1028" t="s">
        <v>7557</v>
      </c>
      <c r="M1028" t="s">
        <v>645</v>
      </c>
      <c r="N1028" t="s">
        <v>398</v>
      </c>
      <c r="O1028" t="s">
        <v>685</v>
      </c>
      <c r="P1028">
        <v>3135</v>
      </c>
    </row>
    <row r="1029" spans="1:17" x14ac:dyDescent="0.3">
      <c r="A1029" t="s">
        <v>7558</v>
      </c>
      <c r="B1029" t="s">
        <v>7559</v>
      </c>
      <c r="C1029" t="s">
        <v>7560</v>
      </c>
      <c r="D1029" t="s">
        <v>7561</v>
      </c>
      <c r="E1029" t="s">
        <v>7562</v>
      </c>
      <c r="F1029" t="s">
        <v>7563</v>
      </c>
      <c r="G1029">
        <v>0</v>
      </c>
      <c r="H1029">
        <v>0</v>
      </c>
      <c r="I1029" t="s">
        <v>7564</v>
      </c>
      <c r="J1029">
        <v>9461425423</v>
      </c>
      <c r="K1029" t="s">
        <v>7565</v>
      </c>
      <c r="L1029">
        <v>1234</v>
      </c>
      <c r="M1029" t="s">
        <v>645</v>
      </c>
      <c r="N1029" t="s">
        <v>304</v>
      </c>
      <c r="O1029" t="s">
        <v>305</v>
      </c>
      <c r="P1029">
        <v>3134</v>
      </c>
      <c r="Q1029" t="s">
        <v>7566</v>
      </c>
    </row>
    <row r="1030" spans="1:17" x14ac:dyDescent="0.3">
      <c r="A1030" t="s">
        <v>7567</v>
      </c>
      <c r="B1030" t="s">
        <v>7568</v>
      </c>
      <c r="C1030" t="s">
        <v>7569</v>
      </c>
      <c r="D1030" t="s">
        <v>3701</v>
      </c>
      <c r="E1030" t="s">
        <v>833</v>
      </c>
      <c r="F1030" t="s">
        <v>7570</v>
      </c>
      <c r="G1030">
        <v>0</v>
      </c>
      <c r="H1030">
        <v>0</v>
      </c>
      <c r="I1030" t="s">
        <v>7571</v>
      </c>
      <c r="J1030" t="s">
        <v>7572</v>
      </c>
      <c r="K1030" t="s">
        <v>7573</v>
      </c>
      <c r="L1030">
        <v>1234</v>
      </c>
      <c r="M1030" t="s">
        <v>645</v>
      </c>
      <c r="N1030" t="s">
        <v>304</v>
      </c>
      <c r="O1030" t="s">
        <v>7574</v>
      </c>
      <c r="P1030">
        <v>2872</v>
      </c>
    </row>
    <row r="1031" spans="1:17" x14ac:dyDescent="0.3">
      <c r="A1031" t="s">
        <v>7575</v>
      </c>
      <c r="B1031" t="s">
        <v>7576</v>
      </c>
      <c r="C1031" t="s">
        <v>7577</v>
      </c>
      <c r="D1031" t="s">
        <v>7578</v>
      </c>
      <c r="E1031" t="s">
        <v>7579</v>
      </c>
      <c r="F1031" t="s">
        <v>7580</v>
      </c>
      <c r="I1031" t="s">
        <v>7581</v>
      </c>
      <c r="J1031" t="s">
        <v>7582</v>
      </c>
      <c r="K1031" t="s">
        <v>7583</v>
      </c>
      <c r="L1031">
        <v>1234</v>
      </c>
      <c r="M1031" t="s">
        <v>645</v>
      </c>
      <c r="N1031" t="s">
        <v>398</v>
      </c>
      <c r="O1031" t="s">
        <v>853</v>
      </c>
      <c r="P1031">
        <v>3139</v>
      </c>
    </row>
    <row r="1032" spans="1:17" x14ac:dyDescent="0.3">
      <c r="A1032" t="s">
        <v>7584</v>
      </c>
      <c r="B1032" t="s">
        <v>7576</v>
      </c>
      <c r="C1032" t="s">
        <v>7585</v>
      </c>
      <c r="D1032" t="s">
        <v>7578</v>
      </c>
      <c r="E1032" t="s">
        <v>7579</v>
      </c>
      <c r="F1032" t="s">
        <v>7580</v>
      </c>
      <c r="I1032" t="s">
        <v>7581</v>
      </c>
      <c r="J1032" t="s">
        <v>7582</v>
      </c>
      <c r="K1032" t="s">
        <v>7586</v>
      </c>
      <c r="L1032">
        <v>1234</v>
      </c>
      <c r="M1032" t="s">
        <v>645</v>
      </c>
      <c r="N1032" t="s">
        <v>398</v>
      </c>
      <c r="O1032" t="s">
        <v>685</v>
      </c>
      <c r="P1032">
        <v>2999</v>
      </c>
    </row>
    <row r="1033" spans="1:17" x14ac:dyDescent="0.3">
      <c r="A1033" t="s">
        <v>7587</v>
      </c>
      <c r="B1033" t="s">
        <v>6320</v>
      </c>
      <c r="C1033" t="s">
        <v>4261</v>
      </c>
      <c r="D1033" t="s">
        <v>7588</v>
      </c>
      <c r="E1033" t="s">
        <v>1276</v>
      </c>
      <c r="F1033" t="s">
        <v>7589</v>
      </c>
      <c r="I1033" t="s">
        <v>7590</v>
      </c>
      <c r="J1033" t="s">
        <v>7591</v>
      </c>
      <c r="K1033" t="s">
        <v>7592</v>
      </c>
      <c r="L1033">
        <v>1234</v>
      </c>
      <c r="M1033" t="s">
        <v>645</v>
      </c>
      <c r="N1033" t="s">
        <v>398</v>
      </c>
      <c r="O1033" t="s">
        <v>2435</v>
      </c>
      <c r="P1033">
        <v>3124</v>
      </c>
    </row>
    <row r="1034" spans="1:17" x14ac:dyDescent="0.3">
      <c r="A1034" t="s">
        <v>7593</v>
      </c>
      <c r="B1034" t="s">
        <v>7594</v>
      </c>
      <c r="C1034" t="s">
        <v>7595</v>
      </c>
      <c r="D1034" t="s">
        <v>7596</v>
      </c>
      <c r="E1034" t="s">
        <v>2994</v>
      </c>
      <c r="F1034" t="s">
        <v>7597</v>
      </c>
      <c r="I1034" t="s">
        <v>7598</v>
      </c>
      <c r="J1034" t="s">
        <v>7599</v>
      </c>
      <c r="K1034" t="s">
        <v>7600</v>
      </c>
      <c r="L1034">
        <v>1234</v>
      </c>
      <c r="M1034" t="s">
        <v>645</v>
      </c>
      <c r="N1034" t="s">
        <v>398</v>
      </c>
      <c r="O1034" t="s">
        <v>582</v>
      </c>
      <c r="P1034">
        <v>3136</v>
      </c>
    </row>
    <row r="1035" spans="1:17" x14ac:dyDescent="0.3">
      <c r="A1035" t="s">
        <v>7601</v>
      </c>
      <c r="B1035" t="s">
        <v>7602</v>
      </c>
      <c r="C1035" t="s">
        <v>7603</v>
      </c>
      <c r="D1035" t="s">
        <v>703</v>
      </c>
      <c r="E1035" t="s">
        <v>7604</v>
      </c>
      <c r="F1035" t="s">
        <v>7605</v>
      </c>
      <c r="G1035">
        <v>0</v>
      </c>
      <c r="H1035">
        <v>0</v>
      </c>
      <c r="I1035" t="s">
        <v>7606</v>
      </c>
      <c r="J1035">
        <v>454998088</v>
      </c>
      <c r="K1035" t="s">
        <v>7607</v>
      </c>
      <c r="L1035">
        <v>1234</v>
      </c>
      <c r="M1035" t="s">
        <v>645</v>
      </c>
      <c r="N1035" t="s">
        <v>369</v>
      </c>
      <c r="O1035" t="s">
        <v>370</v>
      </c>
      <c r="P1035">
        <v>3090</v>
      </c>
    </row>
    <row r="1036" spans="1:17" x14ac:dyDescent="0.3">
      <c r="A1036" t="s">
        <v>7608</v>
      </c>
      <c r="B1036" t="s">
        <v>7609</v>
      </c>
      <c r="C1036" t="s">
        <v>7610</v>
      </c>
      <c r="D1036" t="s">
        <v>5741</v>
      </c>
      <c r="E1036" t="s">
        <v>3723</v>
      </c>
      <c r="F1036" t="s">
        <v>7611</v>
      </c>
      <c r="I1036" t="s">
        <v>7612</v>
      </c>
      <c r="J1036" t="s">
        <v>7613</v>
      </c>
      <c r="K1036" t="s">
        <v>7614</v>
      </c>
      <c r="L1036">
        <v>1234</v>
      </c>
      <c r="M1036" t="s">
        <v>645</v>
      </c>
      <c r="N1036" t="s">
        <v>398</v>
      </c>
      <c r="O1036" t="s">
        <v>2435</v>
      </c>
      <c r="P1036">
        <v>3137</v>
      </c>
    </row>
    <row r="1037" spans="1:17" x14ac:dyDescent="0.3">
      <c r="A1037" t="s">
        <v>7615</v>
      </c>
      <c r="B1037" t="s">
        <v>7616</v>
      </c>
      <c r="C1037" t="s">
        <v>7617</v>
      </c>
      <c r="D1037" t="s">
        <v>5391</v>
      </c>
      <c r="E1037" t="s">
        <v>3723</v>
      </c>
      <c r="F1037" t="s">
        <v>7618</v>
      </c>
      <c r="I1037" t="s">
        <v>7619</v>
      </c>
      <c r="J1037">
        <v>9066405402</v>
      </c>
      <c r="K1037" t="s">
        <v>7620</v>
      </c>
      <c r="L1037">
        <v>1234</v>
      </c>
      <c r="M1037" t="s">
        <v>645</v>
      </c>
      <c r="N1037" t="s">
        <v>398</v>
      </c>
      <c r="O1037" t="s">
        <v>685</v>
      </c>
      <c r="P1037">
        <v>3115</v>
      </c>
    </row>
    <row r="1038" spans="1:17" x14ac:dyDescent="0.3">
      <c r="A1038" t="s">
        <v>7621</v>
      </c>
      <c r="B1038" t="s">
        <v>7622</v>
      </c>
      <c r="C1038" t="s">
        <v>7623</v>
      </c>
      <c r="D1038" t="s">
        <v>7624</v>
      </c>
      <c r="E1038" t="s">
        <v>793</v>
      </c>
      <c r="F1038" t="s">
        <v>7625</v>
      </c>
      <c r="G1038">
        <v>0</v>
      </c>
      <c r="H1038">
        <v>0</v>
      </c>
      <c r="I1038" t="s">
        <v>7626</v>
      </c>
      <c r="J1038" t="s">
        <v>7627</v>
      </c>
      <c r="K1038" t="s">
        <v>7628</v>
      </c>
      <c r="L1038">
        <v>1234</v>
      </c>
      <c r="M1038" t="s">
        <v>645</v>
      </c>
      <c r="N1038" t="s">
        <v>779</v>
      </c>
      <c r="O1038" t="s">
        <v>780</v>
      </c>
      <c r="P1038">
        <v>3146</v>
      </c>
    </row>
    <row r="1039" spans="1:17" x14ac:dyDescent="0.3">
      <c r="A1039" t="s">
        <v>7629</v>
      </c>
      <c r="B1039" t="s">
        <v>7630</v>
      </c>
      <c r="C1039" t="s">
        <v>7631</v>
      </c>
      <c r="D1039" t="s">
        <v>7632</v>
      </c>
      <c r="E1039" t="s">
        <v>5130</v>
      </c>
      <c r="F1039" t="s">
        <v>7633</v>
      </c>
      <c r="G1039">
        <v>0</v>
      </c>
      <c r="H1039">
        <v>0</v>
      </c>
      <c r="I1039" t="s">
        <v>7634</v>
      </c>
      <c r="J1039" t="s">
        <v>7635</v>
      </c>
      <c r="K1039" t="s">
        <v>7636</v>
      </c>
      <c r="L1039" t="s">
        <v>7637</v>
      </c>
      <c r="M1039" t="s">
        <v>645</v>
      </c>
      <c r="N1039" t="s">
        <v>336</v>
      </c>
      <c r="O1039" t="s">
        <v>337</v>
      </c>
      <c r="P1039">
        <v>3132</v>
      </c>
    </row>
    <row r="1040" spans="1:17" x14ac:dyDescent="0.3">
      <c r="A1040" t="s">
        <v>7638</v>
      </c>
      <c r="B1040" t="s">
        <v>7639</v>
      </c>
      <c r="C1040" t="s">
        <v>7640</v>
      </c>
      <c r="D1040" t="s">
        <v>5818</v>
      </c>
      <c r="E1040" t="s">
        <v>7641</v>
      </c>
      <c r="F1040" t="s">
        <v>7642</v>
      </c>
      <c r="G1040">
        <v>0</v>
      </c>
      <c r="H1040">
        <v>0</v>
      </c>
      <c r="I1040" t="s">
        <v>3402</v>
      </c>
      <c r="J1040">
        <v>9212951645</v>
      </c>
      <c r="K1040" t="s">
        <v>7643</v>
      </c>
      <c r="L1040" t="s">
        <v>7644</v>
      </c>
      <c r="M1040" t="s">
        <v>645</v>
      </c>
      <c r="N1040" t="s">
        <v>336</v>
      </c>
      <c r="O1040" t="s">
        <v>337</v>
      </c>
      <c r="P1040">
        <v>2843</v>
      </c>
    </row>
    <row r="1041" spans="1:17" x14ac:dyDescent="0.3">
      <c r="A1041" t="s">
        <v>7645</v>
      </c>
      <c r="F1041" t="s">
        <v>7646</v>
      </c>
      <c r="K1041" t="s">
        <v>7647</v>
      </c>
      <c r="L1041">
        <v>1234</v>
      </c>
      <c r="M1041" t="s">
        <v>645</v>
      </c>
      <c r="N1041" t="s">
        <v>336</v>
      </c>
      <c r="O1041" t="s">
        <v>515</v>
      </c>
      <c r="P1041">
        <v>2716</v>
      </c>
    </row>
    <row r="1042" spans="1:17" x14ac:dyDescent="0.3">
      <c r="A1042" t="s">
        <v>7648</v>
      </c>
      <c r="B1042" t="s">
        <v>7649</v>
      </c>
      <c r="C1042" t="s">
        <v>7650</v>
      </c>
      <c r="D1042" t="s">
        <v>7515</v>
      </c>
      <c r="E1042" t="s">
        <v>1110</v>
      </c>
      <c r="F1042" t="s">
        <v>7651</v>
      </c>
      <c r="G1042">
        <v>0</v>
      </c>
      <c r="H1042">
        <v>0</v>
      </c>
      <c r="I1042" t="s">
        <v>7652</v>
      </c>
      <c r="J1042">
        <v>9988456207</v>
      </c>
      <c r="K1042" t="s">
        <v>7653</v>
      </c>
      <c r="L1042" t="s">
        <v>7654</v>
      </c>
      <c r="M1042" t="s">
        <v>645</v>
      </c>
      <c r="N1042" t="s">
        <v>369</v>
      </c>
      <c r="O1042" t="s">
        <v>370</v>
      </c>
      <c r="P1042">
        <v>3142</v>
      </c>
      <c r="Q1042" t="s">
        <v>7655</v>
      </c>
    </row>
    <row r="1043" spans="1:17" x14ac:dyDescent="0.3">
      <c r="A1043" t="s">
        <v>7656</v>
      </c>
      <c r="B1043" t="s">
        <v>7657</v>
      </c>
      <c r="C1043" t="s">
        <v>7658</v>
      </c>
      <c r="D1043" t="s">
        <v>3611</v>
      </c>
      <c r="E1043" t="s">
        <v>7659</v>
      </c>
      <c r="F1043" t="s">
        <v>7660</v>
      </c>
      <c r="G1043">
        <v>0</v>
      </c>
      <c r="H1043">
        <v>0</v>
      </c>
      <c r="I1043" t="s">
        <v>7661</v>
      </c>
      <c r="J1043">
        <v>9982148888</v>
      </c>
      <c r="K1043" t="s">
        <v>7662</v>
      </c>
      <c r="L1043">
        <v>2006</v>
      </c>
      <c r="M1043" t="s">
        <v>645</v>
      </c>
      <c r="N1043" t="s">
        <v>398</v>
      </c>
      <c r="O1043" t="s">
        <v>1104</v>
      </c>
      <c r="P1043">
        <v>2558</v>
      </c>
    </row>
    <row r="1044" spans="1:17" x14ac:dyDescent="0.3">
      <c r="A1044" t="s">
        <v>7663</v>
      </c>
      <c r="B1044" t="s">
        <v>2087</v>
      </c>
      <c r="C1044" t="s">
        <v>7664</v>
      </c>
      <c r="D1044" t="s">
        <v>3095</v>
      </c>
      <c r="E1044" t="s">
        <v>849</v>
      </c>
      <c r="F1044" t="s">
        <v>7665</v>
      </c>
      <c r="G1044">
        <v>0</v>
      </c>
      <c r="H1044">
        <v>0</v>
      </c>
      <c r="I1044" t="s">
        <v>3451</v>
      </c>
      <c r="J1044">
        <v>9992263209</v>
      </c>
      <c r="K1044" t="s">
        <v>7666</v>
      </c>
      <c r="L1044" t="s">
        <v>3454</v>
      </c>
      <c r="M1044" t="s">
        <v>645</v>
      </c>
      <c r="N1044" t="s">
        <v>369</v>
      </c>
      <c r="O1044" t="s">
        <v>370</v>
      </c>
      <c r="P1044">
        <v>3143</v>
      </c>
    </row>
    <row r="1045" spans="1:17" x14ac:dyDescent="0.3">
      <c r="A1045" t="s">
        <v>7667</v>
      </c>
      <c r="B1045" t="s">
        <v>7668</v>
      </c>
      <c r="C1045" t="s">
        <v>7669</v>
      </c>
      <c r="D1045" t="s">
        <v>1555</v>
      </c>
      <c r="E1045" t="s">
        <v>7670</v>
      </c>
      <c r="F1045" t="s">
        <v>7671</v>
      </c>
      <c r="G1045">
        <v>0</v>
      </c>
      <c r="H1045">
        <v>0</v>
      </c>
      <c r="I1045" t="s">
        <v>7672</v>
      </c>
      <c r="J1045">
        <v>9951080112</v>
      </c>
      <c r="K1045" t="s">
        <v>7673</v>
      </c>
      <c r="L1045">
        <v>246810</v>
      </c>
      <c r="M1045" t="s">
        <v>645</v>
      </c>
      <c r="N1045" t="s">
        <v>779</v>
      </c>
      <c r="O1045" t="s">
        <v>1049</v>
      </c>
      <c r="P1045">
        <v>784</v>
      </c>
    </row>
    <row r="1046" spans="1:17" x14ac:dyDescent="0.3">
      <c r="A1046" t="s">
        <v>7674</v>
      </c>
      <c r="B1046" t="s">
        <v>622</v>
      </c>
      <c r="C1046" t="s">
        <v>3353</v>
      </c>
      <c r="D1046" t="s">
        <v>1907</v>
      </c>
      <c r="E1046" t="s">
        <v>286</v>
      </c>
      <c r="F1046" t="s">
        <v>7675</v>
      </c>
      <c r="G1046">
        <v>3.4332275390568898E-4</v>
      </c>
      <c r="H1046">
        <v>-1.9741058349609301E-3</v>
      </c>
      <c r="I1046" t="s">
        <v>7676</v>
      </c>
      <c r="J1046">
        <v>9397160576</v>
      </c>
      <c r="K1046" t="s">
        <v>7677</v>
      </c>
      <c r="L1046" t="s">
        <v>7678</v>
      </c>
      <c r="M1046" t="s">
        <v>645</v>
      </c>
      <c r="N1046" t="s">
        <v>398</v>
      </c>
      <c r="O1046" t="s">
        <v>7679</v>
      </c>
      <c r="P1046">
        <v>3177</v>
      </c>
    </row>
    <row r="1047" spans="1:17" x14ac:dyDescent="0.3">
      <c r="A1047" t="s">
        <v>7680</v>
      </c>
      <c r="B1047" t="s">
        <v>7681</v>
      </c>
      <c r="C1047" t="s">
        <v>7682</v>
      </c>
      <c r="D1047" t="s">
        <v>7683</v>
      </c>
      <c r="E1047" t="s">
        <v>1276</v>
      </c>
      <c r="F1047" t="s">
        <v>7684</v>
      </c>
      <c r="G1047">
        <v>0</v>
      </c>
      <c r="H1047">
        <v>0</v>
      </c>
      <c r="I1047" t="s">
        <v>7685</v>
      </c>
      <c r="J1047" t="s">
        <v>7686</v>
      </c>
      <c r="K1047" t="s">
        <v>7687</v>
      </c>
      <c r="L1047">
        <v>1234</v>
      </c>
      <c r="M1047" t="s">
        <v>645</v>
      </c>
      <c r="N1047" t="s">
        <v>398</v>
      </c>
      <c r="O1047" t="s">
        <v>2435</v>
      </c>
      <c r="P1047">
        <v>3152</v>
      </c>
    </row>
    <row r="1048" spans="1:17" x14ac:dyDescent="0.3">
      <c r="A1048" t="s">
        <v>7688</v>
      </c>
      <c r="B1048" t="s">
        <v>384</v>
      </c>
      <c r="C1048" t="s">
        <v>7689</v>
      </c>
      <c r="D1048" t="s">
        <v>4867</v>
      </c>
      <c r="E1048" t="s">
        <v>7690</v>
      </c>
      <c r="F1048" t="s">
        <v>7691</v>
      </c>
      <c r="I1048" t="s">
        <v>7692</v>
      </c>
      <c r="J1048">
        <v>9178512484</v>
      </c>
      <c r="K1048" t="s">
        <v>7693</v>
      </c>
      <c r="L1048">
        <v>1234</v>
      </c>
      <c r="M1048" t="s">
        <v>645</v>
      </c>
      <c r="N1048" t="s">
        <v>398</v>
      </c>
      <c r="O1048" t="s">
        <v>685</v>
      </c>
      <c r="P1048">
        <v>3185</v>
      </c>
    </row>
    <row r="1049" spans="1:17" x14ac:dyDescent="0.3">
      <c r="A1049" t="s">
        <v>7694</v>
      </c>
      <c r="B1049" t="s">
        <v>1442</v>
      </c>
      <c r="C1049" t="s">
        <v>7695</v>
      </c>
      <c r="D1049" t="s">
        <v>247</v>
      </c>
      <c r="E1049" t="s">
        <v>1766</v>
      </c>
      <c r="F1049" t="s">
        <v>7696</v>
      </c>
      <c r="G1049">
        <v>0</v>
      </c>
      <c r="H1049">
        <v>0</v>
      </c>
      <c r="I1049" t="s">
        <v>7697</v>
      </c>
      <c r="J1049">
        <v>9983360833</v>
      </c>
      <c r="K1049" t="s">
        <v>7698</v>
      </c>
      <c r="L1049">
        <v>1234</v>
      </c>
      <c r="M1049" t="s">
        <v>645</v>
      </c>
      <c r="N1049" t="s">
        <v>398</v>
      </c>
      <c r="O1049" t="s">
        <v>685</v>
      </c>
      <c r="P1049">
        <v>3111</v>
      </c>
    </row>
    <row r="1050" spans="1:17" x14ac:dyDescent="0.3">
      <c r="A1050" t="s">
        <v>7699</v>
      </c>
      <c r="B1050" t="s">
        <v>7700</v>
      </c>
      <c r="C1050" t="s">
        <v>7701</v>
      </c>
      <c r="D1050" t="s">
        <v>7702</v>
      </c>
      <c r="E1050" t="s">
        <v>7703</v>
      </c>
      <c r="F1050" t="s">
        <v>7704</v>
      </c>
      <c r="G1050">
        <v>0</v>
      </c>
      <c r="H1050">
        <v>0</v>
      </c>
      <c r="I1050" t="s">
        <v>7705</v>
      </c>
      <c r="J1050" t="s">
        <v>7706</v>
      </c>
      <c r="K1050" t="s">
        <v>7707</v>
      </c>
      <c r="L1050">
        <v>1234</v>
      </c>
      <c r="M1050" t="s">
        <v>645</v>
      </c>
      <c r="N1050" t="s">
        <v>336</v>
      </c>
      <c r="O1050" t="s">
        <v>515</v>
      </c>
      <c r="P1050">
        <v>3192</v>
      </c>
    </row>
    <row r="1051" spans="1:17" x14ac:dyDescent="0.3">
      <c r="A1051" t="s">
        <v>7699</v>
      </c>
      <c r="B1051" t="s">
        <v>7700</v>
      </c>
      <c r="C1051" t="s">
        <v>7701</v>
      </c>
      <c r="D1051" t="s">
        <v>7702</v>
      </c>
      <c r="E1051" t="s">
        <v>7703</v>
      </c>
      <c r="F1051" t="s">
        <v>7704</v>
      </c>
      <c r="G1051">
        <v>0</v>
      </c>
      <c r="H1051">
        <v>0</v>
      </c>
      <c r="I1051" t="s">
        <v>7705</v>
      </c>
      <c r="J1051" t="s">
        <v>7706</v>
      </c>
      <c r="K1051" t="s">
        <v>7707</v>
      </c>
      <c r="L1051">
        <v>1234</v>
      </c>
      <c r="M1051" t="s">
        <v>645</v>
      </c>
      <c r="N1051" t="s">
        <v>336</v>
      </c>
      <c r="O1051" t="s">
        <v>515</v>
      </c>
      <c r="P1051">
        <v>3192</v>
      </c>
    </row>
    <row r="1052" spans="1:17" x14ac:dyDescent="0.3">
      <c r="A1052" t="s">
        <v>7708</v>
      </c>
      <c r="B1052" t="s">
        <v>326</v>
      </c>
      <c r="C1052" t="s">
        <v>3628</v>
      </c>
      <c r="D1052" t="s">
        <v>2883</v>
      </c>
      <c r="E1052" t="s">
        <v>342</v>
      </c>
      <c r="F1052" t="s">
        <v>7709</v>
      </c>
      <c r="G1052">
        <v>0</v>
      </c>
      <c r="H1052">
        <v>0</v>
      </c>
      <c r="I1052" t="s">
        <v>7710</v>
      </c>
      <c r="J1052" t="s">
        <v>7711</v>
      </c>
      <c r="K1052" t="s">
        <v>7712</v>
      </c>
      <c r="L1052">
        <v>1234</v>
      </c>
      <c r="M1052" t="s">
        <v>645</v>
      </c>
      <c r="N1052" t="s">
        <v>336</v>
      </c>
      <c r="O1052" t="s">
        <v>515</v>
      </c>
      <c r="P1052">
        <v>3144</v>
      </c>
    </row>
    <row r="1053" spans="1:17" x14ac:dyDescent="0.3">
      <c r="A1053" t="s">
        <v>7713</v>
      </c>
      <c r="B1053" t="s">
        <v>7714</v>
      </c>
      <c r="C1053" t="s">
        <v>1808</v>
      </c>
      <c r="D1053" t="s">
        <v>5095</v>
      </c>
      <c r="E1053" t="s">
        <v>1276</v>
      </c>
      <c r="F1053" t="s">
        <v>7715</v>
      </c>
      <c r="I1053" t="s">
        <v>7716</v>
      </c>
      <c r="J1053">
        <v>9557930205</v>
      </c>
      <c r="K1053" t="s">
        <v>7717</v>
      </c>
      <c r="L1053">
        <v>1234</v>
      </c>
      <c r="M1053" t="s">
        <v>645</v>
      </c>
      <c r="N1053" t="s">
        <v>398</v>
      </c>
      <c r="O1053" t="s">
        <v>685</v>
      </c>
      <c r="P1053">
        <v>3188</v>
      </c>
    </row>
    <row r="1054" spans="1:17" x14ac:dyDescent="0.3">
      <c r="A1054" t="s">
        <v>7718</v>
      </c>
      <c r="B1054" t="s">
        <v>7719</v>
      </c>
      <c r="C1054" t="s">
        <v>7720</v>
      </c>
      <c r="D1054" t="s">
        <v>7721</v>
      </c>
      <c r="E1054" t="s">
        <v>680</v>
      </c>
      <c r="F1054" t="s">
        <v>7722</v>
      </c>
      <c r="G1054">
        <v>0</v>
      </c>
      <c r="H1054">
        <v>0</v>
      </c>
      <c r="I1054" t="s">
        <v>7723</v>
      </c>
      <c r="J1054">
        <v>9260056111</v>
      </c>
      <c r="K1054" t="s">
        <v>7724</v>
      </c>
      <c r="L1054" t="s">
        <v>7725</v>
      </c>
      <c r="M1054" t="s">
        <v>645</v>
      </c>
      <c r="N1054" t="s">
        <v>398</v>
      </c>
      <c r="O1054" t="s">
        <v>685</v>
      </c>
      <c r="P1054">
        <v>3129</v>
      </c>
    </row>
    <row r="1055" spans="1:17" x14ac:dyDescent="0.3">
      <c r="A1055" t="s">
        <v>7726</v>
      </c>
      <c r="B1055" t="s">
        <v>7727</v>
      </c>
      <c r="C1055" t="s">
        <v>7728</v>
      </c>
      <c r="D1055" t="s">
        <v>6761</v>
      </c>
      <c r="E1055" t="s">
        <v>1284</v>
      </c>
      <c r="F1055" t="s">
        <v>7729</v>
      </c>
      <c r="G1055">
        <v>-3.7765502902273101E-3</v>
      </c>
      <c r="H1055">
        <v>5.9394836425781201E-2</v>
      </c>
      <c r="I1055" t="s">
        <v>7730</v>
      </c>
      <c r="J1055">
        <v>9197773675</v>
      </c>
      <c r="K1055" t="s">
        <v>7731</v>
      </c>
      <c r="L1055">
        <v>80819</v>
      </c>
      <c r="M1055" t="s">
        <v>645</v>
      </c>
      <c r="N1055" t="s">
        <v>369</v>
      </c>
      <c r="O1055" t="s">
        <v>370</v>
      </c>
      <c r="P1055">
        <v>3105</v>
      </c>
    </row>
    <row r="1056" spans="1:17" x14ac:dyDescent="0.3">
      <c r="A1056" t="s">
        <v>7732</v>
      </c>
      <c r="B1056" t="s">
        <v>7733</v>
      </c>
      <c r="C1056" t="s">
        <v>7734</v>
      </c>
      <c r="D1056" t="s">
        <v>259</v>
      </c>
      <c r="E1056" t="s">
        <v>7735</v>
      </c>
      <c r="F1056" t="s">
        <v>7736</v>
      </c>
      <c r="I1056" t="s">
        <v>7737</v>
      </c>
      <c r="J1056">
        <v>9175487597</v>
      </c>
      <c r="K1056" t="s">
        <v>7738</v>
      </c>
      <c r="L1056" t="s">
        <v>7739</v>
      </c>
      <c r="M1056" t="s">
        <v>645</v>
      </c>
      <c r="N1056" t="s">
        <v>398</v>
      </c>
      <c r="O1056" t="s">
        <v>582</v>
      </c>
      <c r="P1056">
        <v>3204</v>
      </c>
    </row>
    <row r="1057" spans="1:17" x14ac:dyDescent="0.3">
      <c r="A1057" t="s">
        <v>7740</v>
      </c>
      <c r="B1057" t="s">
        <v>200</v>
      </c>
      <c r="C1057" t="s">
        <v>7741</v>
      </c>
      <c r="D1057" t="s">
        <v>7742</v>
      </c>
      <c r="E1057" t="s">
        <v>643</v>
      </c>
      <c r="F1057" t="s">
        <v>7743</v>
      </c>
      <c r="I1057" t="s">
        <v>7744</v>
      </c>
      <c r="J1057">
        <v>639770844371</v>
      </c>
      <c r="K1057" t="s">
        <v>7745</v>
      </c>
      <c r="L1057">
        <v>1234</v>
      </c>
      <c r="M1057" t="s">
        <v>645</v>
      </c>
      <c r="N1057" t="s">
        <v>336</v>
      </c>
      <c r="O1057" t="s">
        <v>515</v>
      </c>
      <c r="P1057">
        <v>3201</v>
      </c>
    </row>
    <row r="1058" spans="1:17" x14ac:dyDescent="0.3">
      <c r="A1058" t="s">
        <v>7746</v>
      </c>
      <c r="B1058" t="s">
        <v>7747</v>
      </c>
      <c r="C1058" t="s">
        <v>7748</v>
      </c>
      <c r="D1058" t="s">
        <v>3642</v>
      </c>
      <c r="E1058" t="s">
        <v>7749</v>
      </c>
      <c r="F1058" t="s">
        <v>7750</v>
      </c>
      <c r="G1058">
        <v>0</v>
      </c>
      <c r="H1058">
        <v>0</v>
      </c>
      <c r="I1058" t="s">
        <v>7751</v>
      </c>
      <c r="J1058">
        <v>9453153650</v>
      </c>
      <c r="K1058" t="s">
        <v>7752</v>
      </c>
      <c r="L1058">
        <v>1234</v>
      </c>
      <c r="M1058" t="s">
        <v>645</v>
      </c>
      <c r="N1058" t="s">
        <v>336</v>
      </c>
      <c r="O1058" t="s">
        <v>515</v>
      </c>
      <c r="P1058">
        <v>3131</v>
      </c>
    </row>
    <row r="1059" spans="1:17" x14ac:dyDescent="0.3">
      <c r="A1059" t="s">
        <v>7753</v>
      </c>
      <c r="B1059" t="s">
        <v>1182</v>
      </c>
      <c r="C1059" t="s">
        <v>7754</v>
      </c>
      <c r="D1059" t="s">
        <v>7755</v>
      </c>
      <c r="E1059" t="s">
        <v>7756</v>
      </c>
      <c r="F1059" t="s">
        <v>7757</v>
      </c>
      <c r="G1059">
        <v>0</v>
      </c>
      <c r="H1059">
        <v>0</v>
      </c>
      <c r="I1059" t="s">
        <v>7758</v>
      </c>
      <c r="J1059">
        <v>9069324902</v>
      </c>
      <c r="K1059" t="s">
        <v>7759</v>
      </c>
      <c r="L1059" t="s">
        <v>7760</v>
      </c>
      <c r="M1059" t="s">
        <v>645</v>
      </c>
      <c r="N1059" t="s">
        <v>336</v>
      </c>
      <c r="O1059" t="s">
        <v>515</v>
      </c>
      <c r="P1059">
        <v>3199</v>
      </c>
    </row>
    <row r="1060" spans="1:17" x14ac:dyDescent="0.3">
      <c r="A1060" t="s">
        <v>7761</v>
      </c>
      <c r="B1060" t="s">
        <v>7762</v>
      </c>
      <c r="C1060" t="s">
        <v>7763</v>
      </c>
      <c r="D1060" t="s">
        <v>3938</v>
      </c>
      <c r="E1060" t="s">
        <v>7764</v>
      </c>
      <c r="F1060" t="s">
        <v>7765</v>
      </c>
      <c r="I1060" t="s">
        <v>7766</v>
      </c>
      <c r="J1060">
        <v>9171354214</v>
      </c>
      <c r="K1060" t="s">
        <v>7767</v>
      </c>
      <c r="L1060" t="s">
        <v>7768</v>
      </c>
      <c r="M1060" t="s">
        <v>645</v>
      </c>
      <c r="N1060" t="s">
        <v>398</v>
      </c>
      <c r="O1060" t="s">
        <v>853</v>
      </c>
      <c r="P1060">
        <v>2875</v>
      </c>
      <c r="Q1060" t="s">
        <v>7769</v>
      </c>
    </row>
    <row r="1061" spans="1:17" x14ac:dyDescent="0.3">
      <c r="A1061" t="s">
        <v>7770</v>
      </c>
      <c r="B1061" t="s">
        <v>7762</v>
      </c>
      <c r="C1061" t="s">
        <v>7763</v>
      </c>
      <c r="D1061" t="s">
        <v>3938</v>
      </c>
      <c r="E1061" t="s">
        <v>7771</v>
      </c>
      <c r="F1061" t="s">
        <v>7772</v>
      </c>
      <c r="I1061" t="s">
        <v>7766</v>
      </c>
      <c r="J1061">
        <v>9171354214</v>
      </c>
      <c r="K1061" t="s">
        <v>7773</v>
      </c>
      <c r="L1061" t="s">
        <v>7774</v>
      </c>
      <c r="M1061" t="s">
        <v>645</v>
      </c>
      <c r="N1061" t="s">
        <v>398</v>
      </c>
      <c r="O1061" t="s">
        <v>853</v>
      </c>
      <c r="P1061">
        <v>2876</v>
      </c>
      <c r="Q1061" t="s">
        <v>7775</v>
      </c>
    </row>
    <row r="1062" spans="1:17" x14ac:dyDescent="0.3">
      <c r="A1062" t="s">
        <v>7776</v>
      </c>
      <c r="B1062" t="s">
        <v>7777</v>
      </c>
      <c r="C1062" t="s">
        <v>7778</v>
      </c>
      <c r="E1062" t="s">
        <v>717</v>
      </c>
      <c r="F1062" t="s">
        <v>7779</v>
      </c>
      <c r="I1062" t="s">
        <v>7780</v>
      </c>
      <c r="J1062" t="s">
        <v>7781</v>
      </c>
      <c r="K1062" t="s">
        <v>7782</v>
      </c>
      <c r="L1062">
        <v>1234</v>
      </c>
      <c r="M1062" t="s">
        <v>645</v>
      </c>
      <c r="N1062" t="s">
        <v>398</v>
      </c>
      <c r="O1062" t="s">
        <v>685</v>
      </c>
      <c r="P1062">
        <v>3162</v>
      </c>
    </row>
    <row r="1063" spans="1:17" x14ac:dyDescent="0.3">
      <c r="A1063" t="s">
        <v>7783</v>
      </c>
      <c r="B1063" t="s">
        <v>3938</v>
      </c>
      <c r="C1063" t="s">
        <v>3939</v>
      </c>
      <c r="D1063" t="s">
        <v>3940</v>
      </c>
      <c r="E1063" t="s">
        <v>4344</v>
      </c>
      <c r="F1063" t="s">
        <v>7784</v>
      </c>
      <c r="G1063">
        <v>0</v>
      </c>
      <c r="H1063">
        <v>0</v>
      </c>
      <c r="I1063" t="s">
        <v>3942</v>
      </c>
      <c r="J1063">
        <v>9052149225</v>
      </c>
      <c r="K1063" t="s">
        <v>7785</v>
      </c>
      <c r="L1063">
        <v>1234</v>
      </c>
      <c r="M1063" t="s">
        <v>645</v>
      </c>
      <c r="N1063" t="s">
        <v>398</v>
      </c>
      <c r="O1063" t="s">
        <v>582</v>
      </c>
      <c r="P1063">
        <v>3028</v>
      </c>
    </row>
    <row r="1064" spans="1:17" x14ac:dyDescent="0.3">
      <c r="A1064" t="s">
        <v>7786</v>
      </c>
      <c r="B1064" t="s">
        <v>7787</v>
      </c>
      <c r="C1064" t="s">
        <v>7788</v>
      </c>
      <c r="D1064" t="s">
        <v>5661</v>
      </c>
      <c r="E1064" t="s">
        <v>1276</v>
      </c>
      <c r="F1064" t="s">
        <v>7789</v>
      </c>
      <c r="I1064" t="s">
        <v>5663</v>
      </c>
      <c r="J1064" t="s">
        <v>7790</v>
      </c>
      <c r="K1064" t="s">
        <v>7791</v>
      </c>
      <c r="L1064" t="s">
        <v>7792</v>
      </c>
      <c r="M1064" t="s">
        <v>645</v>
      </c>
      <c r="N1064" t="s">
        <v>398</v>
      </c>
      <c r="O1064" t="s">
        <v>582</v>
      </c>
      <c r="P1064">
        <v>3209</v>
      </c>
    </row>
    <row r="1065" spans="1:17" x14ac:dyDescent="0.3">
      <c r="A1065" t="s">
        <v>7786</v>
      </c>
      <c r="B1065" t="s">
        <v>7787</v>
      </c>
      <c r="C1065" t="s">
        <v>7788</v>
      </c>
      <c r="D1065" t="s">
        <v>5661</v>
      </c>
      <c r="E1065" t="s">
        <v>1276</v>
      </c>
      <c r="F1065" t="s">
        <v>7789</v>
      </c>
      <c r="I1065" t="s">
        <v>5663</v>
      </c>
      <c r="J1065" t="s">
        <v>7790</v>
      </c>
      <c r="K1065" t="s">
        <v>7791</v>
      </c>
      <c r="L1065" t="s">
        <v>7792</v>
      </c>
      <c r="M1065" t="s">
        <v>645</v>
      </c>
      <c r="N1065" t="s">
        <v>398</v>
      </c>
      <c r="O1065" t="s">
        <v>582</v>
      </c>
      <c r="P1065">
        <v>3209</v>
      </c>
    </row>
    <row r="1066" spans="1:17" x14ac:dyDescent="0.3">
      <c r="A1066" t="s">
        <v>7793</v>
      </c>
      <c r="B1066" t="s">
        <v>7747</v>
      </c>
      <c r="C1066" t="s">
        <v>7748</v>
      </c>
      <c r="D1066" t="s">
        <v>3642</v>
      </c>
      <c r="E1066" t="s">
        <v>7749</v>
      </c>
      <c r="F1066" t="s">
        <v>7794</v>
      </c>
      <c r="I1066" t="s">
        <v>7751</v>
      </c>
      <c r="J1066">
        <v>9453153650</v>
      </c>
      <c r="K1066" t="s">
        <v>7795</v>
      </c>
      <c r="L1066">
        <v>1234</v>
      </c>
      <c r="M1066" t="s">
        <v>645</v>
      </c>
      <c r="N1066" t="s">
        <v>336</v>
      </c>
      <c r="O1066" t="s">
        <v>441</v>
      </c>
      <c r="P1066">
        <v>3186</v>
      </c>
    </row>
    <row r="1067" spans="1:17" x14ac:dyDescent="0.3">
      <c r="A1067" t="s">
        <v>7796</v>
      </c>
      <c r="B1067" t="s">
        <v>2200</v>
      </c>
      <c r="C1067" t="s">
        <v>7797</v>
      </c>
      <c r="D1067" t="s">
        <v>1976</v>
      </c>
      <c r="E1067" t="s">
        <v>1276</v>
      </c>
      <c r="F1067" t="s">
        <v>7798</v>
      </c>
      <c r="G1067">
        <v>0</v>
      </c>
      <c r="H1067">
        <v>0</v>
      </c>
      <c r="I1067" t="s">
        <v>7799</v>
      </c>
      <c r="J1067" t="s">
        <v>7800</v>
      </c>
      <c r="K1067" t="s">
        <v>7801</v>
      </c>
      <c r="L1067">
        <v>20034944</v>
      </c>
      <c r="M1067" t="s">
        <v>645</v>
      </c>
      <c r="N1067" t="s">
        <v>398</v>
      </c>
      <c r="O1067" t="s">
        <v>2435</v>
      </c>
      <c r="P1067">
        <v>3150</v>
      </c>
      <c r="Q1067" t="s">
        <v>7802</v>
      </c>
    </row>
    <row r="1068" spans="1:17" x14ac:dyDescent="0.3">
      <c r="A1068" t="s">
        <v>7803</v>
      </c>
      <c r="B1068" t="s">
        <v>1059</v>
      </c>
      <c r="C1068" t="s">
        <v>7263</v>
      </c>
      <c r="D1068" t="s">
        <v>7804</v>
      </c>
      <c r="E1068" t="s">
        <v>1276</v>
      </c>
      <c r="F1068" t="s">
        <v>7805</v>
      </c>
      <c r="J1068" t="s">
        <v>7806</v>
      </c>
      <c r="K1068" t="s">
        <v>7807</v>
      </c>
      <c r="L1068">
        <v>1234</v>
      </c>
      <c r="M1068" t="s">
        <v>645</v>
      </c>
      <c r="N1068" t="s">
        <v>398</v>
      </c>
      <c r="O1068" t="s">
        <v>685</v>
      </c>
      <c r="P1068">
        <v>3180</v>
      </c>
    </row>
    <row r="1069" spans="1:17" x14ac:dyDescent="0.3">
      <c r="A1069" t="s">
        <v>7808</v>
      </c>
      <c r="B1069" t="s">
        <v>2529</v>
      </c>
      <c r="C1069" t="s">
        <v>7809</v>
      </c>
      <c r="D1069" t="s">
        <v>7810</v>
      </c>
      <c r="E1069" t="s">
        <v>1276</v>
      </c>
      <c r="F1069" t="s">
        <v>7811</v>
      </c>
      <c r="G1069">
        <v>0</v>
      </c>
      <c r="H1069">
        <v>0</v>
      </c>
      <c r="I1069" t="s">
        <v>7812</v>
      </c>
      <c r="J1069">
        <v>9494000700</v>
      </c>
      <c r="K1069" t="s">
        <v>7813</v>
      </c>
      <c r="L1069">
        <v>1234</v>
      </c>
      <c r="M1069" t="s">
        <v>645</v>
      </c>
      <c r="N1069" t="s">
        <v>398</v>
      </c>
      <c r="O1069" t="s">
        <v>7814</v>
      </c>
      <c r="P1069">
        <v>3148</v>
      </c>
    </row>
    <row r="1070" spans="1:17" x14ac:dyDescent="0.3">
      <c r="A1070" t="s">
        <v>7815</v>
      </c>
      <c r="B1070" t="s">
        <v>450</v>
      </c>
      <c r="C1070" t="s">
        <v>7816</v>
      </c>
      <c r="D1070" t="s">
        <v>3275</v>
      </c>
      <c r="E1070" t="s">
        <v>1276</v>
      </c>
      <c r="F1070" t="s">
        <v>7817</v>
      </c>
      <c r="G1070">
        <v>0</v>
      </c>
      <c r="H1070">
        <v>0</v>
      </c>
      <c r="I1070" t="s">
        <v>7818</v>
      </c>
      <c r="J1070" t="s">
        <v>7819</v>
      </c>
      <c r="K1070" t="s">
        <v>7820</v>
      </c>
      <c r="L1070">
        <v>1234</v>
      </c>
      <c r="M1070" t="s">
        <v>645</v>
      </c>
      <c r="N1070" t="s">
        <v>398</v>
      </c>
      <c r="O1070" t="s">
        <v>685</v>
      </c>
      <c r="P1070">
        <v>3169</v>
      </c>
    </row>
    <row r="1071" spans="1:17" x14ac:dyDescent="0.3">
      <c r="A1071" t="s">
        <v>7821</v>
      </c>
      <c r="B1071" t="s">
        <v>7092</v>
      </c>
      <c r="C1071" t="s">
        <v>497</v>
      </c>
      <c r="D1071" t="s">
        <v>7822</v>
      </c>
      <c r="E1071" t="s">
        <v>1276</v>
      </c>
      <c r="F1071" t="s">
        <v>7823</v>
      </c>
      <c r="I1071" t="s">
        <v>7824</v>
      </c>
      <c r="J1071" t="s">
        <v>7825</v>
      </c>
      <c r="K1071" t="s">
        <v>7826</v>
      </c>
      <c r="L1071">
        <v>1234</v>
      </c>
      <c r="M1071" t="s">
        <v>645</v>
      </c>
      <c r="N1071" t="s">
        <v>398</v>
      </c>
      <c r="O1071" t="s">
        <v>685</v>
      </c>
      <c r="P1071">
        <v>3147</v>
      </c>
    </row>
    <row r="1072" spans="1:17" x14ac:dyDescent="0.3">
      <c r="A1072" t="s">
        <v>7827</v>
      </c>
      <c r="B1072" t="s">
        <v>7092</v>
      </c>
      <c r="C1072" t="s">
        <v>497</v>
      </c>
      <c r="D1072" t="s">
        <v>7822</v>
      </c>
      <c r="E1072" t="s">
        <v>1276</v>
      </c>
      <c r="F1072" t="s">
        <v>7828</v>
      </c>
      <c r="I1072" t="s">
        <v>7824</v>
      </c>
      <c r="J1072" t="s">
        <v>7825</v>
      </c>
      <c r="K1072" t="s">
        <v>7829</v>
      </c>
      <c r="L1072">
        <v>1234</v>
      </c>
      <c r="M1072" t="s">
        <v>645</v>
      </c>
      <c r="N1072" t="s">
        <v>398</v>
      </c>
      <c r="O1072" t="s">
        <v>685</v>
      </c>
      <c r="P1072">
        <v>3158</v>
      </c>
    </row>
    <row r="1073" spans="1:17" x14ac:dyDescent="0.3">
      <c r="A1073" t="s">
        <v>7830</v>
      </c>
      <c r="B1073" t="s">
        <v>7831</v>
      </c>
      <c r="C1073" t="s">
        <v>7832</v>
      </c>
      <c r="D1073" t="s">
        <v>7833</v>
      </c>
      <c r="E1073" t="s">
        <v>7834</v>
      </c>
      <c r="F1073" t="s">
        <v>7835</v>
      </c>
      <c r="G1073">
        <v>0</v>
      </c>
      <c r="H1073">
        <v>0</v>
      </c>
      <c r="I1073" t="s">
        <v>7836</v>
      </c>
      <c r="J1073">
        <v>9458315486</v>
      </c>
      <c r="K1073" t="s">
        <v>7837</v>
      </c>
      <c r="L1073" t="s">
        <v>7838</v>
      </c>
      <c r="M1073" t="s">
        <v>645</v>
      </c>
      <c r="N1073" t="s">
        <v>398</v>
      </c>
      <c r="O1073" t="s">
        <v>685</v>
      </c>
      <c r="P1073">
        <v>3125</v>
      </c>
    </row>
    <row r="1074" spans="1:17" x14ac:dyDescent="0.3">
      <c r="A1074" t="s">
        <v>7839</v>
      </c>
      <c r="B1074" t="s">
        <v>7840</v>
      </c>
      <c r="C1074" t="s">
        <v>7841</v>
      </c>
      <c r="D1074" t="s">
        <v>7842</v>
      </c>
      <c r="E1074" t="s">
        <v>1470</v>
      </c>
      <c r="F1074" t="s">
        <v>7843</v>
      </c>
      <c r="I1074" t="s">
        <v>7844</v>
      </c>
      <c r="J1074" t="s">
        <v>7845</v>
      </c>
      <c r="K1074" t="s">
        <v>7846</v>
      </c>
      <c r="L1074">
        <v>1234</v>
      </c>
      <c r="M1074" t="s">
        <v>645</v>
      </c>
      <c r="N1074" t="s">
        <v>398</v>
      </c>
      <c r="O1074" t="s">
        <v>582</v>
      </c>
      <c r="P1074">
        <v>3213</v>
      </c>
    </row>
    <row r="1075" spans="1:17" x14ac:dyDescent="0.3">
      <c r="A1075" t="s">
        <v>7847</v>
      </c>
      <c r="B1075" t="s">
        <v>7848</v>
      </c>
      <c r="C1075" t="s">
        <v>7849</v>
      </c>
      <c r="D1075" t="s">
        <v>7850</v>
      </c>
      <c r="E1075" t="s">
        <v>1276</v>
      </c>
      <c r="F1075" t="s">
        <v>7851</v>
      </c>
      <c r="G1075">
        <v>0</v>
      </c>
      <c r="H1075">
        <v>0</v>
      </c>
      <c r="I1075" t="s">
        <v>7852</v>
      </c>
      <c r="J1075" t="s">
        <v>7853</v>
      </c>
      <c r="K1075" t="s">
        <v>7854</v>
      </c>
      <c r="L1075">
        <v>1234</v>
      </c>
      <c r="M1075" t="s">
        <v>645</v>
      </c>
      <c r="N1075" t="s">
        <v>398</v>
      </c>
      <c r="O1075" t="s">
        <v>853</v>
      </c>
      <c r="P1075">
        <v>3181</v>
      </c>
    </row>
    <row r="1076" spans="1:17" x14ac:dyDescent="0.3">
      <c r="A1076" t="s">
        <v>7855</v>
      </c>
      <c r="B1076" t="s">
        <v>7856</v>
      </c>
      <c r="C1076" t="s">
        <v>7857</v>
      </c>
      <c r="D1076" t="s">
        <v>7858</v>
      </c>
      <c r="E1076" t="s">
        <v>1276</v>
      </c>
      <c r="F1076" t="s">
        <v>7859</v>
      </c>
      <c r="G1076">
        <v>0</v>
      </c>
      <c r="H1076">
        <v>0</v>
      </c>
      <c r="I1076" t="s">
        <v>7860</v>
      </c>
      <c r="J1076" t="s">
        <v>7861</v>
      </c>
      <c r="K1076" t="s">
        <v>7862</v>
      </c>
      <c r="L1076">
        <v>1234</v>
      </c>
      <c r="M1076" t="s">
        <v>645</v>
      </c>
      <c r="N1076" t="s">
        <v>398</v>
      </c>
      <c r="O1076" t="s">
        <v>2435</v>
      </c>
      <c r="P1076">
        <v>3159</v>
      </c>
    </row>
    <row r="1077" spans="1:17" x14ac:dyDescent="0.3">
      <c r="A1077" t="s">
        <v>7863</v>
      </c>
      <c r="B1077" t="s">
        <v>7864</v>
      </c>
      <c r="C1077" t="s">
        <v>2833</v>
      </c>
      <c r="D1077" t="s">
        <v>7865</v>
      </c>
      <c r="E1077" t="s">
        <v>1276</v>
      </c>
      <c r="F1077" t="s">
        <v>7866</v>
      </c>
      <c r="I1077" t="s">
        <v>7867</v>
      </c>
      <c r="J1077" t="s">
        <v>7868</v>
      </c>
      <c r="K1077" t="s">
        <v>7869</v>
      </c>
      <c r="L1077">
        <v>1234</v>
      </c>
      <c r="M1077" t="s">
        <v>645</v>
      </c>
      <c r="N1077" t="s">
        <v>398</v>
      </c>
      <c r="O1077" t="s">
        <v>2435</v>
      </c>
      <c r="P1077">
        <v>3168</v>
      </c>
    </row>
    <row r="1078" spans="1:17" x14ac:dyDescent="0.3">
      <c r="A1078" t="s">
        <v>7870</v>
      </c>
      <c r="B1078" t="s">
        <v>603</v>
      </c>
      <c r="C1078" t="s">
        <v>7871</v>
      </c>
      <c r="D1078" t="s">
        <v>6051</v>
      </c>
      <c r="E1078" t="s">
        <v>1276</v>
      </c>
      <c r="F1078" t="s">
        <v>7872</v>
      </c>
      <c r="I1078" t="s">
        <v>7873</v>
      </c>
      <c r="J1078" t="s">
        <v>7874</v>
      </c>
      <c r="K1078" t="s">
        <v>7875</v>
      </c>
      <c r="L1078">
        <v>1234</v>
      </c>
      <c r="M1078" t="s">
        <v>645</v>
      </c>
      <c r="N1078" t="s">
        <v>398</v>
      </c>
      <c r="O1078" t="s">
        <v>2435</v>
      </c>
      <c r="P1078">
        <v>3193</v>
      </c>
    </row>
    <row r="1079" spans="1:17" x14ac:dyDescent="0.3">
      <c r="A1079" t="s">
        <v>3000</v>
      </c>
      <c r="B1079" t="s">
        <v>3001</v>
      </c>
      <c r="C1079" t="s">
        <v>3002</v>
      </c>
      <c r="D1079" t="s">
        <v>3003</v>
      </c>
      <c r="E1079" t="s">
        <v>3004</v>
      </c>
      <c r="F1079" t="s">
        <v>3005</v>
      </c>
      <c r="G1079">
        <v>15.178578699999999</v>
      </c>
      <c r="H1079">
        <v>120.51842980000001</v>
      </c>
      <c r="I1079" t="s">
        <v>3006</v>
      </c>
      <c r="J1079" t="s">
        <v>3007</v>
      </c>
      <c r="K1079" t="s">
        <v>3008</v>
      </c>
      <c r="L1079">
        <v>1234</v>
      </c>
      <c r="M1079" t="s">
        <v>645</v>
      </c>
      <c r="N1079" t="s">
        <v>398</v>
      </c>
      <c r="O1079" t="s">
        <v>1189</v>
      </c>
      <c r="P1079">
        <v>1233</v>
      </c>
    </row>
    <row r="1080" spans="1:17" x14ac:dyDescent="0.3">
      <c r="A1080" t="s">
        <v>7876</v>
      </c>
      <c r="B1080" t="s">
        <v>559</v>
      </c>
      <c r="C1080" t="s">
        <v>7877</v>
      </c>
      <c r="D1080" t="s">
        <v>2802</v>
      </c>
      <c r="E1080" t="s">
        <v>1276</v>
      </c>
      <c r="F1080" t="s">
        <v>7878</v>
      </c>
      <c r="G1080">
        <v>0</v>
      </c>
      <c r="H1080">
        <v>0</v>
      </c>
      <c r="I1080" t="s">
        <v>7879</v>
      </c>
      <c r="J1080" t="s">
        <v>7880</v>
      </c>
      <c r="K1080" t="s">
        <v>7881</v>
      </c>
      <c r="L1080">
        <v>1234</v>
      </c>
      <c r="M1080" t="s">
        <v>645</v>
      </c>
      <c r="N1080" t="s">
        <v>398</v>
      </c>
      <c r="O1080" t="s">
        <v>2435</v>
      </c>
      <c r="P1080">
        <v>3178</v>
      </c>
    </row>
    <row r="1081" spans="1:17" x14ac:dyDescent="0.3">
      <c r="A1081" t="s">
        <v>7882</v>
      </c>
      <c r="B1081" t="s">
        <v>7883</v>
      </c>
      <c r="C1081" t="s">
        <v>7884</v>
      </c>
      <c r="D1081" t="s">
        <v>1571</v>
      </c>
      <c r="E1081" t="s">
        <v>77</v>
      </c>
      <c r="F1081" t="s">
        <v>7885</v>
      </c>
      <c r="G1081">
        <v>0</v>
      </c>
      <c r="H1081">
        <v>0</v>
      </c>
      <c r="I1081" t="s">
        <v>7886</v>
      </c>
      <c r="J1081">
        <v>9164258262</v>
      </c>
      <c r="K1081" t="s">
        <v>7887</v>
      </c>
      <c r="L1081">
        <v>1234</v>
      </c>
      <c r="M1081" t="s">
        <v>645</v>
      </c>
      <c r="N1081" t="s">
        <v>7888</v>
      </c>
      <c r="O1081" t="s">
        <v>370</v>
      </c>
      <c r="P1081">
        <v>3126</v>
      </c>
      <c r="Q1081" t="s">
        <v>7889</v>
      </c>
    </row>
    <row r="1082" spans="1:17" x14ac:dyDescent="0.3">
      <c r="A1082" t="s">
        <v>7890</v>
      </c>
      <c r="B1082" t="s">
        <v>7891</v>
      </c>
      <c r="C1082" t="s">
        <v>7892</v>
      </c>
      <c r="D1082" t="s">
        <v>7893</v>
      </c>
      <c r="E1082" t="s">
        <v>1194</v>
      </c>
      <c r="F1082" t="s">
        <v>7894</v>
      </c>
      <c r="G1082">
        <v>0</v>
      </c>
      <c r="H1082">
        <v>0</v>
      </c>
      <c r="I1082" t="s">
        <v>7895</v>
      </c>
      <c r="J1082">
        <v>9216330326</v>
      </c>
      <c r="K1082" t="s">
        <v>7896</v>
      </c>
      <c r="L1082">
        <v>1234</v>
      </c>
      <c r="M1082" t="s">
        <v>645</v>
      </c>
      <c r="N1082" t="s">
        <v>16</v>
      </c>
      <c r="O1082" t="s">
        <v>17</v>
      </c>
      <c r="P1082">
        <v>3216</v>
      </c>
    </row>
    <row r="1083" spans="1:17" x14ac:dyDescent="0.3">
      <c r="A1083" t="s">
        <v>7897</v>
      </c>
      <c r="B1083" t="s">
        <v>7898</v>
      </c>
      <c r="C1083" t="s">
        <v>6599</v>
      </c>
      <c r="D1083" t="s">
        <v>832</v>
      </c>
      <c r="E1083" t="s">
        <v>2253</v>
      </c>
      <c r="F1083" t="s">
        <v>7899</v>
      </c>
      <c r="I1083" t="s">
        <v>7900</v>
      </c>
      <c r="J1083" t="s">
        <v>7901</v>
      </c>
      <c r="K1083" t="s">
        <v>7902</v>
      </c>
      <c r="L1083">
        <v>1234</v>
      </c>
      <c r="M1083" t="s">
        <v>645</v>
      </c>
      <c r="N1083" t="s">
        <v>398</v>
      </c>
      <c r="O1083" t="s">
        <v>304</v>
      </c>
      <c r="P1083">
        <v>0</v>
      </c>
    </row>
    <row r="1084" spans="1:17" x14ac:dyDescent="0.3">
      <c r="A1084" t="s">
        <v>7903</v>
      </c>
      <c r="B1084" t="s">
        <v>247</v>
      </c>
      <c r="C1084" t="s">
        <v>7904</v>
      </c>
      <c r="D1084" t="s">
        <v>200</v>
      </c>
      <c r="E1084" t="s">
        <v>698</v>
      </c>
      <c r="F1084" t="s">
        <v>7905</v>
      </c>
      <c r="G1084">
        <v>0</v>
      </c>
      <c r="H1084">
        <v>0</v>
      </c>
      <c r="I1084" t="s">
        <v>7906</v>
      </c>
      <c r="J1084" t="s">
        <v>7907</v>
      </c>
      <c r="K1084" t="s">
        <v>7908</v>
      </c>
      <c r="L1084">
        <v>1234</v>
      </c>
      <c r="M1084" t="s">
        <v>645</v>
      </c>
      <c r="N1084" t="s">
        <v>304</v>
      </c>
      <c r="O1084" t="s">
        <v>323</v>
      </c>
      <c r="P1084">
        <v>2897</v>
      </c>
    </row>
    <row r="1085" spans="1:17" x14ac:dyDescent="0.3">
      <c r="A1085" t="s">
        <v>7909</v>
      </c>
      <c r="B1085" t="s">
        <v>7910</v>
      </c>
      <c r="C1085" t="s">
        <v>7911</v>
      </c>
      <c r="D1085" t="s">
        <v>3117</v>
      </c>
      <c r="E1085" t="s">
        <v>1985</v>
      </c>
      <c r="F1085" t="s">
        <v>7912</v>
      </c>
      <c r="G1085">
        <v>0</v>
      </c>
      <c r="H1085">
        <v>0</v>
      </c>
      <c r="I1085" t="s">
        <v>7913</v>
      </c>
      <c r="J1085" t="s">
        <v>7914</v>
      </c>
      <c r="K1085" t="s">
        <v>7915</v>
      </c>
      <c r="L1085">
        <v>1234</v>
      </c>
      <c r="M1085" t="s">
        <v>645</v>
      </c>
      <c r="N1085" t="s">
        <v>369</v>
      </c>
      <c r="O1085" t="s">
        <v>370</v>
      </c>
      <c r="P1085">
        <v>3222</v>
      </c>
      <c r="Q1085" t="s">
        <v>7916</v>
      </c>
    </row>
    <row r="1086" spans="1:17" x14ac:dyDescent="0.3">
      <c r="A1086" t="s">
        <v>7917</v>
      </c>
      <c r="B1086" t="s">
        <v>7918</v>
      </c>
      <c r="C1086" t="s">
        <v>902</v>
      </c>
      <c r="D1086" t="s">
        <v>4945</v>
      </c>
      <c r="E1086" t="s">
        <v>7919</v>
      </c>
      <c r="F1086" t="s">
        <v>7920</v>
      </c>
      <c r="I1086" t="s">
        <v>7751</v>
      </c>
      <c r="J1086" t="s">
        <v>7921</v>
      </c>
      <c r="K1086" t="s">
        <v>7922</v>
      </c>
      <c r="L1086">
        <v>1234</v>
      </c>
      <c r="M1086" t="s">
        <v>645</v>
      </c>
      <c r="N1086" t="s">
        <v>336</v>
      </c>
      <c r="O1086" t="s">
        <v>515</v>
      </c>
      <c r="P1086">
        <v>3215</v>
      </c>
    </row>
    <row r="1087" spans="1:17" x14ac:dyDescent="0.3">
      <c r="A1087" t="s">
        <v>7923</v>
      </c>
      <c r="B1087" t="s">
        <v>7924</v>
      </c>
      <c r="C1087" t="s">
        <v>7925</v>
      </c>
      <c r="D1087" t="s">
        <v>7926</v>
      </c>
      <c r="E1087" t="s">
        <v>7927</v>
      </c>
      <c r="F1087" t="s">
        <v>7928</v>
      </c>
      <c r="G1087">
        <v>0</v>
      </c>
      <c r="H1087">
        <v>0</v>
      </c>
      <c r="I1087" t="s">
        <v>7929</v>
      </c>
      <c r="J1087" t="s">
        <v>7930</v>
      </c>
      <c r="K1087" t="s">
        <v>7931</v>
      </c>
      <c r="L1087">
        <v>1234</v>
      </c>
      <c r="M1087" t="s">
        <v>645</v>
      </c>
      <c r="N1087" t="s">
        <v>336</v>
      </c>
      <c r="O1087" t="s">
        <v>515</v>
      </c>
      <c r="P1087">
        <v>3211</v>
      </c>
    </row>
    <row r="1088" spans="1:17" x14ac:dyDescent="0.3">
      <c r="A1088" t="s">
        <v>7932</v>
      </c>
      <c r="B1088" t="s">
        <v>1544</v>
      </c>
      <c r="C1088" t="s">
        <v>7933</v>
      </c>
      <c r="D1088" t="s">
        <v>7934</v>
      </c>
      <c r="E1088" t="s">
        <v>6289</v>
      </c>
      <c r="F1088" t="s">
        <v>7935</v>
      </c>
      <c r="I1088" t="s">
        <v>7936</v>
      </c>
      <c r="J1088" t="s">
        <v>7937</v>
      </c>
      <c r="K1088" t="s">
        <v>7938</v>
      </c>
      <c r="L1088">
        <v>1234</v>
      </c>
      <c r="M1088" t="s">
        <v>645</v>
      </c>
      <c r="N1088" t="s">
        <v>931</v>
      </c>
      <c r="P1088">
        <v>3226</v>
      </c>
      <c r="Q1088" t="s">
        <v>7939</v>
      </c>
    </row>
    <row r="1089" spans="1:16" x14ac:dyDescent="0.3">
      <c r="A1089" t="s">
        <v>7940</v>
      </c>
      <c r="B1089" t="s">
        <v>559</v>
      </c>
      <c r="C1089" t="s">
        <v>7941</v>
      </c>
      <c r="D1089" t="s">
        <v>1951</v>
      </c>
      <c r="E1089" t="s">
        <v>7942</v>
      </c>
      <c r="F1089" t="s">
        <v>7943</v>
      </c>
      <c r="I1089" t="s">
        <v>7944</v>
      </c>
      <c r="J1089" t="s">
        <v>7945</v>
      </c>
      <c r="K1089" t="s">
        <v>7946</v>
      </c>
      <c r="L1089">
        <v>1234</v>
      </c>
      <c r="M1089" t="s">
        <v>645</v>
      </c>
      <c r="N1089" t="s">
        <v>336</v>
      </c>
      <c r="O1089" t="s">
        <v>515</v>
      </c>
      <c r="P1089">
        <v>3207</v>
      </c>
    </row>
    <row r="1090" spans="1:16" x14ac:dyDescent="0.3">
      <c r="A1090" t="s">
        <v>7947</v>
      </c>
      <c r="B1090" t="s">
        <v>7948</v>
      </c>
      <c r="C1090" t="s">
        <v>791</v>
      </c>
      <c r="D1090" t="s">
        <v>7949</v>
      </c>
      <c r="E1090" t="s">
        <v>7950</v>
      </c>
      <c r="F1090" t="s">
        <v>7951</v>
      </c>
      <c r="G1090">
        <v>0</v>
      </c>
      <c r="H1090">
        <v>0</v>
      </c>
      <c r="I1090" t="s">
        <v>7952</v>
      </c>
      <c r="J1090" t="s">
        <v>7953</v>
      </c>
      <c r="K1090" t="s">
        <v>7954</v>
      </c>
      <c r="L1090">
        <v>1234</v>
      </c>
      <c r="M1090" t="s">
        <v>645</v>
      </c>
      <c r="N1090" t="s">
        <v>398</v>
      </c>
      <c r="O1090" t="s">
        <v>685</v>
      </c>
      <c r="P1090">
        <v>3223</v>
      </c>
    </row>
    <row r="1091" spans="1:16" x14ac:dyDescent="0.3">
      <c r="A1091" t="s">
        <v>7955</v>
      </c>
      <c r="B1091" t="s">
        <v>7956</v>
      </c>
      <c r="C1091" t="s">
        <v>7957</v>
      </c>
      <c r="D1091" t="s">
        <v>7958</v>
      </c>
      <c r="E1091" t="s">
        <v>3723</v>
      </c>
      <c r="F1091" t="s">
        <v>7959</v>
      </c>
      <c r="I1091" t="s">
        <v>7960</v>
      </c>
      <c r="J1091" t="s">
        <v>7961</v>
      </c>
      <c r="K1091" t="s">
        <v>7962</v>
      </c>
      <c r="L1091">
        <v>1234</v>
      </c>
      <c r="M1091" t="s">
        <v>645</v>
      </c>
      <c r="N1091" t="s">
        <v>7963</v>
      </c>
      <c r="O1091" t="s">
        <v>7963</v>
      </c>
      <c r="P1091" t="s">
        <v>7964</v>
      </c>
    </row>
    <row r="1092" spans="1:16" x14ac:dyDescent="0.3">
      <c r="A1092" t="s">
        <v>7955</v>
      </c>
      <c r="B1092" t="s">
        <v>7956</v>
      </c>
      <c r="C1092" t="s">
        <v>7957</v>
      </c>
      <c r="D1092" t="s">
        <v>7958</v>
      </c>
      <c r="E1092" t="s">
        <v>3723</v>
      </c>
      <c r="F1092" t="s">
        <v>7959</v>
      </c>
      <c r="I1092" t="s">
        <v>7960</v>
      </c>
      <c r="J1092" t="s">
        <v>7961</v>
      </c>
      <c r="K1092" t="s">
        <v>7962</v>
      </c>
      <c r="L1092">
        <v>1234</v>
      </c>
      <c r="M1092" t="s">
        <v>645</v>
      </c>
      <c r="N1092" t="s">
        <v>7963</v>
      </c>
      <c r="O1092" t="s">
        <v>7963</v>
      </c>
      <c r="P1092" t="s">
        <v>7964</v>
      </c>
    </row>
    <row r="1093" spans="1:16" x14ac:dyDescent="0.3">
      <c r="A1093" t="s">
        <v>7965</v>
      </c>
      <c r="B1093" t="s">
        <v>1219</v>
      </c>
      <c r="C1093" t="s">
        <v>7966</v>
      </c>
      <c r="D1093" t="s">
        <v>88</v>
      </c>
      <c r="E1093" t="s">
        <v>1276</v>
      </c>
      <c r="F1093" t="s">
        <v>7967</v>
      </c>
      <c r="G1093">
        <v>0</v>
      </c>
      <c r="H1093">
        <v>0</v>
      </c>
      <c r="I1093" t="s">
        <v>7968</v>
      </c>
      <c r="J1093" t="s">
        <v>7969</v>
      </c>
      <c r="K1093" t="s">
        <v>7970</v>
      </c>
      <c r="L1093">
        <v>1234</v>
      </c>
      <c r="M1093" t="s">
        <v>645</v>
      </c>
      <c r="N1093" t="s">
        <v>398</v>
      </c>
      <c r="O1093" t="s">
        <v>2435</v>
      </c>
      <c r="P1093">
        <v>3234</v>
      </c>
    </row>
    <row r="1094" spans="1:16" x14ac:dyDescent="0.3">
      <c r="A1094" t="s">
        <v>7971</v>
      </c>
      <c r="B1094" t="s">
        <v>7972</v>
      </c>
      <c r="C1094" t="s">
        <v>7973</v>
      </c>
      <c r="D1094" t="s">
        <v>2561</v>
      </c>
      <c r="E1094" t="s">
        <v>7974</v>
      </c>
      <c r="F1094" t="s">
        <v>7975</v>
      </c>
      <c r="G1094">
        <v>0</v>
      </c>
      <c r="H1094">
        <v>0</v>
      </c>
      <c r="I1094" t="s">
        <v>7976</v>
      </c>
      <c r="J1094">
        <f>-2- 8826-6880</f>
        <v>-15708</v>
      </c>
      <c r="K1094" t="s">
        <v>7977</v>
      </c>
      <c r="L1094">
        <v>1234</v>
      </c>
      <c r="M1094" t="s">
        <v>645</v>
      </c>
      <c r="N1094" t="s">
        <v>779</v>
      </c>
      <c r="O1094" t="s">
        <v>780</v>
      </c>
      <c r="P1094">
        <v>3228</v>
      </c>
    </row>
    <row r="1095" spans="1:16" x14ac:dyDescent="0.3">
      <c r="A1095" t="s">
        <v>7978</v>
      </c>
      <c r="B1095" t="s">
        <v>4030</v>
      </c>
      <c r="C1095" t="s">
        <v>4031</v>
      </c>
      <c r="D1095" t="s">
        <v>4032</v>
      </c>
      <c r="E1095" t="s">
        <v>4033</v>
      </c>
      <c r="F1095" t="s">
        <v>4034</v>
      </c>
      <c r="G1095">
        <v>2.14576721183104E-4</v>
      </c>
      <c r="H1095">
        <v>-3.2186508178710897E-5</v>
      </c>
      <c r="I1095" t="s">
        <v>4035</v>
      </c>
      <c r="J1095" t="s">
        <v>4036</v>
      </c>
      <c r="K1095" t="s">
        <v>7979</v>
      </c>
      <c r="L1095">
        <v>1234</v>
      </c>
      <c r="M1095" t="s">
        <v>645</v>
      </c>
      <c r="N1095" t="s">
        <v>336</v>
      </c>
      <c r="O1095" t="s">
        <v>515</v>
      </c>
      <c r="P1095">
        <v>3221</v>
      </c>
    </row>
    <row r="1096" spans="1:16" x14ac:dyDescent="0.3">
      <c r="A1096" t="s">
        <v>7980</v>
      </c>
      <c r="B1096" t="s">
        <v>7981</v>
      </c>
      <c r="C1096" t="s">
        <v>2379</v>
      </c>
      <c r="D1096" t="s">
        <v>7982</v>
      </c>
      <c r="E1096" t="s">
        <v>2994</v>
      </c>
      <c r="F1096" t="s">
        <v>7983</v>
      </c>
      <c r="G1096">
        <v>0</v>
      </c>
      <c r="H1096">
        <v>0</v>
      </c>
      <c r="I1096" t="s">
        <v>7984</v>
      </c>
      <c r="J1096" t="s">
        <v>7985</v>
      </c>
      <c r="K1096" t="s">
        <v>7986</v>
      </c>
      <c r="L1096">
        <v>1234</v>
      </c>
      <c r="M1096" t="s">
        <v>645</v>
      </c>
      <c r="N1096" t="s">
        <v>336</v>
      </c>
      <c r="O1096" t="s">
        <v>441</v>
      </c>
      <c r="P1096">
        <v>2994</v>
      </c>
    </row>
    <row r="1097" spans="1:16" x14ac:dyDescent="0.3">
      <c r="A1097" t="s">
        <v>7987</v>
      </c>
      <c r="B1097" t="s">
        <v>2804</v>
      </c>
      <c r="C1097" t="s">
        <v>7988</v>
      </c>
      <c r="E1097" t="s">
        <v>1276</v>
      </c>
      <c r="F1097" t="s">
        <v>7989</v>
      </c>
      <c r="I1097" t="s">
        <v>7990</v>
      </c>
      <c r="J1097" t="s">
        <v>7991</v>
      </c>
      <c r="K1097" t="s">
        <v>7992</v>
      </c>
      <c r="L1097">
        <v>1234</v>
      </c>
      <c r="M1097" t="s">
        <v>645</v>
      </c>
      <c r="N1097" t="s">
        <v>336</v>
      </c>
      <c r="O1097" t="s">
        <v>515</v>
      </c>
      <c r="P1097">
        <v>3233</v>
      </c>
    </row>
    <row r="1098" spans="1:16" x14ac:dyDescent="0.3">
      <c r="A1098" t="s">
        <v>7993</v>
      </c>
      <c r="B1098" t="s">
        <v>7994</v>
      </c>
      <c r="C1098" t="s">
        <v>7995</v>
      </c>
      <c r="D1098" t="s">
        <v>7996</v>
      </c>
      <c r="E1098" t="s">
        <v>7997</v>
      </c>
      <c r="F1098" t="s">
        <v>7998</v>
      </c>
      <c r="G1098">
        <v>0</v>
      </c>
      <c r="H1098">
        <v>0</v>
      </c>
      <c r="I1098" t="s">
        <v>7999</v>
      </c>
      <c r="J1098" t="s">
        <v>8000</v>
      </c>
      <c r="K1098" t="s">
        <v>8001</v>
      </c>
      <c r="L1098">
        <v>1234</v>
      </c>
      <c r="M1098" t="s">
        <v>645</v>
      </c>
      <c r="N1098" t="s">
        <v>398</v>
      </c>
      <c r="O1098" t="s">
        <v>582</v>
      </c>
      <c r="P1098">
        <v>3229</v>
      </c>
    </row>
    <row r="1099" spans="1:16" x14ac:dyDescent="0.3">
      <c r="A1099" t="s">
        <v>8002</v>
      </c>
      <c r="B1099" t="s">
        <v>8003</v>
      </c>
      <c r="C1099" t="s">
        <v>8004</v>
      </c>
      <c r="D1099" t="s">
        <v>4313</v>
      </c>
      <c r="E1099" t="s">
        <v>680</v>
      </c>
      <c r="F1099" t="s">
        <v>8005</v>
      </c>
      <c r="G1099">
        <v>0</v>
      </c>
      <c r="H1099">
        <v>0</v>
      </c>
      <c r="I1099" t="s">
        <v>8006</v>
      </c>
      <c r="J1099" t="s">
        <v>8007</v>
      </c>
      <c r="K1099" t="s">
        <v>8008</v>
      </c>
      <c r="L1099">
        <v>1234</v>
      </c>
      <c r="M1099" t="s">
        <v>645</v>
      </c>
      <c r="N1099" t="s">
        <v>398</v>
      </c>
      <c r="O1099" t="s">
        <v>685</v>
      </c>
      <c r="P1099">
        <v>3138</v>
      </c>
    </row>
    <row r="1100" spans="1:16" x14ac:dyDescent="0.3">
      <c r="A1100" t="s">
        <v>8009</v>
      </c>
      <c r="B1100" t="s">
        <v>8010</v>
      </c>
      <c r="C1100" t="s">
        <v>8011</v>
      </c>
      <c r="D1100" t="s">
        <v>8012</v>
      </c>
      <c r="E1100" t="s">
        <v>8013</v>
      </c>
      <c r="F1100" t="s">
        <v>8014</v>
      </c>
      <c r="G1100">
        <v>0</v>
      </c>
      <c r="H1100">
        <v>0</v>
      </c>
      <c r="I1100" t="s">
        <v>8015</v>
      </c>
      <c r="J1100">
        <v>9362885459</v>
      </c>
      <c r="K1100" t="s">
        <v>8016</v>
      </c>
      <c r="L1100">
        <v>1234</v>
      </c>
      <c r="M1100" t="s">
        <v>645</v>
      </c>
      <c r="N1100" t="s">
        <v>336</v>
      </c>
      <c r="O1100" t="s">
        <v>441</v>
      </c>
      <c r="P1100">
        <v>3244</v>
      </c>
    </row>
    <row r="1101" spans="1:16" x14ac:dyDescent="0.3">
      <c r="A1101" t="s">
        <v>8017</v>
      </c>
      <c r="B1101" t="s">
        <v>8018</v>
      </c>
      <c r="C1101" t="s">
        <v>8019</v>
      </c>
      <c r="D1101" t="s">
        <v>8020</v>
      </c>
      <c r="E1101" t="s">
        <v>286</v>
      </c>
      <c r="F1101" t="s">
        <v>8021</v>
      </c>
      <c r="G1101">
        <v>0</v>
      </c>
      <c r="H1101">
        <v>0</v>
      </c>
      <c r="I1101" t="s">
        <v>8022</v>
      </c>
      <c r="J1101" t="s">
        <v>8023</v>
      </c>
      <c r="K1101" t="s">
        <v>8024</v>
      </c>
      <c r="L1101">
        <v>1234</v>
      </c>
      <c r="M1101" t="s">
        <v>645</v>
      </c>
      <c r="N1101" t="s">
        <v>398</v>
      </c>
      <c r="O1101" t="s">
        <v>685</v>
      </c>
      <c r="P1101">
        <v>3151</v>
      </c>
    </row>
    <row r="1102" spans="1:16" x14ac:dyDescent="0.3">
      <c r="A1102" t="s">
        <v>8025</v>
      </c>
      <c r="B1102" t="s">
        <v>8026</v>
      </c>
      <c r="C1102" t="s">
        <v>8027</v>
      </c>
      <c r="D1102" t="s">
        <v>585</v>
      </c>
      <c r="E1102" t="s">
        <v>8028</v>
      </c>
      <c r="F1102" t="s">
        <v>8029</v>
      </c>
      <c r="I1102" t="s">
        <v>8030</v>
      </c>
      <c r="J1102" t="s">
        <v>8031</v>
      </c>
      <c r="K1102" t="s">
        <v>8032</v>
      </c>
      <c r="L1102">
        <v>1234</v>
      </c>
      <c r="M1102" t="s">
        <v>645</v>
      </c>
      <c r="N1102" t="s">
        <v>398</v>
      </c>
      <c r="O1102" t="s">
        <v>1104</v>
      </c>
      <c r="P1102">
        <v>2820</v>
      </c>
    </row>
    <row r="1103" spans="1:16" x14ac:dyDescent="0.3">
      <c r="A1103" t="s">
        <v>8033</v>
      </c>
      <c r="B1103" t="s">
        <v>1182</v>
      </c>
      <c r="C1103" t="s">
        <v>8034</v>
      </c>
      <c r="D1103" t="s">
        <v>2576</v>
      </c>
      <c r="E1103" t="s">
        <v>1276</v>
      </c>
      <c r="F1103" t="s">
        <v>8035</v>
      </c>
      <c r="I1103" t="s">
        <v>8036</v>
      </c>
      <c r="J1103" t="s">
        <v>8037</v>
      </c>
      <c r="K1103" t="s">
        <v>8038</v>
      </c>
      <c r="L1103">
        <v>1234</v>
      </c>
      <c r="M1103" t="s">
        <v>645</v>
      </c>
      <c r="N1103" t="s">
        <v>398</v>
      </c>
      <c r="O1103" t="s">
        <v>2435</v>
      </c>
      <c r="P1103">
        <v>3149</v>
      </c>
    </row>
    <row r="1104" spans="1:16" x14ac:dyDescent="0.3">
      <c r="A1104" t="s">
        <v>8039</v>
      </c>
      <c r="B1104" t="s">
        <v>8040</v>
      </c>
      <c r="C1104" t="s">
        <v>6272</v>
      </c>
      <c r="D1104" t="s">
        <v>8041</v>
      </c>
      <c r="E1104" t="s">
        <v>329</v>
      </c>
      <c r="F1104" t="s">
        <v>8042</v>
      </c>
      <c r="G1104">
        <v>0</v>
      </c>
      <c r="H1104">
        <v>0</v>
      </c>
      <c r="I1104" t="s">
        <v>8043</v>
      </c>
      <c r="J1104" t="s">
        <v>8044</v>
      </c>
      <c r="K1104" t="s">
        <v>8045</v>
      </c>
      <c r="L1104">
        <v>1234</v>
      </c>
      <c r="M1104" t="s">
        <v>645</v>
      </c>
      <c r="N1104" t="s">
        <v>369</v>
      </c>
      <c r="O1104" t="s">
        <v>370</v>
      </c>
      <c r="P1104">
        <v>3094</v>
      </c>
    </row>
    <row r="1105" spans="1:17" x14ac:dyDescent="0.3">
      <c r="A1105" t="s">
        <v>8046</v>
      </c>
      <c r="B1105" t="s">
        <v>1983</v>
      </c>
      <c r="C1105" t="s">
        <v>8047</v>
      </c>
      <c r="D1105" t="s">
        <v>5095</v>
      </c>
      <c r="E1105" t="s">
        <v>1572</v>
      </c>
      <c r="F1105" t="s">
        <v>8048</v>
      </c>
      <c r="G1105">
        <v>0</v>
      </c>
      <c r="H1105">
        <v>0</v>
      </c>
      <c r="I1105" t="s">
        <v>8049</v>
      </c>
      <c r="J1105">
        <v>9178244230</v>
      </c>
      <c r="K1105" t="s">
        <v>8050</v>
      </c>
      <c r="L1105">
        <v>1234</v>
      </c>
      <c r="M1105" t="s">
        <v>645</v>
      </c>
      <c r="N1105" t="s">
        <v>336</v>
      </c>
      <c r="O1105" t="s">
        <v>5125</v>
      </c>
      <c r="P1105">
        <v>3121</v>
      </c>
    </row>
    <row r="1106" spans="1:17" x14ac:dyDescent="0.3">
      <c r="A1106" t="s">
        <v>8002</v>
      </c>
      <c r="B1106" t="s">
        <v>8003</v>
      </c>
      <c r="C1106" t="s">
        <v>8004</v>
      </c>
      <c r="D1106" t="s">
        <v>4313</v>
      </c>
      <c r="E1106" t="s">
        <v>680</v>
      </c>
      <c r="F1106" t="s">
        <v>8005</v>
      </c>
      <c r="G1106">
        <v>0</v>
      </c>
      <c r="H1106">
        <v>0</v>
      </c>
      <c r="I1106" t="s">
        <v>8006</v>
      </c>
      <c r="J1106" t="s">
        <v>8007</v>
      </c>
      <c r="K1106" t="s">
        <v>8008</v>
      </c>
      <c r="L1106">
        <v>1234</v>
      </c>
      <c r="M1106" t="s">
        <v>645</v>
      </c>
      <c r="N1106" t="s">
        <v>398</v>
      </c>
      <c r="O1106" t="s">
        <v>685</v>
      </c>
      <c r="P1106">
        <v>3138</v>
      </c>
    </row>
    <row r="1107" spans="1:17" x14ac:dyDescent="0.3">
      <c r="A1107" t="s">
        <v>8051</v>
      </c>
      <c r="B1107" t="s">
        <v>8052</v>
      </c>
      <c r="C1107" t="s">
        <v>8053</v>
      </c>
      <c r="D1107" t="s">
        <v>8054</v>
      </c>
      <c r="E1107" t="s">
        <v>8055</v>
      </c>
      <c r="F1107" t="s">
        <v>8056</v>
      </c>
      <c r="I1107" t="s">
        <v>8057</v>
      </c>
      <c r="J1107" t="s">
        <v>8058</v>
      </c>
      <c r="K1107" t="s">
        <v>8059</v>
      </c>
      <c r="L1107" t="s">
        <v>8060</v>
      </c>
      <c r="M1107" t="s">
        <v>645</v>
      </c>
      <c r="N1107" t="s">
        <v>336</v>
      </c>
      <c r="O1107" t="s">
        <v>337</v>
      </c>
      <c r="P1107">
        <v>3248</v>
      </c>
      <c r="Q1107" t="s">
        <v>8061</v>
      </c>
    </row>
    <row r="1108" spans="1:17" x14ac:dyDescent="0.3">
      <c r="A1108" t="s">
        <v>8062</v>
      </c>
      <c r="B1108" t="s">
        <v>8063</v>
      </c>
      <c r="C1108" t="s">
        <v>8064</v>
      </c>
      <c r="D1108" t="s">
        <v>1319</v>
      </c>
      <c r="E1108" t="s">
        <v>3723</v>
      </c>
      <c r="F1108" t="s">
        <v>8065</v>
      </c>
      <c r="I1108" t="s">
        <v>8066</v>
      </c>
      <c r="J1108" t="s">
        <v>8067</v>
      </c>
      <c r="K1108">
        <v>3218</v>
      </c>
      <c r="L1108">
        <v>1234</v>
      </c>
      <c r="M1108" t="s">
        <v>645</v>
      </c>
      <c r="N1108" t="s">
        <v>398</v>
      </c>
      <c r="O1108" t="s">
        <v>582</v>
      </c>
      <c r="P1108" t="s">
        <v>8068</v>
      </c>
    </row>
    <row r="1109" spans="1:17" x14ac:dyDescent="0.3">
      <c r="A1109" t="s">
        <v>8069</v>
      </c>
      <c r="B1109" t="s">
        <v>7926</v>
      </c>
      <c r="C1109" t="s">
        <v>8070</v>
      </c>
      <c r="D1109" t="s">
        <v>1433</v>
      </c>
      <c r="E1109" t="s">
        <v>1276</v>
      </c>
      <c r="F1109" t="s">
        <v>8071</v>
      </c>
      <c r="I1109" t="s">
        <v>8072</v>
      </c>
      <c r="J1109" t="s">
        <v>8073</v>
      </c>
      <c r="K1109" t="s">
        <v>8074</v>
      </c>
      <c r="L1109">
        <v>1234</v>
      </c>
      <c r="M1109" t="s">
        <v>645</v>
      </c>
      <c r="N1109" t="s">
        <v>398</v>
      </c>
      <c r="O1109" t="s">
        <v>685</v>
      </c>
      <c r="P1109">
        <v>3171</v>
      </c>
    </row>
    <row r="1110" spans="1:17" x14ac:dyDescent="0.3">
      <c r="A1110" t="s">
        <v>8075</v>
      </c>
      <c r="B1110" t="s">
        <v>3458</v>
      </c>
      <c r="C1110" t="s">
        <v>8076</v>
      </c>
      <c r="D1110" t="s">
        <v>5030</v>
      </c>
      <c r="E1110" t="s">
        <v>1276</v>
      </c>
      <c r="F1110" t="s">
        <v>8077</v>
      </c>
      <c r="I1110" t="s">
        <v>8078</v>
      </c>
      <c r="J1110" t="s">
        <v>8079</v>
      </c>
      <c r="K1110" t="s">
        <v>8080</v>
      </c>
      <c r="L1110">
        <v>1234</v>
      </c>
      <c r="M1110" t="s">
        <v>645</v>
      </c>
      <c r="N1110" t="s">
        <v>398</v>
      </c>
      <c r="O1110" t="s">
        <v>685</v>
      </c>
      <c r="P1110">
        <v>3214</v>
      </c>
    </row>
    <row r="1111" spans="1:17" x14ac:dyDescent="0.3">
      <c r="A1111" t="s">
        <v>8062</v>
      </c>
      <c r="B1111" t="s">
        <v>8063</v>
      </c>
      <c r="C1111" t="s">
        <v>8064</v>
      </c>
      <c r="D1111" t="s">
        <v>1319</v>
      </c>
      <c r="E1111" t="s">
        <v>3723</v>
      </c>
      <c r="F1111" t="s">
        <v>8065</v>
      </c>
      <c r="I1111" t="s">
        <v>8066</v>
      </c>
      <c r="J1111" t="s">
        <v>8067</v>
      </c>
      <c r="K1111" t="s">
        <v>8068</v>
      </c>
      <c r="L1111" t="s">
        <v>8081</v>
      </c>
      <c r="M1111" t="s">
        <v>645</v>
      </c>
      <c r="N1111" t="s">
        <v>398</v>
      </c>
      <c r="O1111" t="s">
        <v>582</v>
      </c>
      <c r="P1111">
        <v>3218</v>
      </c>
    </row>
    <row r="1112" spans="1:17" x14ac:dyDescent="0.3">
      <c r="A1112" t="s">
        <v>8082</v>
      </c>
      <c r="B1112" t="s">
        <v>8083</v>
      </c>
      <c r="C1112" t="s">
        <v>497</v>
      </c>
      <c r="D1112" t="s">
        <v>1879</v>
      </c>
      <c r="E1112" t="s">
        <v>7283</v>
      </c>
      <c r="F1112" t="s">
        <v>6273</v>
      </c>
      <c r="G1112">
        <v>0</v>
      </c>
      <c r="H1112">
        <v>0</v>
      </c>
      <c r="I1112" t="s">
        <v>8084</v>
      </c>
      <c r="J1112" t="s">
        <v>8085</v>
      </c>
      <c r="K1112" t="s">
        <v>8086</v>
      </c>
      <c r="L1112" t="s">
        <v>8087</v>
      </c>
      <c r="M1112" t="s">
        <v>645</v>
      </c>
      <c r="N1112" t="s">
        <v>398</v>
      </c>
      <c r="O1112" t="s">
        <v>2435</v>
      </c>
      <c r="P1112">
        <v>3100</v>
      </c>
      <c r="Q1112" t="s">
        <v>8088</v>
      </c>
    </row>
    <row r="1113" spans="1:17" x14ac:dyDescent="0.3">
      <c r="A1113" t="s">
        <v>8089</v>
      </c>
      <c r="B1113" t="s">
        <v>476</v>
      </c>
      <c r="C1113" t="s">
        <v>8090</v>
      </c>
      <c r="D1113" t="s">
        <v>8091</v>
      </c>
      <c r="E1113" t="s">
        <v>8092</v>
      </c>
      <c r="F1113" t="s">
        <v>8093</v>
      </c>
      <c r="G1113">
        <v>0</v>
      </c>
      <c r="H1113">
        <v>0</v>
      </c>
      <c r="I1113" t="s">
        <v>8094</v>
      </c>
      <c r="J1113">
        <v>9977830321</v>
      </c>
      <c r="K1113" t="s">
        <v>8095</v>
      </c>
      <c r="L1113">
        <v>1234</v>
      </c>
      <c r="M1113" t="s">
        <v>645</v>
      </c>
      <c r="N1113" t="s">
        <v>398</v>
      </c>
      <c r="O1113" t="s">
        <v>2435</v>
      </c>
      <c r="P1113">
        <v>3157</v>
      </c>
      <c r="Q1113" t="s">
        <v>8096</v>
      </c>
    </row>
    <row r="1114" spans="1:17" x14ac:dyDescent="0.3">
      <c r="A1114" t="s">
        <v>8097</v>
      </c>
      <c r="B1114" t="s">
        <v>3938</v>
      </c>
      <c r="C1114" t="s">
        <v>3939</v>
      </c>
      <c r="D1114" t="s">
        <v>3940</v>
      </c>
      <c r="E1114" t="s">
        <v>680</v>
      </c>
      <c r="F1114" t="s">
        <v>8098</v>
      </c>
      <c r="G1114">
        <v>0</v>
      </c>
      <c r="H1114">
        <v>0</v>
      </c>
      <c r="I1114" t="s">
        <v>3942</v>
      </c>
      <c r="J1114">
        <v>9052149225</v>
      </c>
      <c r="K1114" t="s">
        <v>8099</v>
      </c>
      <c r="L1114">
        <v>1234</v>
      </c>
      <c r="M1114" t="s">
        <v>645</v>
      </c>
      <c r="N1114" t="s">
        <v>398</v>
      </c>
      <c r="O1114" t="s">
        <v>582</v>
      </c>
      <c r="P1114">
        <v>3141</v>
      </c>
    </row>
    <row r="1115" spans="1:17" x14ac:dyDescent="0.3">
      <c r="A1115" t="s">
        <v>8100</v>
      </c>
      <c r="B1115" t="s">
        <v>3938</v>
      </c>
      <c r="C1115" t="s">
        <v>3939</v>
      </c>
      <c r="D1115" t="s">
        <v>3940</v>
      </c>
      <c r="E1115" t="s">
        <v>7020</v>
      </c>
      <c r="F1115" t="s">
        <v>8101</v>
      </c>
      <c r="G1115">
        <v>0</v>
      </c>
      <c r="H1115">
        <v>0</v>
      </c>
      <c r="I1115" t="s">
        <v>3942</v>
      </c>
      <c r="J1115">
        <v>9052149225</v>
      </c>
      <c r="K1115" t="s">
        <v>8102</v>
      </c>
      <c r="L1115">
        <v>1234</v>
      </c>
      <c r="M1115" t="s">
        <v>645</v>
      </c>
      <c r="N1115" t="s">
        <v>398</v>
      </c>
      <c r="O1115" t="s">
        <v>582</v>
      </c>
      <c r="P1115">
        <v>3198</v>
      </c>
    </row>
    <row r="1116" spans="1:17" x14ac:dyDescent="0.3">
      <c r="A1116" t="s">
        <v>8103</v>
      </c>
      <c r="B1116" t="s">
        <v>8104</v>
      </c>
      <c r="C1116" t="s">
        <v>5427</v>
      </c>
      <c r="D1116" t="s">
        <v>476</v>
      </c>
      <c r="E1116" t="s">
        <v>8105</v>
      </c>
      <c r="F1116" t="s">
        <v>8106</v>
      </c>
      <c r="G1116">
        <v>0</v>
      </c>
      <c r="H1116">
        <v>0</v>
      </c>
      <c r="I1116" t="s">
        <v>8107</v>
      </c>
      <c r="J1116" t="s">
        <v>8108</v>
      </c>
      <c r="K1116" t="s">
        <v>8109</v>
      </c>
      <c r="L1116">
        <v>1234</v>
      </c>
      <c r="M1116" t="s">
        <v>645</v>
      </c>
      <c r="N1116" t="s">
        <v>398</v>
      </c>
      <c r="O1116" t="s">
        <v>582</v>
      </c>
      <c r="P1116">
        <v>2755</v>
      </c>
    </row>
    <row r="1117" spans="1:17" x14ac:dyDescent="0.3">
      <c r="A1117" t="s">
        <v>8110</v>
      </c>
      <c r="B1117" t="s">
        <v>8111</v>
      </c>
      <c r="C1117" t="s">
        <v>6074</v>
      </c>
      <c r="D1117" t="s">
        <v>782</v>
      </c>
      <c r="E1117" t="s">
        <v>7283</v>
      </c>
      <c r="F1117" t="s">
        <v>8112</v>
      </c>
      <c r="G1117">
        <v>2.1457672118310401E-5</v>
      </c>
      <c r="H1117">
        <v>5.14984130859375E-4</v>
      </c>
      <c r="I1117" t="s">
        <v>8113</v>
      </c>
      <c r="J1117" t="s">
        <v>8114</v>
      </c>
      <c r="K1117" t="s">
        <v>8115</v>
      </c>
      <c r="L1117">
        <v>1234</v>
      </c>
      <c r="M1117" t="s">
        <v>645</v>
      </c>
      <c r="N1117" t="s">
        <v>336</v>
      </c>
      <c r="O1117" t="s">
        <v>8116</v>
      </c>
      <c r="P1117">
        <v>1412</v>
      </c>
      <c r="Q1117" t="s">
        <v>8117</v>
      </c>
    </row>
    <row r="1118" spans="1:17" x14ac:dyDescent="0.3">
      <c r="A1118" t="s">
        <v>7280</v>
      </c>
      <c r="B1118" t="s">
        <v>8118</v>
      </c>
      <c r="C1118" t="s">
        <v>8119</v>
      </c>
      <c r="D1118" t="s">
        <v>974</v>
      </c>
      <c r="E1118" t="s">
        <v>7283</v>
      </c>
      <c r="F1118" t="s">
        <v>7284</v>
      </c>
      <c r="I1118" t="s">
        <v>8120</v>
      </c>
      <c r="J1118" t="s">
        <v>8121</v>
      </c>
      <c r="K1118" t="s">
        <v>7287</v>
      </c>
      <c r="L1118">
        <v>1234</v>
      </c>
      <c r="M1118" t="s">
        <v>645</v>
      </c>
      <c r="N1118" t="s">
        <v>336</v>
      </c>
      <c r="O1118" t="s">
        <v>441</v>
      </c>
      <c r="P1118">
        <v>2789</v>
      </c>
    </row>
    <row r="1119" spans="1:17" x14ac:dyDescent="0.3">
      <c r="A1119" t="s">
        <v>8122</v>
      </c>
      <c r="B1119" t="s">
        <v>8123</v>
      </c>
      <c r="C1119" t="s">
        <v>8124</v>
      </c>
      <c r="D1119" t="s">
        <v>8125</v>
      </c>
      <c r="E1119" t="s">
        <v>1470</v>
      </c>
      <c r="F1119" t="s">
        <v>8126</v>
      </c>
      <c r="J1119" t="s">
        <v>8127</v>
      </c>
      <c r="K1119" t="s">
        <v>8128</v>
      </c>
      <c r="L1119">
        <v>1234</v>
      </c>
      <c r="M1119" t="s">
        <v>645</v>
      </c>
      <c r="N1119" t="s">
        <v>398</v>
      </c>
      <c r="O1119" t="s">
        <v>582</v>
      </c>
      <c r="P1119">
        <v>3161</v>
      </c>
    </row>
    <row r="1120" spans="1:17" x14ac:dyDescent="0.3">
      <c r="A1120" t="s">
        <v>8129</v>
      </c>
      <c r="B1120" t="s">
        <v>5740</v>
      </c>
      <c r="C1120" t="s">
        <v>7328</v>
      </c>
      <c r="D1120" t="s">
        <v>5741</v>
      </c>
      <c r="E1120" t="s">
        <v>1985</v>
      </c>
      <c r="F1120" t="s">
        <v>8130</v>
      </c>
      <c r="G1120">
        <v>0</v>
      </c>
      <c r="H1120">
        <v>0</v>
      </c>
      <c r="I1120" t="s">
        <v>8131</v>
      </c>
      <c r="J1120">
        <v>9499940194</v>
      </c>
      <c r="K1120" t="s">
        <v>8132</v>
      </c>
      <c r="L1120">
        <v>1010</v>
      </c>
      <c r="M1120" t="s">
        <v>645</v>
      </c>
      <c r="N1120" t="s">
        <v>931</v>
      </c>
      <c r="O1120" t="s">
        <v>8133</v>
      </c>
      <c r="P1120">
        <v>3257</v>
      </c>
    </row>
    <row r="1121" spans="1:16" x14ac:dyDescent="0.3">
      <c r="A1121" t="s">
        <v>8134</v>
      </c>
      <c r="B1121" t="s">
        <v>8135</v>
      </c>
      <c r="C1121" t="s">
        <v>8136</v>
      </c>
      <c r="D1121" t="s">
        <v>8137</v>
      </c>
      <c r="E1121" t="s">
        <v>310</v>
      </c>
      <c r="F1121" t="s">
        <v>8138</v>
      </c>
      <c r="G1121">
        <v>5.4931640540943696E-3</v>
      </c>
      <c r="H1121">
        <v>6.866455078125E-3</v>
      </c>
      <c r="I1121" t="s">
        <v>8139</v>
      </c>
      <c r="J1121">
        <v>9513020760</v>
      </c>
      <c r="K1121" t="s">
        <v>8140</v>
      </c>
      <c r="L1121">
        <v>4321</v>
      </c>
      <c r="M1121" t="s">
        <v>645</v>
      </c>
      <c r="N1121" t="s">
        <v>8141</v>
      </c>
      <c r="O1121" t="s">
        <v>8142</v>
      </c>
      <c r="P1121">
        <v>3208</v>
      </c>
    </row>
    <row r="1122" spans="1:16" x14ac:dyDescent="0.3">
      <c r="A1122" t="s">
        <v>8143</v>
      </c>
      <c r="B1122" t="s">
        <v>3335</v>
      </c>
      <c r="C1122" t="s">
        <v>8144</v>
      </c>
      <c r="D1122" t="s">
        <v>1154</v>
      </c>
      <c r="E1122" t="s">
        <v>3723</v>
      </c>
      <c r="F1122" t="s">
        <v>8145</v>
      </c>
      <c r="I1122" t="s">
        <v>8146</v>
      </c>
      <c r="J1122" t="s">
        <v>8147</v>
      </c>
      <c r="K1122" t="s">
        <v>8148</v>
      </c>
      <c r="L1122">
        <v>1234</v>
      </c>
      <c r="M1122" t="s">
        <v>645</v>
      </c>
      <c r="N1122" t="s">
        <v>336</v>
      </c>
      <c r="O1122" t="s">
        <v>515</v>
      </c>
      <c r="P1122">
        <v>3252</v>
      </c>
    </row>
    <row r="1123" spans="1:16" x14ac:dyDescent="0.3">
      <c r="A1123" t="s">
        <v>8149</v>
      </c>
      <c r="B1123" t="s">
        <v>3335</v>
      </c>
      <c r="C1123" t="s">
        <v>8144</v>
      </c>
      <c r="D1123" t="s">
        <v>1154</v>
      </c>
      <c r="E1123" t="s">
        <v>3723</v>
      </c>
      <c r="F1123" t="s">
        <v>8150</v>
      </c>
      <c r="I1123" t="s">
        <v>8146</v>
      </c>
      <c r="J1123" t="s">
        <v>8147</v>
      </c>
      <c r="K1123" t="s">
        <v>8151</v>
      </c>
      <c r="L1123">
        <v>1234</v>
      </c>
      <c r="M1123" t="s">
        <v>645</v>
      </c>
      <c r="N1123" t="s">
        <v>398</v>
      </c>
      <c r="O1123" t="s">
        <v>582</v>
      </c>
      <c r="P1123">
        <v>3255</v>
      </c>
    </row>
    <row r="1124" spans="1:16" x14ac:dyDescent="0.3">
      <c r="A1124" t="s">
        <v>3727</v>
      </c>
      <c r="B1124" t="s">
        <v>3728</v>
      </c>
      <c r="C1124" t="s">
        <v>3729</v>
      </c>
      <c r="D1124" t="s">
        <v>703</v>
      </c>
      <c r="E1124" t="s">
        <v>1062</v>
      </c>
      <c r="F1124" t="s">
        <v>3730</v>
      </c>
      <c r="G1124">
        <v>15.1772852730256</v>
      </c>
      <c r="H1124">
        <v>120.529568195343</v>
      </c>
      <c r="I1124" t="s">
        <v>3731</v>
      </c>
      <c r="J1124">
        <v>454998101</v>
      </c>
      <c r="K1124" t="s">
        <v>3732</v>
      </c>
      <c r="L1124">
        <v>1234</v>
      </c>
      <c r="M1124" s="1">
        <v>43220</v>
      </c>
      <c r="N1124" t="s">
        <v>369</v>
      </c>
      <c r="O1124" t="s">
        <v>2181</v>
      </c>
      <c r="P1124">
        <v>2123</v>
      </c>
    </row>
    <row r="1125" spans="1:16" x14ac:dyDescent="0.3">
      <c r="A1125" t="s">
        <v>8152</v>
      </c>
      <c r="B1125" t="s">
        <v>8153</v>
      </c>
      <c r="C1125" t="s">
        <v>8154</v>
      </c>
      <c r="D1125" t="s">
        <v>8155</v>
      </c>
      <c r="E1125" t="s">
        <v>8156</v>
      </c>
      <c r="F1125" t="s">
        <v>8157</v>
      </c>
      <c r="I1125" t="s">
        <v>8158</v>
      </c>
      <c r="J1125" t="s">
        <v>8159</v>
      </c>
      <c r="K1125" t="s">
        <v>8160</v>
      </c>
      <c r="L1125">
        <v>1234</v>
      </c>
      <c r="M1125" t="s">
        <v>645</v>
      </c>
      <c r="N1125" t="s">
        <v>398</v>
      </c>
      <c r="O1125" t="s">
        <v>582</v>
      </c>
      <c r="P1125">
        <v>3243</v>
      </c>
    </row>
    <row r="1126" spans="1:16" x14ac:dyDescent="0.3">
      <c r="A1126" t="s">
        <v>8161</v>
      </c>
      <c r="B1126" t="s">
        <v>2319</v>
      </c>
      <c r="C1126" t="s">
        <v>8162</v>
      </c>
      <c r="D1126" t="s">
        <v>8163</v>
      </c>
      <c r="E1126" t="s">
        <v>329</v>
      </c>
      <c r="F1126" t="s">
        <v>6648</v>
      </c>
      <c r="I1126" t="s">
        <v>8164</v>
      </c>
      <c r="J1126">
        <v>9950177666</v>
      </c>
      <c r="K1126" t="s">
        <v>8165</v>
      </c>
      <c r="L1126">
        <v>1234</v>
      </c>
      <c r="M1126" t="s">
        <v>645</v>
      </c>
      <c r="N1126" t="s">
        <v>398</v>
      </c>
      <c r="O1126" t="s">
        <v>8166</v>
      </c>
      <c r="P1126">
        <v>3086</v>
      </c>
    </row>
    <row r="1127" spans="1:16" x14ac:dyDescent="0.3">
      <c r="A1127" t="s">
        <v>8167</v>
      </c>
      <c r="B1127" t="s">
        <v>384</v>
      </c>
      <c r="C1127" t="s">
        <v>6389</v>
      </c>
      <c r="D1127" t="s">
        <v>4109</v>
      </c>
      <c r="E1127" t="s">
        <v>8168</v>
      </c>
      <c r="F1127" t="s">
        <v>8169</v>
      </c>
      <c r="G1127">
        <v>15.1875</v>
      </c>
      <c r="H1127">
        <v>120.54882000000001</v>
      </c>
      <c r="I1127" t="s">
        <v>8170</v>
      </c>
      <c r="J1127">
        <v>9176521932</v>
      </c>
      <c r="K1127" t="s">
        <v>8171</v>
      </c>
      <c r="L1127">
        <v>1234</v>
      </c>
      <c r="M1127" t="s">
        <v>645</v>
      </c>
      <c r="N1127" t="s">
        <v>871</v>
      </c>
      <c r="O1127" t="s">
        <v>1628</v>
      </c>
      <c r="P1127">
        <v>2504</v>
      </c>
    </row>
    <row r="1128" spans="1:16" x14ac:dyDescent="0.3">
      <c r="A1128" t="s">
        <v>8172</v>
      </c>
      <c r="B1128" t="s">
        <v>476</v>
      </c>
      <c r="C1128" t="s">
        <v>8173</v>
      </c>
      <c r="D1128" t="s">
        <v>8174</v>
      </c>
      <c r="E1128" t="s">
        <v>8175</v>
      </c>
      <c r="F1128" t="s">
        <v>8169</v>
      </c>
      <c r="I1128" t="s">
        <v>8176</v>
      </c>
      <c r="J1128" t="s">
        <v>8177</v>
      </c>
      <c r="K1128" t="s">
        <v>8178</v>
      </c>
      <c r="L1128">
        <v>1234</v>
      </c>
      <c r="M1128" t="s">
        <v>645</v>
      </c>
      <c r="N1128" t="s">
        <v>871</v>
      </c>
      <c r="O1128" t="s">
        <v>1628</v>
      </c>
      <c r="P1128">
        <v>2504</v>
      </c>
    </row>
    <row r="1129" spans="1:16" x14ac:dyDescent="0.3">
      <c r="A1129" t="s">
        <v>8167</v>
      </c>
      <c r="B1129" t="s">
        <v>384</v>
      </c>
      <c r="C1129" t="s">
        <v>6389</v>
      </c>
      <c r="D1129" t="s">
        <v>4109</v>
      </c>
      <c r="E1129" t="s">
        <v>8168</v>
      </c>
      <c r="F1129" t="s">
        <v>8169</v>
      </c>
      <c r="G1129">
        <v>15.1875</v>
      </c>
      <c r="H1129">
        <v>120.54882000000001</v>
      </c>
      <c r="I1129" t="s">
        <v>8170</v>
      </c>
      <c r="J1129">
        <v>9176521932</v>
      </c>
      <c r="K1129" t="s">
        <v>8171</v>
      </c>
      <c r="L1129">
        <v>1234</v>
      </c>
      <c r="M1129" t="s">
        <v>645</v>
      </c>
      <c r="N1129" t="s">
        <v>871</v>
      </c>
      <c r="O1129" t="s">
        <v>1628</v>
      </c>
      <c r="P1129">
        <v>2502</v>
      </c>
    </row>
    <row r="1130" spans="1:16" x14ac:dyDescent="0.3">
      <c r="A1130" t="s">
        <v>8179</v>
      </c>
      <c r="B1130" t="s">
        <v>7249</v>
      </c>
      <c r="C1130" t="s">
        <v>8180</v>
      </c>
      <c r="D1130" t="s">
        <v>8181</v>
      </c>
      <c r="E1130" t="s">
        <v>342</v>
      </c>
      <c r="F1130" t="s">
        <v>8182</v>
      </c>
      <c r="G1130">
        <v>0</v>
      </c>
      <c r="H1130">
        <v>0</v>
      </c>
      <c r="I1130" t="s">
        <v>8183</v>
      </c>
      <c r="J1130">
        <v>9451157245</v>
      </c>
      <c r="K1130" t="s">
        <v>8184</v>
      </c>
      <c r="L1130">
        <v>1234</v>
      </c>
      <c r="M1130" t="s">
        <v>645</v>
      </c>
      <c r="N1130" t="s">
        <v>871</v>
      </c>
      <c r="O1130" t="s">
        <v>1628</v>
      </c>
      <c r="P1130">
        <v>3264</v>
      </c>
    </row>
    <row r="1131" spans="1:16" x14ac:dyDescent="0.3">
      <c r="A1131" t="s">
        <v>8185</v>
      </c>
      <c r="B1131" t="s">
        <v>8186</v>
      </c>
      <c r="C1131" t="s">
        <v>8187</v>
      </c>
      <c r="D1131" t="s">
        <v>8188</v>
      </c>
      <c r="E1131" t="s">
        <v>8189</v>
      </c>
      <c r="F1131" t="s">
        <v>8190</v>
      </c>
      <c r="G1131">
        <v>0</v>
      </c>
      <c r="H1131">
        <v>0</v>
      </c>
      <c r="I1131" t="s">
        <v>7370</v>
      </c>
      <c r="J1131" t="s">
        <v>8191</v>
      </c>
      <c r="K1131" t="s">
        <v>8192</v>
      </c>
      <c r="L1131">
        <v>1234</v>
      </c>
      <c r="M1131" t="s">
        <v>645</v>
      </c>
      <c r="N1131" t="s">
        <v>336</v>
      </c>
      <c r="O1131" t="s">
        <v>5134</v>
      </c>
      <c r="P1131">
        <v>3267</v>
      </c>
    </row>
    <row r="1132" spans="1:16" x14ac:dyDescent="0.3">
      <c r="A1132" t="s">
        <v>8193</v>
      </c>
      <c r="B1132" t="s">
        <v>8194</v>
      </c>
      <c r="C1132" t="s">
        <v>8195</v>
      </c>
      <c r="D1132" t="s">
        <v>585</v>
      </c>
      <c r="E1132" t="s">
        <v>6114</v>
      </c>
      <c r="F1132" t="s">
        <v>8196</v>
      </c>
      <c r="G1132">
        <v>0</v>
      </c>
      <c r="H1132">
        <v>0</v>
      </c>
      <c r="I1132" t="s">
        <v>8197</v>
      </c>
      <c r="J1132">
        <v>9151440783</v>
      </c>
      <c r="K1132" t="s">
        <v>8198</v>
      </c>
      <c r="L1132">
        <v>1234</v>
      </c>
      <c r="M1132" t="s">
        <v>645</v>
      </c>
      <c r="N1132" t="s">
        <v>336</v>
      </c>
      <c r="O1132" t="s">
        <v>441</v>
      </c>
      <c r="P1132">
        <v>1019</v>
      </c>
    </row>
    <row r="1133" spans="1:16" x14ac:dyDescent="0.3">
      <c r="A1133" t="s">
        <v>8199</v>
      </c>
      <c r="B1133" t="s">
        <v>520</v>
      </c>
      <c r="C1133" t="s">
        <v>8200</v>
      </c>
      <c r="D1133" t="s">
        <v>8201</v>
      </c>
      <c r="E1133" t="s">
        <v>1985</v>
      </c>
      <c r="F1133" t="s">
        <v>8202</v>
      </c>
      <c r="G1133">
        <v>15.213611324211801</v>
      </c>
      <c r="H1133">
        <v>120.54870843887301</v>
      </c>
      <c r="I1133" t="s">
        <v>8203</v>
      </c>
      <c r="J1133">
        <v>9610691585</v>
      </c>
      <c r="K1133" t="s">
        <v>8204</v>
      </c>
      <c r="L1133" t="s">
        <v>8205</v>
      </c>
      <c r="M1133" t="s">
        <v>645</v>
      </c>
      <c r="N1133" t="s">
        <v>779</v>
      </c>
      <c r="O1133" t="s">
        <v>8206</v>
      </c>
      <c r="P1133">
        <v>3241</v>
      </c>
    </row>
    <row r="1134" spans="1:16" x14ac:dyDescent="0.3">
      <c r="A1134" t="s">
        <v>8207</v>
      </c>
      <c r="B1134" t="s">
        <v>1689</v>
      </c>
      <c r="C1134" t="s">
        <v>8208</v>
      </c>
      <c r="D1134" t="s">
        <v>5462</v>
      </c>
      <c r="E1134" t="s">
        <v>6289</v>
      </c>
      <c r="F1134" t="s">
        <v>8209</v>
      </c>
      <c r="G1134">
        <v>15.175706187855299</v>
      </c>
      <c r="H1134">
        <v>120.522733926773</v>
      </c>
      <c r="I1134" t="s">
        <v>8210</v>
      </c>
      <c r="J1134" t="s">
        <v>8211</v>
      </c>
      <c r="K1134" t="s">
        <v>8212</v>
      </c>
      <c r="L1134">
        <v>1234</v>
      </c>
      <c r="M1134" t="s">
        <v>645</v>
      </c>
      <c r="N1134" t="s">
        <v>16</v>
      </c>
      <c r="O1134" t="s">
        <v>412</v>
      </c>
      <c r="P1134">
        <v>2932</v>
      </c>
    </row>
    <row r="1135" spans="1:16" x14ac:dyDescent="0.3">
      <c r="A1135" t="s">
        <v>8207</v>
      </c>
      <c r="B1135" t="s">
        <v>1689</v>
      </c>
      <c r="C1135" t="s">
        <v>8208</v>
      </c>
      <c r="D1135" t="s">
        <v>5462</v>
      </c>
      <c r="E1135" t="s">
        <v>6289</v>
      </c>
      <c r="F1135" t="s">
        <v>8209</v>
      </c>
      <c r="G1135">
        <v>15.175706187855299</v>
      </c>
      <c r="H1135">
        <v>120.522733926773</v>
      </c>
      <c r="I1135" t="s">
        <v>8210</v>
      </c>
      <c r="J1135" t="s">
        <v>8211</v>
      </c>
      <c r="K1135" t="s">
        <v>8212</v>
      </c>
      <c r="L1135">
        <v>1234</v>
      </c>
      <c r="M1135" t="s">
        <v>645</v>
      </c>
      <c r="N1135" t="s">
        <v>16</v>
      </c>
      <c r="O1135" t="s">
        <v>412</v>
      </c>
      <c r="P1135">
        <v>2932</v>
      </c>
    </row>
    <row r="1136" spans="1:16" x14ac:dyDescent="0.3">
      <c r="A1136" t="s">
        <v>8207</v>
      </c>
      <c r="B1136" t="s">
        <v>1689</v>
      </c>
      <c r="C1136" t="s">
        <v>8208</v>
      </c>
      <c r="D1136" t="s">
        <v>5462</v>
      </c>
      <c r="E1136" t="s">
        <v>6289</v>
      </c>
      <c r="F1136" t="s">
        <v>8209</v>
      </c>
      <c r="G1136">
        <v>15.175706187855299</v>
      </c>
      <c r="H1136">
        <v>120.522733926773</v>
      </c>
      <c r="I1136" t="s">
        <v>8210</v>
      </c>
      <c r="J1136" t="s">
        <v>8211</v>
      </c>
      <c r="K1136" t="s">
        <v>8212</v>
      </c>
      <c r="L1136">
        <v>1234</v>
      </c>
      <c r="M1136" t="s">
        <v>645</v>
      </c>
      <c r="N1136" t="s">
        <v>16</v>
      </c>
      <c r="O1136" t="s">
        <v>412</v>
      </c>
      <c r="P1136">
        <v>2932</v>
      </c>
    </row>
    <row r="1137" spans="1:17" x14ac:dyDescent="0.3">
      <c r="A1137" t="s">
        <v>8213</v>
      </c>
      <c r="B1137" t="s">
        <v>1976</v>
      </c>
      <c r="C1137" t="s">
        <v>4118</v>
      </c>
      <c r="D1137" t="s">
        <v>8214</v>
      </c>
      <c r="E1137" t="s">
        <v>8215</v>
      </c>
      <c r="F1137" t="s">
        <v>6160</v>
      </c>
      <c r="G1137">
        <v>15.177669</v>
      </c>
      <c r="H1137">
        <v>120.52776</v>
      </c>
      <c r="I1137" t="s">
        <v>8216</v>
      </c>
      <c r="J1137">
        <v>9995539517</v>
      </c>
      <c r="K1137" t="s">
        <v>8217</v>
      </c>
      <c r="L1137" t="s">
        <v>8218</v>
      </c>
      <c r="M1137" t="s">
        <v>645</v>
      </c>
      <c r="N1137" t="s">
        <v>8219</v>
      </c>
      <c r="O1137" t="s">
        <v>8220</v>
      </c>
      <c r="P1137">
        <v>3282</v>
      </c>
      <c r="Q1137" t="s">
        <v>8221</v>
      </c>
    </row>
    <row r="1138" spans="1:17" x14ac:dyDescent="0.3">
      <c r="A1138" t="s">
        <v>8222</v>
      </c>
      <c r="B1138" t="s">
        <v>1145</v>
      </c>
      <c r="C1138" t="s">
        <v>75</v>
      </c>
      <c r="D1138" t="s">
        <v>3354</v>
      </c>
      <c r="E1138" t="s">
        <v>793</v>
      </c>
      <c r="F1138" t="s">
        <v>8223</v>
      </c>
      <c r="I1138" t="s">
        <v>8224</v>
      </c>
      <c r="J1138" t="s">
        <v>8225</v>
      </c>
      <c r="K1138" t="s">
        <v>8226</v>
      </c>
      <c r="L1138">
        <v>1234</v>
      </c>
      <c r="M1138" t="s">
        <v>645</v>
      </c>
      <c r="N1138" t="s">
        <v>398</v>
      </c>
      <c r="O1138" t="s">
        <v>8227</v>
      </c>
      <c r="P1138">
        <v>3277</v>
      </c>
    </row>
    <row r="1139" spans="1:17" x14ac:dyDescent="0.3">
      <c r="A1139" t="s">
        <v>8228</v>
      </c>
      <c r="B1139" t="s">
        <v>559</v>
      </c>
      <c r="C1139" t="s">
        <v>1914</v>
      </c>
      <c r="D1139" t="s">
        <v>1915</v>
      </c>
      <c r="E1139" t="s">
        <v>6571</v>
      </c>
      <c r="F1139" t="s">
        <v>8229</v>
      </c>
      <c r="I1139" t="s">
        <v>1918</v>
      </c>
      <c r="J1139">
        <f>-45- 499-6677</f>
        <v>-7221</v>
      </c>
      <c r="K1139" t="s">
        <v>8230</v>
      </c>
      <c r="L1139">
        <v>1234</v>
      </c>
      <c r="M1139" t="s">
        <v>645</v>
      </c>
      <c r="N1139" t="s">
        <v>398</v>
      </c>
      <c r="O1139" t="s">
        <v>685</v>
      </c>
      <c r="P1139">
        <v>3202</v>
      </c>
    </row>
    <row r="1140" spans="1:17" x14ac:dyDescent="0.3">
      <c r="A1140" t="s">
        <v>8231</v>
      </c>
      <c r="B1140" t="s">
        <v>8232</v>
      </c>
      <c r="C1140" t="s">
        <v>8233</v>
      </c>
      <c r="D1140" t="s">
        <v>756</v>
      </c>
      <c r="E1140" t="s">
        <v>3723</v>
      </c>
      <c r="F1140" t="s">
        <v>8234</v>
      </c>
      <c r="G1140">
        <v>15.197745007051299</v>
      </c>
      <c r="H1140">
        <v>120.523613691329</v>
      </c>
      <c r="I1140" t="s">
        <v>8235</v>
      </c>
      <c r="J1140">
        <v>9676727006</v>
      </c>
      <c r="K1140" t="s">
        <v>8236</v>
      </c>
      <c r="L1140">
        <v>1234</v>
      </c>
      <c r="M1140" t="s">
        <v>645</v>
      </c>
      <c r="N1140" t="s">
        <v>779</v>
      </c>
      <c r="O1140" t="s">
        <v>8237</v>
      </c>
      <c r="P1140">
        <v>3119</v>
      </c>
    </row>
    <row r="1141" spans="1:17" x14ac:dyDescent="0.3">
      <c r="A1141" t="s">
        <v>8238</v>
      </c>
      <c r="B1141" t="s">
        <v>8239</v>
      </c>
      <c r="C1141" t="s">
        <v>8240</v>
      </c>
      <c r="D1141" t="s">
        <v>3275</v>
      </c>
      <c r="E1141" t="s">
        <v>5139</v>
      </c>
      <c r="F1141" t="s">
        <v>8241</v>
      </c>
      <c r="G1141">
        <v>15.1873756073295</v>
      </c>
      <c r="H1141">
        <v>120.51152229309</v>
      </c>
      <c r="I1141" t="s">
        <v>8242</v>
      </c>
      <c r="J1141" t="s">
        <v>8243</v>
      </c>
      <c r="K1141" t="s">
        <v>8244</v>
      </c>
      <c r="L1141">
        <v>1234</v>
      </c>
      <c r="M1141" t="s">
        <v>645</v>
      </c>
      <c r="N1141" t="s">
        <v>398</v>
      </c>
      <c r="O1141" t="s">
        <v>582</v>
      </c>
      <c r="P1141">
        <v>3292</v>
      </c>
    </row>
    <row r="1142" spans="1:17" x14ac:dyDescent="0.3">
      <c r="A1142" t="s">
        <v>8245</v>
      </c>
      <c r="B1142" t="s">
        <v>8239</v>
      </c>
      <c r="C1142" t="s">
        <v>8240</v>
      </c>
      <c r="D1142" t="s">
        <v>3275</v>
      </c>
      <c r="E1142" t="s">
        <v>5139</v>
      </c>
      <c r="F1142" t="s">
        <v>8246</v>
      </c>
      <c r="G1142">
        <v>15.187406669697101</v>
      </c>
      <c r="H1142">
        <v>120.511275529861</v>
      </c>
      <c r="I1142" t="s">
        <v>8242</v>
      </c>
      <c r="J1142" t="s">
        <v>8243</v>
      </c>
      <c r="K1142" t="s">
        <v>8247</v>
      </c>
      <c r="L1142">
        <v>1234</v>
      </c>
      <c r="M1142" t="s">
        <v>645</v>
      </c>
      <c r="N1142" t="s">
        <v>398</v>
      </c>
      <c r="O1142" t="s">
        <v>582</v>
      </c>
      <c r="P1142">
        <v>3295</v>
      </c>
    </row>
    <row r="1143" spans="1:17" x14ac:dyDescent="0.3">
      <c r="A1143" t="s">
        <v>8248</v>
      </c>
      <c r="B1143" t="s">
        <v>8239</v>
      </c>
      <c r="C1143" t="s">
        <v>8240</v>
      </c>
      <c r="D1143" t="s">
        <v>3275</v>
      </c>
      <c r="E1143" t="s">
        <v>5139</v>
      </c>
      <c r="F1143" t="s">
        <v>8249</v>
      </c>
      <c r="G1143">
        <v>15.1942299256516</v>
      </c>
      <c r="H1143">
        <v>120.509279966354</v>
      </c>
      <c r="I1143" t="s">
        <v>8242</v>
      </c>
      <c r="J1143" t="s">
        <v>8243</v>
      </c>
      <c r="K1143" t="s">
        <v>8250</v>
      </c>
      <c r="L1143">
        <v>1234</v>
      </c>
      <c r="M1143" t="s">
        <v>645</v>
      </c>
      <c r="N1143" t="s">
        <v>398</v>
      </c>
      <c r="O1143" t="s">
        <v>853</v>
      </c>
      <c r="P1143">
        <v>3297</v>
      </c>
    </row>
    <row r="1144" spans="1:17" x14ac:dyDescent="0.3">
      <c r="A1144" t="s">
        <v>8251</v>
      </c>
      <c r="B1144" t="s">
        <v>4704</v>
      </c>
      <c r="C1144" t="s">
        <v>7109</v>
      </c>
      <c r="D1144" t="s">
        <v>486</v>
      </c>
      <c r="E1144" t="s">
        <v>329</v>
      </c>
      <c r="F1144" t="s">
        <v>8252</v>
      </c>
      <c r="G1144">
        <v>0</v>
      </c>
      <c r="H1144">
        <v>0</v>
      </c>
      <c r="I1144" t="s">
        <v>8253</v>
      </c>
      <c r="J1144" t="s">
        <v>8254</v>
      </c>
      <c r="K1144" t="s">
        <v>8255</v>
      </c>
      <c r="L1144">
        <v>1234</v>
      </c>
      <c r="M1144" t="s">
        <v>645</v>
      </c>
      <c r="N1144" t="s">
        <v>1904</v>
      </c>
      <c r="O1144" t="s">
        <v>515</v>
      </c>
      <c r="P1144">
        <v>3290</v>
      </c>
    </row>
    <row r="1145" spans="1:17" x14ac:dyDescent="0.3">
      <c r="A1145" t="s">
        <v>8256</v>
      </c>
      <c r="B1145" t="s">
        <v>8257</v>
      </c>
      <c r="C1145" t="s">
        <v>8258</v>
      </c>
      <c r="D1145" t="s">
        <v>4216</v>
      </c>
      <c r="E1145" t="s">
        <v>8259</v>
      </c>
      <c r="F1145" t="s">
        <v>8260</v>
      </c>
      <c r="G1145">
        <v>15.17628</v>
      </c>
      <c r="H1145">
        <v>120.52372800000001</v>
      </c>
      <c r="I1145" t="s">
        <v>8261</v>
      </c>
      <c r="J1145" t="s">
        <v>8262</v>
      </c>
      <c r="K1145" t="s">
        <v>8263</v>
      </c>
      <c r="L1145">
        <v>1234</v>
      </c>
      <c r="M1145" t="s">
        <v>645</v>
      </c>
      <c r="N1145" t="s">
        <v>398</v>
      </c>
      <c r="O1145" t="s">
        <v>1104</v>
      </c>
      <c r="P1145">
        <v>3246</v>
      </c>
    </row>
    <row r="1146" spans="1:17" x14ac:dyDescent="0.3">
      <c r="A1146" t="s">
        <v>8264</v>
      </c>
      <c r="B1146" t="s">
        <v>8265</v>
      </c>
      <c r="C1146" t="s">
        <v>8266</v>
      </c>
      <c r="D1146" t="s">
        <v>3701</v>
      </c>
      <c r="E1146" t="s">
        <v>3723</v>
      </c>
      <c r="F1146" t="s">
        <v>8267</v>
      </c>
      <c r="G1146">
        <v>15.195524145056501</v>
      </c>
      <c r="H1146">
        <v>8040.5098807811701</v>
      </c>
      <c r="I1146" t="s">
        <v>8268</v>
      </c>
      <c r="J1146">
        <v>9393403397</v>
      </c>
      <c r="K1146" t="s">
        <v>8269</v>
      </c>
      <c r="L1146">
        <v>3579</v>
      </c>
      <c r="M1146" t="s">
        <v>645</v>
      </c>
      <c r="N1146" t="s">
        <v>398</v>
      </c>
      <c r="O1146" t="s">
        <v>582</v>
      </c>
      <c r="P1146">
        <v>3298</v>
      </c>
    </row>
    <row r="1147" spans="1:17" x14ac:dyDescent="0.3">
      <c r="A1147" t="s">
        <v>8270</v>
      </c>
      <c r="B1147" t="s">
        <v>4783</v>
      </c>
      <c r="C1147" t="s">
        <v>8271</v>
      </c>
      <c r="D1147" t="s">
        <v>5398</v>
      </c>
      <c r="E1147" t="s">
        <v>8272</v>
      </c>
      <c r="F1147" t="s">
        <v>8273</v>
      </c>
      <c r="G1147">
        <v>15</v>
      </c>
      <c r="H1147">
        <v>20</v>
      </c>
      <c r="I1147" t="s">
        <v>8274</v>
      </c>
      <c r="J1147">
        <v>9758100610</v>
      </c>
      <c r="K1147" t="s">
        <v>8275</v>
      </c>
      <c r="L1147">
        <v>1234</v>
      </c>
      <c r="M1147" t="s">
        <v>645</v>
      </c>
      <c r="N1147" t="s">
        <v>304</v>
      </c>
      <c r="O1147" t="s">
        <v>305</v>
      </c>
      <c r="P1147">
        <v>2943</v>
      </c>
    </row>
    <row r="1148" spans="1:17" x14ac:dyDescent="0.3">
      <c r="A1148" t="s">
        <v>8276</v>
      </c>
      <c r="B1148" t="s">
        <v>8277</v>
      </c>
      <c r="C1148" t="s">
        <v>1129</v>
      </c>
      <c r="D1148" t="s">
        <v>8111</v>
      </c>
      <c r="E1148" t="s">
        <v>6391</v>
      </c>
      <c r="F1148" t="s">
        <v>8278</v>
      </c>
      <c r="G1148">
        <v>0</v>
      </c>
      <c r="H1148">
        <v>0</v>
      </c>
      <c r="I1148" t="s">
        <v>8279</v>
      </c>
      <c r="J1148" t="s">
        <v>8280</v>
      </c>
      <c r="K1148" t="s">
        <v>8281</v>
      </c>
      <c r="L1148">
        <v>1234</v>
      </c>
      <c r="M1148" t="s">
        <v>645</v>
      </c>
      <c r="N1148" t="s">
        <v>369</v>
      </c>
      <c r="O1148" t="s">
        <v>370</v>
      </c>
      <c r="P1148">
        <v>3299</v>
      </c>
    </row>
    <row r="1149" spans="1:17" x14ac:dyDescent="0.3">
      <c r="A1149" t="s">
        <v>8282</v>
      </c>
      <c r="B1149" t="s">
        <v>2598</v>
      </c>
      <c r="C1149" t="s">
        <v>902</v>
      </c>
      <c r="D1149" t="s">
        <v>2734</v>
      </c>
      <c r="E1149" t="s">
        <v>2518</v>
      </c>
      <c r="F1149" t="s">
        <v>8283</v>
      </c>
      <c r="G1149">
        <v>0</v>
      </c>
      <c r="H1149">
        <v>0</v>
      </c>
      <c r="I1149" t="s">
        <v>8284</v>
      </c>
      <c r="J1149">
        <v>9362249150</v>
      </c>
      <c r="K1149" t="s">
        <v>8285</v>
      </c>
      <c r="L1149" t="s">
        <v>8286</v>
      </c>
      <c r="M1149" t="s">
        <v>645</v>
      </c>
      <c r="N1149" t="s">
        <v>336</v>
      </c>
      <c r="O1149" t="s">
        <v>515</v>
      </c>
      <c r="P1149">
        <v>3270</v>
      </c>
    </row>
    <row r="1150" spans="1:17" x14ac:dyDescent="0.3">
      <c r="A1150" t="s">
        <v>8287</v>
      </c>
      <c r="B1150" t="s">
        <v>8288</v>
      </c>
      <c r="C1150" t="s">
        <v>8289</v>
      </c>
      <c r="D1150" t="s">
        <v>2682</v>
      </c>
      <c r="E1150" t="s">
        <v>1110</v>
      </c>
      <c r="F1150" t="s">
        <v>8290</v>
      </c>
      <c r="J1150">
        <v>9353303122</v>
      </c>
      <c r="K1150" t="s">
        <v>8291</v>
      </c>
      <c r="L1150">
        <v>1234</v>
      </c>
      <c r="M1150" t="s">
        <v>645</v>
      </c>
      <c r="N1150" t="s">
        <v>871</v>
      </c>
      <c r="O1150" t="s">
        <v>1115</v>
      </c>
      <c r="P1150">
        <v>3271</v>
      </c>
    </row>
    <row r="1151" spans="1:17" x14ac:dyDescent="0.3">
      <c r="A1151" t="s">
        <v>8292</v>
      </c>
      <c r="B1151" t="s">
        <v>8293</v>
      </c>
      <c r="C1151" t="s">
        <v>8294</v>
      </c>
      <c r="D1151" t="s">
        <v>8295</v>
      </c>
      <c r="E1151" t="s">
        <v>1276</v>
      </c>
      <c r="F1151" t="s">
        <v>8296</v>
      </c>
      <c r="G1151">
        <v>17.180073042470799</v>
      </c>
      <c r="H1151">
        <v>104.60761070251399</v>
      </c>
      <c r="I1151" t="s">
        <v>8297</v>
      </c>
      <c r="J1151">
        <v>9650689768</v>
      </c>
      <c r="K1151" t="s">
        <v>8298</v>
      </c>
      <c r="L1151">
        <v>1234</v>
      </c>
      <c r="M1151" t="s">
        <v>645</v>
      </c>
      <c r="N1151" t="s">
        <v>398</v>
      </c>
      <c r="O1151" t="s">
        <v>582</v>
      </c>
      <c r="P1151">
        <v>3302</v>
      </c>
    </row>
    <row r="1152" spans="1:17" x14ac:dyDescent="0.3">
      <c r="A1152" t="s">
        <v>8299</v>
      </c>
      <c r="B1152" t="s">
        <v>8300</v>
      </c>
      <c r="C1152" t="s">
        <v>8301</v>
      </c>
      <c r="D1152" t="s">
        <v>8302</v>
      </c>
      <c r="E1152" t="s">
        <v>1276</v>
      </c>
      <c r="F1152" t="s">
        <v>8303</v>
      </c>
      <c r="G1152">
        <v>26.431266493872702</v>
      </c>
      <c r="H1152">
        <v>84.374940991401601</v>
      </c>
      <c r="I1152" t="s">
        <v>8304</v>
      </c>
      <c r="J1152">
        <v>9666987344</v>
      </c>
      <c r="K1152" t="s">
        <v>8305</v>
      </c>
      <c r="L1152">
        <v>1234</v>
      </c>
      <c r="M1152" t="s">
        <v>645</v>
      </c>
      <c r="N1152" t="s">
        <v>398</v>
      </c>
      <c r="O1152" t="s">
        <v>582</v>
      </c>
      <c r="P1152">
        <v>3293</v>
      </c>
    </row>
    <row r="1153" spans="1:17" x14ac:dyDescent="0.3">
      <c r="A1153" t="s">
        <v>8306</v>
      </c>
      <c r="B1153" t="s">
        <v>8300</v>
      </c>
      <c r="C1153" t="s">
        <v>8307</v>
      </c>
      <c r="D1153" t="s">
        <v>8302</v>
      </c>
      <c r="E1153" t="s">
        <v>1276</v>
      </c>
      <c r="F1153" t="s">
        <v>8308</v>
      </c>
      <c r="I1153" t="s">
        <v>8304</v>
      </c>
      <c r="K1153" t="s">
        <v>8309</v>
      </c>
      <c r="L1153">
        <v>1234</v>
      </c>
      <c r="M1153" t="s">
        <v>645</v>
      </c>
      <c r="N1153" t="s">
        <v>398</v>
      </c>
      <c r="O1153" t="s">
        <v>582</v>
      </c>
      <c r="P1153">
        <v>3300</v>
      </c>
    </row>
    <row r="1154" spans="1:17" x14ac:dyDescent="0.3">
      <c r="A1154" t="s">
        <v>8310</v>
      </c>
      <c r="B1154" t="s">
        <v>3227</v>
      </c>
      <c r="C1154" t="s">
        <v>8311</v>
      </c>
      <c r="D1154" t="s">
        <v>3229</v>
      </c>
      <c r="E1154" t="s">
        <v>3230</v>
      </c>
      <c r="F1154" t="s">
        <v>8312</v>
      </c>
      <c r="G1154">
        <v>0</v>
      </c>
      <c r="H1154">
        <v>0</v>
      </c>
      <c r="I1154" t="s">
        <v>1784</v>
      </c>
      <c r="J1154" t="s">
        <v>1785</v>
      </c>
      <c r="K1154" t="s">
        <v>8313</v>
      </c>
      <c r="L1154">
        <v>1234</v>
      </c>
      <c r="M1154" t="s">
        <v>645</v>
      </c>
      <c r="N1154" t="s">
        <v>336</v>
      </c>
      <c r="O1154" t="s">
        <v>2952</v>
      </c>
      <c r="P1154">
        <v>3304</v>
      </c>
      <c r="Q1154" t="s">
        <v>8314</v>
      </c>
    </row>
    <row r="1155" spans="1:17" x14ac:dyDescent="0.3">
      <c r="A1155" t="s">
        <v>8315</v>
      </c>
      <c r="B1155" t="s">
        <v>8316</v>
      </c>
      <c r="C1155" t="s">
        <v>8317</v>
      </c>
      <c r="D1155" t="s">
        <v>559</v>
      </c>
      <c r="E1155" t="s">
        <v>7133</v>
      </c>
      <c r="F1155" t="s">
        <v>8318</v>
      </c>
      <c r="G1155">
        <v>15.185829999999999</v>
      </c>
      <c r="H1155">
        <v>120.55972</v>
      </c>
      <c r="I1155" t="s">
        <v>8319</v>
      </c>
      <c r="J1155" t="s">
        <v>8320</v>
      </c>
      <c r="K1155" t="s">
        <v>8321</v>
      </c>
      <c r="L1155">
        <v>1234</v>
      </c>
      <c r="M1155" t="s">
        <v>645</v>
      </c>
      <c r="N1155" t="s">
        <v>398</v>
      </c>
      <c r="O1155" t="s">
        <v>582</v>
      </c>
      <c r="P1155">
        <v>2643</v>
      </c>
    </row>
    <row r="1156" spans="1:17" x14ac:dyDescent="0.3">
      <c r="A1156" t="s">
        <v>8322</v>
      </c>
      <c r="B1156" t="s">
        <v>8323</v>
      </c>
      <c r="C1156" t="s">
        <v>8324</v>
      </c>
      <c r="D1156" t="s">
        <v>8325</v>
      </c>
      <c r="E1156" t="s">
        <v>8326</v>
      </c>
      <c r="F1156" t="s">
        <v>8327</v>
      </c>
      <c r="G1156">
        <v>14.841329999999999</v>
      </c>
      <c r="H1156">
        <v>120.35196999999999</v>
      </c>
      <c r="I1156" t="s">
        <v>8328</v>
      </c>
      <c r="J1156">
        <v>9175016035</v>
      </c>
      <c r="K1156" t="s">
        <v>8329</v>
      </c>
      <c r="L1156">
        <v>1234</v>
      </c>
      <c r="M1156" t="s">
        <v>645</v>
      </c>
      <c r="N1156" t="s">
        <v>336</v>
      </c>
      <c r="O1156" t="s">
        <v>515</v>
      </c>
      <c r="P1156">
        <v>3265</v>
      </c>
    </row>
    <row r="1157" spans="1:17" x14ac:dyDescent="0.3">
      <c r="A1157" t="s">
        <v>8330</v>
      </c>
      <c r="B1157" t="s">
        <v>8331</v>
      </c>
      <c r="C1157" t="s">
        <v>2408</v>
      </c>
      <c r="D1157" t="s">
        <v>2409</v>
      </c>
      <c r="E1157" t="s">
        <v>329</v>
      </c>
      <c r="F1157" t="s">
        <v>8332</v>
      </c>
      <c r="G1157">
        <v>0</v>
      </c>
      <c r="H1157">
        <v>0</v>
      </c>
      <c r="I1157" t="s">
        <v>8333</v>
      </c>
      <c r="J1157" t="s">
        <v>8334</v>
      </c>
      <c r="K1157" t="s">
        <v>8335</v>
      </c>
      <c r="L1157">
        <v>1234</v>
      </c>
      <c r="M1157" t="s">
        <v>645</v>
      </c>
      <c r="N1157" t="s">
        <v>779</v>
      </c>
      <c r="O1157" t="s">
        <v>2414</v>
      </c>
      <c r="P1157">
        <v>2665</v>
      </c>
    </row>
    <row r="1158" spans="1:17" x14ac:dyDescent="0.3">
      <c r="A1158" t="s">
        <v>8336</v>
      </c>
      <c r="B1158" t="s">
        <v>8337</v>
      </c>
      <c r="C1158" t="s">
        <v>4079</v>
      </c>
      <c r="D1158" t="s">
        <v>8338</v>
      </c>
      <c r="E1158" t="s">
        <v>8339</v>
      </c>
      <c r="F1158" t="s">
        <v>8340</v>
      </c>
      <c r="G1158">
        <v>15.171093120618901</v>
      </c>
      <c r="H1158">
        <v>120.530131459236</v>
      </c>
      <c r="I1158" t="s">
        <v>8341</v>
      </c>
      <c r="J1158">
        <v>9324960606</v>
      </c>
      <c r="K1158" t="s">
        <v>8342</v>
      </c>
      <c r="L1158">
        <v>1234</v>
      </c>
      <c r="M1158" t="s">
        <v>645</v>
      </c>
      <c r="N1158" t="s">
        <v>16</v>
      </c>
      <c r="O1158" t="s">
        <v>292</v>
      </c>
      <c r="P1158">
        <v>3325</v>
      </c>
    </row>
    <row r="1159" spans="1:17" x14ac:dyDescent="0.3">
      <c r="A1159" t="s">
        <v>8343</v>
      </c>
      <c r="B1159" t="s">
        <v>3487</v>
      </c>
      <c r="C1159" t="s">
        <v>8344</v>
      </c>
      <c r="D1159" t="s">
        <v>8345</v>
      </c>
      <c r="E1159" t="s">
        <v>8346</v>
      </c>
      <c r="F1159" t="s">
        <v>8347</v>
      </c>
      <c r="G1159">
        <v>0</v>
      </c>
      <c r="H1159">
        <v>0</v>
      </c>
      <c r="I1159" t="s">
        <v>8348</v>
      </c>
      <c r="J1159">
        <v>9235895715</v>
      </c>
      <c r="K1159" t="s">
        <v>8349</v>
      </c>
      <c r="L1159">
        <v>1234</v>
      </c>
      <c r="M1159" t="s">
        <v>645</v>
      </c>
      <c r="N1159" t="s">
        <v>398</v>
      </c>
      <c r="O1159" t="s">
        <v>685</v>
      </c>
      <c r="P1159">
        <v>3083</v>
      </c>
    </row>
    <row r="1160" spans="1:17" x14ac:dyDescent="0.3">
      <c r="A1160" t="s">
        <v>8350</v>
      </c>
      <c r="B1160" t="s">
        <v>8351</v>
      </c>
      <c r="C1160" t="s">
        <v>8352</v>
      </c>
      <c r="D1160" t="s">
        <v>3275</v>
      </c>
      <c r="E1160" t="s">
        <v>8353</v>
      </c>
      <c r="F1160" t="s">
        <v>8354</v>
      </c>
      <c r="G1160">
        <v>0</v>
      </c>
      <c r="H1160">
        <v>0</v>
      </c>
      <c r="I1160" t="s">
        <v>8355</v>
      </c>
      <c r="J1160" t="s">
        <v>8356</v>
      </c>
      <c r="K1160" t="s">
        <v>8357</v>
      </c>
      <c r="L1160" t="s">
        <v>8358</v>
      </c>
      <c r="M1160" t="s">
        <v>645</v>
      </c>
      <c r="N1160" t="s">
        <v>763</v>
      </c>
      <c r="O1160" t="s">
        <v>1288</v>
      </c>
      <c r="P1160">
        <v>3311</v>
      </c>
    </row>
    <row r="1161" spans="1:17" x14ac:dyDescent="0.3">
      <c r="A1161" t="s">
        <v>8359</v>
      </c>
      <c r="B1161" t="s">
        <v>8360</v>
      </c>
      <c r="C1161" t="s">
        <v>8361</v>
      </c>
      <c r="D1161" t="s">
        <v>620</v>
      </c>
      <c r="E1161" t="s">
        <v>3153</v>
      </c>
      <c r="F1161" t="s">
        <v>8362</v>
      </c>
      <c r="G1161">
        <v>0</v>
      </c>
      <c r="H1161">
        <v>0</v>
      </c>
      <c r="I1161" t="s">
        <v>8363</v>
      </c>
      <c r="J1161" t="s">
        <v>8364</v>
      </c>
      <c r="K1161" t="s">
        <v>8365</v>
      </c>
      <c r="L1161" t="s">
        <v>8366</v>
      </c>
      <c r="M1161" t="s">
        <v>645</v>
      </c>
      <c r="N1161" t="s">
        <v>8367</v>
      </c>
      <c r="O1161" t="s">
        <v>515</v>
      </c>
      <c r="P1161">
        <v>3301</v>
      </c>
      <c r="Q1161" t="s">
        <v>8368</v>
      </c>
    </row>
    <row r="1162" spans="1:17" x14ac:dyDescent="0.3">
      <c r="A1162" t="s">
        <v>8369</v>
      </c>
      <c r="B1162" t="s">
        <v>4629</v>
      </c>
      <c r="C1162" t="s">
        <v>8370</v>
      </c>
      <c r="D1162" t="s">
        <v>3275</v>
      </c>
      <c r="E1162" t="s">
        <v>342</v>
      </c>
      <c r="F1162" t="s">
        <v>8371</v>
      </c>
      <c r="G1162">
        <v>0</v>
      </c>
      <c r="H1162">
        <v>0</v>
      </c>
      <c r="I1162" t="s">
        <v>8372</v>
      </c>
      <c r="J1162">
        <v>9171708222</v>
      </c>
      <c r="K1162" t="s">
        <v>8373</v>
      </c>
      <c r="L1162" t="s">
        <v>8374</v>
      </c>
      <c r="M1162" t="s">
        <v>645</v>
      </c>
      <c r="N1162" t="s">
        <v>369</v>
      </c>
      <c r="O1162" t="s">
        <v>370</v>
      </c>
      <c r="P1162">
        <v>3310</v>
      </c>
      <c r="Q1162" t="s">
        <v>8375</v>
      </c>
    </row>
    <row r="1163" spans="1:17" x14ac:dyDescent="0.3">
      <c r="A1163" t="s">
        <v>8376</v>
      </c>
      <c r="B1163" t="s">
        <v>8377</v>
      </c>
      <c r="C1163" t="s">
        <v>8378</v>
      </c>
      <c r="D1163" t="s">
        <v>539</v>
      </c>
      <c r="E1163" t="s">
        <v>1194</v>
      </c>
      <c r="F1163" t="s">
        <v>8379</v>
      </c>
      <c r="J1163">
        <v>9264254650</v>
      </c>
      <c r="K1163" t="s">
        <v>8380</v>
      </c>
      <c r="L1163">
        <v>1234</v>
      </c>
      <c r="M1163" t="s">
        <v>645</v>
      </c>
      <c r="N1163" t="s">
        <v>16</v>
      </c>
      <c r="O1163" t="s">
        <v>292</v>
      </c>
      <c r="P1163">
        <v>3305</v>
      </c>
    </row>
    <row r="1164" spans="1:17" x14ac:dyDescent="0.3">
      <c r="A1164" t="s">
        <v>8381</v>
      </c>
      <c r="B1164" t="s">
        <v>8382</v>
      </c>
      <c r="C1164" t="s">
        <v>8383</v>
      </c>
      <c r="D1164" t="s">
        <v>1555</v>
      </c>
      <c r="E1164" t="s">
        <v>3723</v>
      </c>
      <c r="F1164" t="s">
        <v>8384</v>
      </c>
      <c r="G1164">
        <v>0</v>
      </c>
      <c r="H1164">
        <v>0</v>
      </c>
      <c r="I1164" t="s">
        <v>8385</v>
      </c>
      <c r="J1164" t="s">
        <v>8386</v>
      </c>
      <c r="K1164" t="s">
        <v>8387</v>
      </c>
      <c r="L1164" t="s">
        <v>8388</v>
      </c>
      <c r="M1164" t="s">
        <v>645</v>
      </c>
      <c r="N1164" t="s">
        <v>398</v>
      </c>
      <c r="O1164" t="s">
        <v>1104</v>
      </c>
      <c r="P1164">
        <v>3238</v>
      </c>
    </row>
    <row r="1165" spans="1:17" x14ac:dyDescent="0.3">
      <c r="A1165" t="s">
        <v>8389</v>
      </c>
      <c r="F1165" t="s">
        <v>8390</v>
      </c>
      <c r="K1165" t="s">
        <v>8391</v>
      </c>
      <c r="L1165">
        <v>1234</v>
      </c>
      <c r="M1165" t="s">
        <v>645</v>
      </c>
      <c r="N1165" t="s">
        <v>336</v>
      </c>
      <c r="O1165" t="s">
        <v>441</v>
      </c>
      <c r="P1165">
        <v>3330</v>
      </c>
    </row>
    <row r="1166" spans="1:17" x14ac:dyDescent="0.3">
      <c r="A1166" t="s">
        <v>8392</v>
      </c>
      <c r="B1166" t="s">
        <v>8393</v>
      </c>
      <c r="C1166" t="s">
        <v>8394</v>
      </c>
      <c r="D1166" t="s">
        <v>8395</v>
      </c>
      <c r="E1166" t="s">
        <v>178</v>
      </c>
      <c r="F1166" t="s">
        <v>8396</v>
      </c>
      <c r="G1166">
        <v>0</v>
      </c>
      <c r="H1166">
        <v>0</v>
      </c>
      <c r="I1166" t="s">
        <v>8397</v>
      </c>
      <c r="J1166">
        <v>9177104889</v>
      </c>
      <c r="K1166" t="s">
        <v>8398</v>
      </c>
      <c r="L1166" t="s">
        <v>8399</v>
      </c>
      <c r="M1166" t="s">
        <v>645</v>
      </c>
      <c r="N1166" t="s">
        <v>369</v>
      </c>
      <c r="O1166" t="s">
        <v>370</v>
      </c>
      <c r="P1166">
        <v>3328</v>
      </c>
    </row>
    <row r="1167" spans="1:17" x14ac:dyDescent="0.3">
      <c r="A1167" t="s">
        <v>8400</v>
      </c>
      <c r="B1167" t="s">
        <v>8401</v>
      </c>
      <c r="C1167" t="s">
        <v>8402</v>
      </c>
      <c r="D1167" t="s">
        <v>2682</v>
      </c>
      <c r="E1167" t="s">
        <v>833</v>
      </c>
      <c r="F1167" t="s">
        <v>8403</v>
      </c>
      <c r="G1167">
        <v>15.176337823340001</v>
      </c>
      <c r="H1167">
        <v>120.52150547504399</v>
      </c>
      <c r="I1167" t="s">
        <v>8404</v>
      </c>
      <c r="J1167">
        <v>9175177273</v>
      </c>
      <c r="K1167" t="s">
        <v>8405</v>
      </c>
      <c r="L1167">
        <v>1234</v>
      </c>
      <c r="M1167" t="s">
        <v>645</v>
      </c>
      <c r="N1167" t="s">
        <v>336</v>
      </c>
      <c r="O1167" t="s">
        <v>515</v>
      </c>
      <c r="P1167">
        <v>3324</v>
      </c>
    </row>
    <row r="1168" spans="1:17" x14ac:dyDescent="0.3">
      <c r="A1168" t="s">
        <v>8406</v>
      </c>
      <c r="B1168" t="s">
        <v>1108</v>
      </c>
      <c r="C1168" t="s">
        <v>2920</v>
      </c>
      <c r="D1168" t="s">
        <v>1951</v>
      </c>
      <c r="E1168" t="s">
        <v>201</v>
      </c>
      <c r="F1168" t="s">
        <v>8407</v>
      </c>
      <c r="G1168">
        <v>3.21865081838268E-5</v>
      </c>
      <c r="H1168">
        <v>-1.6093254089355401E-5</v>
      </c>
      <c r="I1168" t="s">
        <v>8408</v>
      </c>
      <c r="J1168" t="s">
        <v>8409</v>
      </c>
      <c r="K1168" t="s">
        <v>8410</v>
      </c>
      <c r="L1168">
        <v>1234</v>
      </c>
      <c r="M1168" t="s">
        <v>645</v>
      </c>
      <c r="N1168" t="s">
        <v>16</v>
      </c>
      <c r="O1168" t="s">
        <v>292</v>
      </c>
      <c r="P1168">
        <v>3337</v>
      </c>
    </row>
    <row r="1169" spans="1:17" x14ac:dyDescent="0.3">
      <c r="A1169" t="s">
        <v>8411</v>
      </c>
      <c r="B1169" t="s">
        <v>7622</v>
      </c>
      <c r="C1169" t="s">
        <v>8412</v>
      </c>
      <c r="D1169" t="s">
        <v>3275</v>
      </c>
      <c r="E1169" t="s">
        <v>8413</v>
      </c>
      <c r="F1169" t="s">
        <v>8414</v>
      </c>
      <c r="G1169">
        <v>0</v>
      </c>
      <c r="H1169">
        <v>0</v>
      </c>
      <c r="I1169" t="s">
        <v>8415</v>
      </c>
      <c r="J1169">
        <v>9175560876</v>
      </c>
      <c r="K1169" t="s">
        <v>8416</v>
      </c>
      <c r="L1169">
        <v>1234</v>
      </c>
      <c r="M1169" t="s">
        <v>645</v>
      </c>
      <c r="N1169" t="s">
        <v>336</v>
      </c>
      <c r="O1169" t="s">
        <v>515</v>
      </c>
      <c r="P1169">
        <v>3334</v>
      </c>
    </row>
    <row r="1170" spans="1:17" x14ac:dyDescent="0.3">
      <c r="A1170" t="s">
        <v>8411</v>
      </c>
      <c r="B1170" t="s">
        <v>7622</v>
      </c>
      <c r="C1170" t="s">
        <v>8412</v>
      </c>
      <c r="D1170" t="s">
        <v>3275</v>
      </c>
      <c r="E1170" t="s">
        <v>8413</v>
      </c>
      <c r="F1170" t="s">
        <v>8414</v>
      </c>
      <c r="G1170">
        <v>0</v>
      </c>
      <c r="H1170">
        <v>0</v>
      </c>
      <c r="I1170" t="s">
        <v>8415</v>
      </c>
      <c r="J1170">
        <v>9175560876</v>
      </c>
      <c r="K1170" t="s">
        <v>8416</v>
      </c>
      <c r="L1170">
        <v>1234</v>
      </c>
      <c r="M1170" t="s">
        <v>645</v>
      </c>
      <c r="N1170" t="s">
        <v>336</v>
      </c>
      <c r="O1170" t="s">
        <v>515</v>
      </c>
      <c r="P1170">
        <v>3334</v>
      </c>
    </row>
    <row r="1171" spans="1:17" x14ac:dyDescent="0.3">
      <c r="A1171" t="s">
        <v>8417</v>
      </c>
      <c r="B1171" t="s">
        <v>3753</v>
      </c>
      <c r="C1171" t="s">
        <v>8418</v>
      </c>
      <c r="D1171" t="s">
        <v>8419</v>
      </c>
      <c r="E1171" t="s">
        <v>1276</v>
      </c>
      <c r="F1171" t="s">
        <v>8420</v>
      </c>
      <c r="I1171" t="s">
        <v>8421</v>
      </c>
      <c r="J1171" t="s">
        <v>8422</v>
      </c>
      <c r="K1171" t="s">
        <v>8423</v>
      </c>
      <c r="L1171">
        <v>1234</v>
      </c>
      <c r="M1171" t="s">
        <v>645</v>
      </c>
      <c r="N1171" t="s">
        <v>398</v>
      </c>
      <c r="O1171" t="s">
        <v>582</v>
      </c>
      <c r="P1171">
        <v>3276</v>
      </c>
    </row>
    <row r="1172" spans="1:17" x14ac:dyDescent="0.3">
      <c r="A1172" t="s">
        <v>8424</v>
      </c>
      <c r="B1172" t="s">
        <v>7167</v>
      </c>
      <c r="C1172" t="s">
        <v>8425</v>
      </c>
      <c r="D1172" t="s">
        <v>1571</v>
      </c>
      <c r="E1172" t="s">
        <v>2540</v>
      </c>
      <c r="F1172" t="s">
        <v>8426</v>
      </c>
      <c r="G1172">
        <v>-2.6435851112817901E-2</v>
      </c>
      <c r="H1172">
        <v>2.471923828125E-2</v>
      </c>
      <c r="I1172" t="s">
        <v>8427</v>
      </c>
      <c r="J1172">
        <v>9658970715</v>
      </c>
      <c r="K1172" t="s">
        <v>8428</v>
      </c>
      <c r="L1172" t="s">
        <v>8429</v>
      </c>
      <c r="M1172" t="s">
        <v>645</v>
      </c>
      <c r="N1172" t="s">
        <v>336</v>
      </c>
      <c r="O1172" t="s">
        <v>441</v>
      </c>
      <c r="P1172">
        <v>3314</v>
      </c>
    </row>
    <row r="1173" spans="1:17" x14ac:dyDescent="0.3">
      <c r="A1173" t="s">
        <v>8430</v>
      </c>
      <c r="B1173" t="s">
        <v>586</v>
      </c>
      <c r="C1173" t="s">
        <v>8431</v>
      </c>
      <c r="D1173" t="s">
        <v>8432</v>
      </c>
      <c r="E1173" t="s">
        <v>342</v>
      </c>
      <c r="F1173" t="s">
        <v>8433</v>
      </c>
      <c r="G1173">
        <v>5.5789947510151601E-4</v>
      </c>
      <c r="H1173">
        <v>-1.3947486877441401E-4</v>
      </c>
      <c r="I1173" t="s">
        <v>8434</v>
      </c>
      <c r="J1173">
        <v>9654312006</v>
      </c>
      <c r="K1173" t="s">
        <v>8435</v>
      </c>
      <c r="L1173">
        <v>1234</v>
      </c>
      <c r="M1173" t="s">
        <v>645</v>
      </c>
      <c r="N1173" t="s">
        <v>398</v>
      </c>
      <c r="O1173" t="s">
        <v>582</v>
      </c>
      <c r="P1173">
        <v>3326</v>
      </c>
      <c r="Q1173" t="s">
        <v>8436</v>
      </c>
    </row>
    <row r="1174" spans="1:17" x14ac:dyDescent="0.3">
      <c r="A1174" t="s">
        <v>8437</v>
      </c>
      <c r="B1174" t="s">
        <v>8438</v>
      </c>
      <c r="C1174" t="s">
        <v>284</v>
      </c>
      <c r="D1174" t="s">
        <v>3275</v>
      </c>
      <c r="E1174" t="s">
        <v>744</v>
      </c>
      <c r="F1174" t="s">
        <v>8439</v>
      </c>
      <c r="I1174" t="s">
        <v>8440</v>
      </c>
      <c r="K1174" t="s">
        <v>8441</v>
      </c>
      <c r="L1174">
        <v>1234</v>
      </c>
      <c r="M1174" t="s">
        <v>645</v>
      </c>
      <c r="N1174" t="s">
        <v>336</v>
      </c>
      <c r="O1174" t="s">
        <v>337</v>
      </c>
      <c r="P1174">
        <v>3316</v>
      </c>
    </row>
    <row r="1175" spans="1:17" x14ac:dyDescent="0.3">
      <c r="A1175" t="s">
        <v>8442</v>
      </c>
      <c r="B1175" t="s">
        <v>88</v>
      </c>
      <c r="C1175" t="s">
        <v>8443</v>
      </c>
      <c r="D1175" t="s">
        <v>1290</v>
      </c>
      <c r="E1175" t="s">
        <v>4804</v>
      </c>
      <c r="F1175" t="s">
        <v>8444</v>
      </c>
      <c r="G1175">
        <v>0</v>
      </c>
      <c r="H1175">
        <v>0</v>
      </c>
      <c r="I1175" t="s">
        <v>8445</v>
      </c>
      <c r="J1175">
        <v>9310025065</v>
      </c>
      <c r="K1175" t="s">
        <v>8446</v>
      </c>
      <c r="L1175">
        <v>3381</v>
      </c>
      <c r="M1175" t="s">
        <v>645</v>
      </c>
      <c r="N1175" t="s">
        <v>336</v>
      </c>
      <c r="O1175" t="s">
        <v>337</v>
      </c>
      <c r="P1175">
        <v>3344</v>
      </c>
      <c r="Q1175" t="s">
        <v>8447</v>
      </c>
    </row>
    <row r="1176" spans="1:17" x14ac:dyDescent="0.3">
      <c r="A1176" t="s">
        <v>8448</v>
      </c>
      <c r="B1176" t="s">
        <v>1519</v>
      </c>
      <c r="C1176" t="s">
        <v>8449</v>
      </c>
      <c r="E1176" t="s">
        <v>1454</v>
      </c>
      <c r="F1176" t="s">
        <v>8450</v>
      </c>
      <c r="I1176" t="s">
        <v>8451</v>
      </c>
      <c r="J1176">
        <v>9175850440</v>
      </c>
      <c r="K1176" t="s">
        <v>8452</v>
      </c>
      <c r="L1176">
        <v>1234</v>
      </c>
      <c r="M1176" t="s">
        <v>645</v>
      </c>
      <c r="N1176" t="s">
        <v>369</v>
      </c>
      <c r="P1176">
        <v>3346</v>
      </c>
    </row>
    <row r="1177" spans="1:17" x14ac:dyDescent="0.3">
      <c r="A1177" t="s">
        <v>8453</v>
      </c>
      <c r="B1177" t="s">
        <v>8454</v>
      </c>
      <c r="C1177" t="s">
        <v>2868</v>
      </c>
      <c r="D1177" t="s">
        <v>326</v>
      </c>
      <c r="E1177" t="s">
        <v>8455</v>
      </c>
      <c r="F1177" t="s">
        <v>8456</v>
      </c>
      <c r="G1177">
        <v>15.1765915124702</v>
      </c>
      <c r="H1177">
        <v>1560.5237424373599</v>
      </c>
      <c r="I1177" t="s">
        <v>8457</v>
      </c>
      <c r="J1177">
        <v>9357363531</v>
      </c>
      <c r="K1177" t="s">
        <v>8458</v>
      </c>
      <c r="L1177" t="s">
        <v>8459</v>
      </c>
      <c r="M1177" t="s">
        <v>645</v>
      </c>
      <c r="N1177" t="s">
        <v>336</v>
      </c>
      <c r="O1177" t="s">
        <v>515</v>
      </c>
      <c r="P1177">
        <v>3317</v>
      </c>
    </row>
    <row r="1178" spans="1:17" x14ac:dyDescent="0.3">
      <c r="A1178" t="s">
        <v>8460</v>
      </c>
      <c r="B1178" t="s">
        <v>8461</v>
      </c>
      <c r="C1178" t="s">
        <v>6579</v>
      </c>
      <c r="D1178" t="s">
        <v>1017</v>
      </c>
      <c r="E1178" t="s">
        <v>329</v>
      </c>
      <c r="F1178" t="s">
        <v>8462</v>
      </c>
      <c r="G1178">
        <v>0</v>
      </c>
      <c r="H1178">
        <v>0</v>
      </c>
      <c r="I1178" t="s">
        <v>8463</v>
      </c>
      <c r="J1178">
        <v>9157920729</v>
      </c>
      <c r="K1178" t="s">
        <v>8464</v>
      </c>
      <c r="L1178" t="s">
        <v>8465</v>
      </c>
      <c r="M1178" t="s">
        <v>645</v>
      </c>
      <c r="N1178" t="s">
        <v>369</v>
      </c>
      <c r="O1178" t="s">
        <v>370</v>
      </c>
      <c r="P1178">
        <v>3373</v>
      </c>
    </row>
    <row r="1179" spans="1:17" x14ac:dyDescent="0.3">
      <c r="A1179" t="s">
        <v>8460</v>
      </c>
      <c r="B1179" t="s">
        <v>8461</v>
      </c>
      <c r="C1179" t="s">
        <v>6579</v>
      </c>
      <c r="D1179" t="s">
        <v>1017</v>
      </c>
      <c r="E1179" t="s">
        <v>329</v>
      </c>
      <c r="F1179" t="s">
        <v>8462</v>
      </c>
      <c r="G1179">
        <v>0</v>
      </c>
      <c r="H1179">
        <v>0</v>
      </c>
      <c r="I1179" t="s">
        <v>8463</v>
      </c>
      <c r="J1179">
        <v>9157920729</v>
      </c>
      <c r="K1179" t="s">
        <v>8464</v>
      </c>
      <c r="L1179" t="s">
        <v>8465</v>
      </c>
      <c r="M1179" t="s">
        <v>645</v>
      </c>
      <c r="N1179" t="s">
        <v>369</v>
      </c>
      <c r="O1179" t="s">
        <v>370</v>
      </c>
      <c r="P1179">
        <v>3373</v>
      </c>
    </row>
    <row r="1180" spans="1:17" x14ac:dyDescent="0.3">
      <c r="A1180" t="s">
        <v>8466</v>
      </c>
      <c r="B1180" t="s">
        <v>8467</v>
      </c>
      <c r="C1180" t="s">
        <v>8468</v>
      </c>
      <c r="D1180" t="s">
        <v>4331</v>
      </c>
      <c r="E1180" t="s">
        <v>477</v>
      </c>
      <c r="F1180" t="s">
        <v>8469</v>
      </c>
      <c r="G1180">
        <v>0</v>
      </c>
      <c r="H1180">
        <v>0</v>
      </c>
      <c r="I1180" t="s">
        <v>8470</v>
      </c>
      <c r="J1180">
        <v>9171164259</v>
      </c>
      <c r="K1180" t="s">
        <v>8471</v>
      </c>
      <c r="L1180" t="s">
        <v>8472</v>
      </c>
      <c r="M1180" t="s">
        <v>645</v>
      </c>
      <c r="N1180" t="s">
        <v>16</v>
      </c>
      <c r="O1180" t="s">
        <v>17</v>
      </c>
      <c r="P1180">
        <v>3360</v>
      </c>
      <c r="Q1180" t="s">
        <v>8473</v>
      </c>
    </row>
    <row r="1181" spans="1:17" x14ac:dyDescent="0.3">
      <c r="A1181" t="s">
        <v>8474</v>
      </c>
      <c r="B1181" t="s">
        <v>1145</v>
      </c>
      <c r="C1181" t="s">
        <v>75</v>
      </c>
      <c r="D1181" t="s">
        <v>8475</v>
      </c>
      <c r="E1181" t="s">
        <v>7028</v>
      </c>
      <c r="F1181" t="s">
        <v>8476</v>
      </c>
      <c r="I1181" t="s">
        <v>8477</v>
      </c>
      <c r="J1181" t="s">
        <v>8478</v>
      </c>
      <c r="K1181" t="s">
        <v>8479</v>
      </c>
      <c r="L1181">
        <v>1234</v>
      </c>
      <c r="M1181" t="s">
        <v>645</v>
      </c>
      <c r="N1181" t="s">
        <v>336</v>
      </c>
      <c r="O1181" t="s">
        <v>515</v>
      </c>
      <c r="P1181">
        <v>3353</v>
      </c>
    </row>
    <row r="1182" spans="1:17" x14ac:dyDescent="0.3">
      <c r="A1182" t="s">
        <v>8480</v>
      </c>
      <c r="B1182" t="s">
        <v>2701</v>
      </c>
      <c r="C1182" t="s">
        <v>4079</v>
      </c>
      <c r="D1182" t="s">
        <v>1909</v>
      </c>
      <c r="E1182" t="s">
        <v>329</v>
      </c>
      <c r="F1182" t="s">
        <v>8481</v>
      </c>
      <c r="G1182">
        <v>2.7036666860165599E-3</v>
      </c>
      <c r="H1182">
        <v>-8.58306884765625E-5</v>
      </c>
      <c r="I1182" t="s">
        <v>8482</v>
      </c>
      <c r="J1182">
        <v>9190874897</v>
      </c>
      <c r="K1182" t="s">
        <v>8483</v>
      </c>
      <c r="L1182" t="s">
        <v>8484</v>
      </c>
      <c r="M1182" t="s">
        <v>645</v>
      </c>
      <c r="N1182" t="s">
        <v>336</v>
      </c>
      <c r="O1182" t="s">
        <v>515</v>
      </c>
      <c r="P1182">
        <v>3338</v>
      </c>
    </row>
    <row r="1183" spans="1:17" x14ac:dyDescent="0.3">
      <c r="A1183" t="s">
        <v>8485</v>
      </c>
      <c r="B1183" t="s">
        <v>3335</v>
      </c>
      <c r="C1183" t="s">
        <v>8144</v>
      </c>
      <c r="D1183" t="s">
        <v>1154</v>
      </c>
      <c r="E1183" t="s">
        <v>3723</v>
      </c>
      <c r="F1183" t="s">
        <v>8486</v>
      </c>
      <c r="I1183" t="s">
        <v>8146</v>
      </c>
      <c r="J1183" t="s">
        <v>8147</v>
      </c>
      <c r="K1183" t="s">
        <v>8487</v>
      </c>
      <c r="L1183">
        <v>1234</v>
      </c>
      <c r="M1183" t="s">
        <v>645</v>
      </c>
      <c r="N1183" t="s">
        <v>398</v>
      </c>
      <c r="O1183" t="s">
        <v>1104</v>
      </c>
      <c r="P1183">
        <v>3308</v>
      </c>
    </row>
    <row r="1184" spans="1:17" x14ac:dyDescent="0.3">
      <c r="A1184" t="s">
        <v>8488</v>
      </c>
      <c r="B1184" t="s">
        <v>3381</v>
      </c>
      <c r="C1184" t="s">
        <v>3382</v>
      </c>
      <c r="D1184" t="s">
        <v>3383</v>
      </c>
      <c r="E1184" t="s">
        <v>1284</v>
      </c>
      <c r="F1184" t="s">
        <v>8489</v>
      </c>
      <c r="G1184">
        <v>0</v>
      </c>
      <c r="H1184">
        <v>0</v>
      </c>
      <c r="I1184" t="s">
        <v>8490</v>
      </c>
      <c r="J1184">
        <v>9209028320</v>
      </c>
      <c r="K1184" t="s">
        <v>8491</v>
      </c>
      <c r="L1184">
        <v>1234</v>
      </c>
      <c r="M1184" t="s">
        <v>645</v>
      </c>
      <c r="N1184" t="s">
        <v>16</v>
      </c>
      <c r="O1184" t="s">
        <v>17</v>
      </c>
      <c r="P1184">
        <v>3361</v>
      </c>
    </row>
    <row r="1185" spans="1:16" x14ac:dyDescent="0.3">
      <c r="A1185" t="s">
        <v>8492</v>
      </c>
      <c r="B1185" t="s">
        <v>8493</v>
      </c>
      <c r="C1185" t="s">
        <v>8494</v>
      </c>
      <c r="D1185" t="s">
        <v>8495</v>
      </c>
      <c r="E1185" t="s">
        <v>8496</v>
      </c>
      <c r="F1185" t="s">
        <v>8497</v>
      </c>
      <c r="G1185">
        <v>15.1763895966566</v>
      </c>
      <c r="H1185">
        <v>120.52103877067501</v>
      </c>
      <c r="I1185" t="s">
        <v>8498</v>
      </c>
      <c r="J1185">
        <v>9260210021</v>
      </c>
      <c r="K1185" t="s">
        <v>8499</v>
      </c>
      <c r="L1185" t="s">
        <v>8500</v>
      </c>
      <c r="M1185" t="s">
        <v>645</v>
      </c>
      <c r="N1185" t="s">
        <v>336</v>
      </c>
      <c r="O1185" t="s">
        <v>515</v>
      </c>
      <c r="P1185">
        <v>3366</v>
      </c>
    </row>
    <row r="1186" spans="1:16" x14ac:dyDescent="0.3">
      <c r="A1186" t="s">
        <v>8501</v>
      </c>
      <c r="B1186" t="s">
        <v>8063</v>
      </c>
      <c r="C1186" t="s">
        <v>8502</v>
      </c>
      <c r="D1186" t="s">
        <v>1571</v>
      </c>
      <c r="E1186" t="s">
        <v>8503</v>
      </c>
      <c r="F1186" t="s">
        <v>8504</v>
      </c>
      <c r="G1186">
        <v>0</v>
      </c>
      <c r="H1186">
        <v>0</v>
      </c>
      <c r="I1186" t="s">
        <v>8505</v>
      </c>
      <c r="J1186" t="s">
        <v>8506</v>
      </c>
      <c r="K1186" t="s">
        <v>8507</v>
      </c>
      <c r="L1186">
        <v>1234</v>
      </c>
      <c r="M1186" t="s">
        <v>645</v>
      </c>
      <c r="N1186" t="s">
        <v>710</v>
      </c>
      <c r="O1186" t="s">
        <v>789</v>
      </c>
      <c r="P1186">
        <v>3357</v>
      </c>
    </row>
    <row r="1187" spans="1:16" x14ac:dyDescent="0.3">
      <c r="A1187" t="s">
        <v>6014</v>
      </c>
      <c r="B1187" t="s">
        <v>723</v>
      </c>
      <c r="C1187" t="s">
        <v>2199</v>
      </c>
      <c r="D1187" t="s">
        <v>1425</v>
      </c>
      <c r="E1187" t="s">
        <v>6015</v>
      </c>
      <c r="F1187" t="s">
        <v>8508</v>
      </c>
      <c r="G1187">
        <v>0</v>
      </c>
      <c r="H1187">
        <v>0</v>
      </c>
      <c r="I1187" t="s">
        <v>8509</v>
      </c>
      <c r="J1187">
        <v>9977381668</v>
      </c>
      <c r="K1187" t="s">
        <v>8510</v>
      </c>
      <c r="L1187">
        <v>21521</v>
      </c>
      <c r="M1187" t="s">
        <v>645</v>
      </c>
      <c r="N1187" t="s">
        <v>398</v>
      </c>
      <c r="O1187" t="s">
        <v>582</v>
      </c>
      <c r="P1187">
        <v>2341</v>
      </c>
    </row>
    <row r="1188" spans="1:16" x14ac:dyDescent="0.3">
      <c r="A1188" t="s">
        <v>8511</v>
      </c>
      <c r="B1188" t="s">
        <v>1145</v>
      </c>
      <c r="C1188" t="s">
        <v>75</v>
      </c>
      <c r="D1188" t="s">
        <v>3354</v>
      </c>
      <c r="E1188" t="s">
        <v>8512</v>
      </c>
      <c r="F1188" t="s">
        <v>8513</v>
      </c>
      <c r="I1188" t="s">
        <v>8514</v>
      </c>
      <c r="K1188" t="s">
        <v>8515</v>
      </c>
      <c r="L1188">
        <v>1234</v>
      </c>
      <c r="M1188" t="s">
        <v>645</v>
      </c>
      <c r="N1188" t="s">
        <v>336</v>
      </c>
      <c r="O1188" t="s">
        <v>515</v>
      </c>
      <c r="P1188">
        <v>3348</v>
      </c>
    </row>
    <row r="1189" spans="1:16" x14ac:dyDescent="0.3">
      <c r="A1189" t="s">
        <v>8516</v>
      </c>
      <c r="B1189" t="s">
        <v>8517</v>
      </c>
      <c r="C1189" t="s">
        <v>8518</v>
      </c>
      <c r="D1189" t="s">
        <v>3479</v>
      </c>
      <c r="E1189" t="s">
        <v>1276</v>
      </c>
      <c r="F1189" t="s">
        <v>8519</v>
      </c>
      <c r="I1189" t="s">
        <v>8520</v>
      </c>
      <c r="J1189">
        <v>9168424860</v>
      </c>
      <c r="K1189" t="s">
        <v>8521</v>
      </c>
      <c r="L1189">
        <v>1234</v>
      </c>
      <c r="M1189" t="s">
        <v>645</v>
      </c>
      <c r="N1189" t="s">
        <v>398</v>
      </c>
      <c r="O1189" t="s">
        <v>582</v>
      </c>
      <c r="P1189">
        <v>3339</v>
      </c>
    </row>
    <row r="1190" spans="1:16" x14ac:dyDescent="0.3">
      <c r="A1190" t="s">
        <v>8522</v>
      </c>
      <c r="B1190" t="s">
        <v>8523</v>
      </c>
      <c r="C1190" t="s">
        <v>8524</v>
      </c>
      <c r="D1190" t="s">
        <v>8525</v>
      </c>
      <c r="E1190" t="s">
        <v>8526</v>
      </c>
      <c r="F1190" t="s">
        <v>8527</v>
      </c>
      <c r="G1190">
        <v>15.17534</v>
      </c>
      <c r="H1190">
        <v>120.528616</v>
      </c>
      <c r="I1190" t="s">
        <v>8528</v>
      </c>
      <c r="J1190" t="s">
        <v>8529</v>
      </c>
      <c r="K1190" t="s">
        <v>8530</v>
      </c>
      <c r="L1190">
        <v>1234</v>
      </c>
      <c r="M1190" t="s">
        <v>645</v>
      </c>
      <c r="N1190" t="s">
        <v>369</v>
      </c>
      <c r="O1190" t="s">
        <v>8531</v>
      </c>
      <c r="P1190">
        <v>2934</v>
      </c>
    </row>
    <row r="1191" spans="1:16" x14ac:dyDescent="0.3">
      <c r="A1191" t="s">
        <v>8532</v>
      </c>
      <c r="B1191" t="s">
        <v>8186</v>
      </c>
      <c r="C1191" t="s">
        <v>8187</v>
      </c>
      <c r="D1191" t="s">
        <v>8188</v>
      </c>
      <c r="E1191" t="s">
        <v>2674</v>
      </c>
      <c r="F1191" t="s">
        <v>8533</v>
      </c>
      <c r="I1191" t="s">
        <v>7370</v>
      </c>
      <c r="J1191" t="s">
        <v>8534</v>
      </c>
      <c r="K1191" t="s">
        <v>8535</v>
      </c>
      <c r="L1191">
        <v>1234</v>
      </c>
      <c r="M1191" t="s">
        <v>645</v>
      </c>
      <c r="N1191" t="s">
        <v>336</v>
      </c>
      <c r="O1191" t="s">
        <v>5134</v>
      </c>
      <c r="P1191">
        <v>3382</v>
      </c>
    </row>
    <row r="1192" spans="1:16" x14ac:dyDescent="0.3">
      <c r="A1192" t="s">
        <v>8536</v>
      </c>
      <c r="B1192" t="s">
        <v>792</v>
      </c>
      <c r="C1192" t="s">
        <v>8537</v>
      </c>
      <c r="D1192" t="s">
        <v>2561</v>
      </c>
      <c r="E1192" t="s">
        <v>8538</v>
      </c>
      <c r="F1192" t="s">
        <v>8539</v>
      </c>
      <c r="I1192" t="s">
        <v>8540</v>
      </c>
      <c r="J1192">
        <v>9368870125</v>
      </c>
      <c r="K1192" t="s">
        <v>8541</v>
      </c>
      <c r="L1192">
        <v>1234</v>
      </c>
      <c r="M1192" t="s">
        <v>645</v>
      </c>
      <c r="N1192" t="s">
        <v>931</v>
      </c>
      <c r="P1192">
        <v>3288</v>
      </c>
    </row>
    <row r="1193" spans="1:16" x14ac:dyDescent="0.3">
      <c r="A1193" t="s">
        <v>5211</v>
      </c>
      <c r="F1193" t="s">
        <v>5170</v>
      </c>
      <c r="K1193" t="s">
        <v>5212</v>
      </c>
      <c r="L1193">
        <v>1234</v>
      </c>
      <c r="M1193" t="s">
        <v>645</v>
      </c>
      <c r="N1193" t="s">
        <v>336</v>
      </c>
      <c r="O1193" t="s">
        <v>441</v>
      </c>
      <c r="P1193">
        <v>2491</v>
      </c>
    </row>
    <row r="1194" spans="1:16" x14ac:dyDescent="0.3">
      <c r="A1194" t="s">
        <v>8542</v>
      </c>
      <c r="B1194" t="s">
        <v>8543</v>
      </c>
      <c r="C1194" t="s">
        <v>8544</v>
      </c>
      <c r="D1194" t="s">
        <v>8545</v>
      </c>
      <c r="E1194" t="s">
        <v>3153</v>
      </c>
      <c r="F1194" t="s">
        <v>8546</v>
      </c>
      <c r="G1194">
        <v>15.172684</v>
      </c>
      <c r="H1194">
        <v>120.529</v>
      </c>
      <c r="I1194" t="s">
        <v>8547</v>
      </c>
      <c r="J1194" t="s">
        <v>8548</v>
      </c>
      <c r="K1194" t="s">
        <v>8549</v>
      </c>
      <c r="L1194">
        <v>1234</v>
      </c>
      <c r="M1194" t="s">
        <v>645</v>
      </c>
      <c r="N1194" t="s">
        <v>398</v>
      </c>
      <c r="O1194" t="s">
        <v>582</v>
      </c>
      <c r="P1194">
        <v>3350</v>
      </c>
    </row>
    <row r="1195" spans="1:16" x14ac:dyDescent="0.3">
      <c r="A1195" t="s">
        <v>8550</v>
      </c>
      <c r="B1195" t="s">
        <v>1983</v>
      </c>
      <c r="C1195" t="s">
        <v>8551</v>
      </c>
      <c r="D1195" t="s">
        <v>8552</v>
      </c>
      <c r="E1195" t="s">
        <v>3153</v>
      </c>
      <c r="F1195" t="s">
        <v>8553</v>
      </c>
      <c r="I1195" t="s">
        <v>8554</v>
      </c>
      <c r="J1195">
        <v>9382587612</v>
      </c>
      <c r="K1195" t="s">
        <v>8555</v>
      </c>
      <c r="L1195">
        <v>1234</v>
      </c>
      <c r="M1195" t="s">
        <v>645</v>
      </c>
      <c r="N1195" t="s">
        <v>931</v>
      </c>
      <c r="P1195">
        <v>1245</v>
      </c>
    </row>
    <row r="1196" spans="1:16" x14ac:dyDescent="0.3">
      <c r="A1196" t="s">
        <v>8556</v>
      </c>
      <c r="B1196" t="s">
        <v>8557</v>
      </c>
      <c r="C1196" t="s">
        <v>8558</v>
      </c>
      <c r="D1196" t="s">
        <v>3275</v>
      </c>
      <c r="E1196" t="s">
        <v>8559</v>
      </c>
      <c r="F1196" t="s">
        <v>8560</v>
      </c>
      <c r="G1196">
        <v>0</v>
      </c>
      <c r="H1196">
        <v>0</v>
      </c>
      <c r="I1196" t="s">
        <v>8561</v>
      </c>
      <c r="J1196">
        <v>9175074656</v>
      </c>
      <c r="K1196" t="s">
        <v>8562</v>
      </c>
      <c r="L1196">
        <v>1234</v>
      </c>
      <c r="M1196" t="s">
        <v>645</v>
      </c>
      <c r="N1196" t="s">
        <v>336</v>
      </c>
      <c r="O1196" t="s">
        <v>441</v>
      </c>
      <c r="P1196">
        <v>3391</v>
      </c>
    </row>
    <row r="1197" spans="1:16" x14ac:dyDescent="0.3">
      <c r="A1197" t="s">
        <v>8563</v>
      </c>
      <c r="B1197" t="s">
        <v>8564</v>
      </c>
      <c r="C1197" t="s">
        <v>7689</v>
      </c>
      <c r="D1197" t="s">
        <v>1909</v>
      </c>
      <c r="E1197" t="s">
        <v>1766</v>
      </c>
      <c r="F1197" t="s">
        <v>8565</v>
      </c>
      <c r="I1197" t="s">
        <v>8566</v>
      </c>
      <c r="J1197">
        <v>9166674287</v>
      </c>
      <c r="K1197" t="s">
        <v>8567</v>
      </c>
      <c r="L1197">
        <v>1234</v>
      </c>
      <c r="M1197" t="s">
        <v>645</v>
      </c>
      <c r="N1197" t="s">
        <v>398</v>
      </c>
      <c r="O1197" t="s">
        <v>1104</v>
      </c>
      <c r="P1197">
        <v>3329</v>
      </c>
    </row>
    <row r="1198" spans="1:16" x14ac:dyDescent="0.3">
      <c r="A1198" t="s">
        <v>8568</v>
      </c>
      <c r="B1198" t="s">
        <v>8569</v>
      </c>
      <c r="C1198" t="s">
        <v>8570</v>
      </c>
      <c r="D1198" t="s">
        <v>3095</v>
      </c>
      <c r="E1198" t="s">
        <v>2216</v>
      </c>
      <c r="F1198" t="s">
        <v>8571</v>
      </c>
      <c r="G1198">
        <v>8.5830688485964105E-5</v>
      </c>
      <c r="H1198">
        <v>1.71661376953125E-4</v>
      </c>
      <c r="I1198" t="s">
        <v>8572</v>
      </c>
      <c r="J1198">
        <v>9688556782</v>
      </c>
      <c r="K1198" t="s">
        <v>8573</v>
      </c>
      <c r="L1198" t="s">
        <v>8574</v>
      </c>
      <c r="M1198" t="s">
        <v>645</v>
      </c>
      <c r="N1198" t="s">
        <v>336</v>
      </c>
      <c r="O1198" t="s">
        <v>337</v>
      </c>
      <c r="P1198">
        <v>3398</v>
      </c>
    </row>
    <row r="1199" spans="1:16" x14ac:dyDescent="0.3">
      <c r="A1199" t="s">
        <v>8575</v>
      </c>
      <c r="B1199" t="s">
        <v>1017</v>
      </c>
      <c r="C1199" t="s">
        <v>8576</v>
      </c>
      <c r="D1199" t="s">
        <v>8577</v>
      </c>
      <c r="E1199" t="s">
        <v>1110</v>
      </c>
      <c r="F1199" t="s">
        <v>8578</v>
      </c>
      <c r="G1199">
        <v>15.1780773998286</v>
      </c>
      <c r="H1199">
        <v>120.57282686233501</v>
      </c>
      <c r="I1199" t="s">
        <v>8579</v>
      </c>
      <c r="J1199">
        <v>9176510158</v>
      </c>
      <c r="K1199" t="s">
        <v>8580</v>
      </c>
      <c r="L1199">
        <v>1234</v>
      </c>
      <c r="M1199" t="s">
        <v>645</v>
      </c>
      <c r="N1199" t="s">
        <v>337</v>
      </c>
      <c r="O1199" t="s">
        <v>515</v>
      </c>
      <c r="P1199">
        <v>3371</v>
      </c>
    </row>
    <row r="1200" spans="1:16" x14ac:dyDescent="0.3">
      <c r="A1200" t="s">
        <v>8581</v>
      </c>
      <c r="B1200" t="s">
        <v>8582</v>
      </c>
      <c r="C1200" t="s">
        <v>8583</v>
      </c>
      <c r="D1200" t="s">
        <v>8584</v>
      </c>
      <c r="E1200" t="s">
        <v>867</v>
      </c>
      <c r="F1200" t="s">
        <v>8585</v>
      </c>
      <c r="I1200" t="s">
        <v>8586</v>
      </c>
      <c r="J1200">
        <v>9757775816</v>
      </c>
      <c r="K1200" t="s">
        <v>8587</v>
      </c>
      <c r="L1200">
        <v>1234</v>
      </c>
      <c r="M1200" t="s">
        <v>645</v>
      </c>
      <c r="N1200" t="s">
        <v>398</v>
      </c>
      <c r="O1200" t="s">
        <v>685</v>
      </c>
      <c r="P1200">
        <v>3386</v>
      </c>
    </row>
    <row r="1201" spans="1:17" x14ac:dyDescent="0.3">
      <c r="A1201" t="s">
        <v>7699</v>
      </c>
      <c r="B1201" t="s">
        <v>7700</v>
      </c>
      <c r="C1201" t="s">
        <v>7701</v>
      </c>
      <c r="D1201" t="s">
        <v>7702</v>
      </c>
      <c r="E1201" t="s">
        <v>7703</v>
      </c>
      <c r="F1201" t="s">
        <v>7704</v>
      </c>
      <c r="G1201">
        <v>0</v>
      </c>
      <c r="H1201">
        <v>0</v>
      </c>
      <c r="I1201" t="s">
        <v>7705</v>
      </c>
      <c r="J1201" t="s">
        <v>7706</v>
      </c>
      <c r="K1201" t="s">
        <v>7707</v>
      </c>
      <c r="L1201">
        <v>1234</v>
      </c>
      <c r="M1201" t="s">
        <v>645</v>
      </c>
      <c r="N1201" t="s">
        <v>336</v>
      </c>
      <c r="O1201" t="s">
        <v>515</v>
      </c>
      <c r="P1201">
        <v>3192</v>
      </c>
    </row>
    <row r="1202" spans="1:17" x14ac:dyDescent="0.3">
      <c r="A1202" t="s">
        <v>7971</v>
      </c>
      <c r="B1202" t="s">
        <v>7972</v>
      </c>
      <c r="C1202" t="s">
        <v>7973</v>
      </c>
      <c r="D1202" t="s">
        <v>2561</v>
      </c>
      <c r="E1202" t="s">
        <v>7974</v>
      </c>
      <c r="F1202" t="s">
        <v>7975</v>
      </c>
      <c r="G1202">
        <v>0</v>
      </c>
      <c r="H1202">
        <v>0</v>
      </c>
      <c r="I1202" t="s">
        <v>7976</v>
      </c>
      <c r="J1202">
        <f>-2- 8826-6880</f>
        <v>-15708</v>
      </c>
      <c r="K1202" t="s">
        <v>7977</v>
      </c>
      <c r="L1202">
        <v>1234</v>
      </c>
      <c r="M1202" t="s">
        <v>645</v>
      </c>
      <c r="N1202" t="s">
        <v>779</v>
      </c>
      <c r="O1202" t="s">
        <v>780</v>
      </c>
      <c r="P1202">
        <v>3228</v>
      </c>
    </row>
    <row r="1203" spans="1:17" x14ac:dyDescent="0.3">
      <c r="A1203" t="s">
        <v>8588</v>
      </c>
      <c r="B1203" t="s">
        <v>8589</v>
      </c>
      <c r="C1203" t="s">
        <v>8590</v>
      </c>
      <c r="D1203" t="s">
        <v>8591</v>
      </c>
      <c r="E1203" t="s">
        <v>477</v>
      </c>
      <c r="F1203" t="s">
        <v>8592</v>
      </c>
      <c r="G1203">
        <v>0</v>
      </c>
      <c r="H1203">
        <v>0</v>
      </c>
      <c r="I1203" t="s">
        <v>8593</v>
      </c>
      <c r="J1203">
        <v>9420749722</v>
      </c>
      <c r="K1203" t="s">
        <v>8594</v>
      </c>
      <c r="L1203">
        <v>1234</v>
      </c>
      <c r="M1203" t="s">
        <v>645</v>
      </c>
      <c r="N1203" t="s">
        <v>336</v>
      </c>
      <c r="O1203" t="s">
        <v>441</v>
      </c>
      <c r="P1203">
        <v>3375</v>
      </c>
    </row>
    <row r="1204" spans="1:17" x14ac:dyDescent="0.3">
      <c r="A1204" t="s">
        <v>8595</v>
      </c>
      <c r="B1204" t="s">
        <v>1807</v>
      </c>
      <c r="C1204" t="s">
        <v>8596</v>
      </c>
      <c r="D1204" t="s">
        <v>1571</v>
      </c>
      <c r="E1204" t="s">
        <v>8597</v>
      </c>
      <c r="F1204" t="s">
        <v>8598</v>
      </c>
      <c r="G1204">
        <v>0</v>
      </c>
      <c r="H1204">
        <v>0</v>
      </c>
      <c r="I1204" t="s">
        <v>8599</v>
      </c>
      <c r="J1204">
        <v>9178459009</v>
      </c>
      <c r="K1204" t="s">
        <v>8600</v>
      </c>
      <c r="L1204" t="s">
        <v>8601</v>
      </c>
      <c r="M1204" t="s">
        <v>645</v>
      </c>
      <c r="N1204" t="s">
        <v>336</v>
      </c>
      <c r="O1204" t="s">
        <v>515</v>
      </c>
      <c r="P1204">
        <v>3367</v>
      </c>
      <c r="Q1204" t="s">
        <v>8602</v>
      </c>
    </row>
    <row r="1205" spans="1:17" x14ac:dyDescent="0.3">
      <c r="A1205" t="s">
        <v>8603</v>
      </c>
      <c r="B1205" t="s">
        <v>3335</v>
      </c>
      <c r="C1205" t="s">
        <v>8604</v>
      </c>
      <c r="D1205" t="s">
        <v>8605</v>
      </c>
      <c r="E1205" t="s">
        <v>1985</v>
      </c>
      <c r="F1205" t="s">
        <v>8606</v>
      </c>
      <c r="G1205">
        <v>15.14709</v>
      </c>
      <c r="H1205">
        <v>120.59781</v>
      </c>
      <c r="I1205" t="s">
        <v>8607</v>
      </c>
      <c r="J1205">
        <v>9382590663</v>
      </c>
      <c r="K1205" t="s">
        <v>8608</v>
      </c>
      <c r="L1205">
        <v>1234</v>
      </c>
      <c r="M1205" t="s">
        <v>645</v>
      </c>
      <c r="N1205" t="s">
        <v>336</v>
      </c>
      <c r="O1205" t="s">
        <v>515</v>
      </c>
      <c r="P1205">
        <v>2616</v>
      </c>
    </row>
    <row r="1206" spans="1:17" x14ac:dyDescent="0.3">
      <c r="A1206" t="s">
        <v>8609</v>
      </c>
      <c r="B1206" t="s">
        <v>224</v>
      </c>
      <c r="C1206" t="s">
        <v>8610</v>
      </c>
      <c r="D1206" t="s">
        <v>3095</v>
      </c>
      <c r="E1206" t="s">
        <v>4306</v>
      </c>
      <c r="F1206" t="s">
        <v>8611</v>
      </c>
      <c r="G1206">
        <v>0</v>
      </c>
      <c r="H1206">
        <v>0</v>
      </c>
      <c r="I1206" t="s">
        <v>1661</v>
      </c>
      <c r="J1206">
        <v>9174771349</v>
      </c>
      <c r="K1206" t="s">
        <v>8612</v>
      </c>
      <c r="L1206" t="s">
        <v>8613</v>
      </c>
      <c r="M1206" t="s">
        <v>645</v>
      </c>
      <c r="N1206" t="s">
        <v>398</v>
      </c>
      <c r="O1206" t="s">
        <v>1228</v>
      </c>
      <c r="P1206">
        <v>1164</v>
      </c>
    </row>
    <row r="1207" spans="1:17" x14ac:dyDescent="0.3">
      <c r="A1207" t="s">
        <v>8614</v>
      </c>
      <c r="B1207" t="s">
        <v>5331</v>
      </c>
      <c r="C1207" t="s">
        <v>8615</v>
      </c>
      <c r="D1207" t="s">
        <v>8616</v>
      </c>
      <c r="E1207" t="s">
        <v>698</v>
      </c>
      <c r="F1207" t="s">
        <v>8617</v>
      </c>
      <c r="G1207">
        <v>15.1965698685358</v>
      </c>
      <c r="H1207">
        <v>120.519504547119</v>
      </c>
      <c r="I1207" t="s">
        <v>8618</v>
      </c>
      <c r="J1207">
        <v>9217486207</v>
      </c>
      <c r="K1207" t="s">
        <v>8619</v>
      </c>
      <c r="L1207">
        <v>1234</v>
      </c>
      <c r="M1207" t="s">
        <v>645</v>
      </c>
      <c r="N1207" t="s">
        <v>931</v>
      </c>
      <c r="O1207" t="s">
        <v>8620</v>
      </c>
      <c r="P1207">
        <v>3384</v>
      </c>
    </row>
    <row r="1208" spans="1:17" x14ac:dyDescent="0.3">
      <c r="A1208" t="s">
        <v>8621</v>
      </c>
      <c r="B1208" t="s">
        <v>8622</v>
      </c>
      <c r="C1208" t="s">
        <v>8623</v>
      </c>
      <c r="D1208" t="s">
        <v>1571</v>
      </c>
      <c r="E1208" t="s">
        <v>1259</v>
      </c>
      <c r="F1208" t="s">
        <v>8624</v>
      </c>
      <c r="I1208" t="s">
        <v>8625</v>
      </c>
      <c r="J1208">
        <v>9559288890</v>
      </c>
      <c r="K1208" t="s">
        <v>8626</v>
      </c>
      <c r="L1208">
        <v>1234</v>
      </c>
      <c r="M1208" t="s">
        <v>645</v>
      </c>
      <c r="N1208" t="s">
        <v>336</v>
      </c>
      <c r="O1208" t="s">
        <v>515</v>
      </c>
      <c r="P1208">
        <v>3323</v>
      </c>
    </row>
    <row r="1209" spans="1:17" x14ac:dyDescent="0.3">
      <c r="A1209" t="s">
        <v>8627</v>
      </c>
      <c r="B1209" t="s">
        <v>3316</v>
      </c>
      <c r="C1209" t="s">
        <v>3235</v>
      </c>
      <c r="D1209" t="s">
        <v>3317</v>
      </c>
      <c r="E1209" t="s">
        <v>704</v>
      </c>
      <c r="F1209" t="s">
        <v>8628</v>
      </c>
      <c r="G1209">
        <v>0</v>
      </c>
      <c r="H1209">
        <v>0</v>
      </c>
      <c r="I1209" t="s">
        <v>3318</v>
      </c>
      <c r="J1209">
        <v>9061838557</v>
      </c>
      <c r="K1209" t="s">
        <v>8629</v>
      </c>
      <c r="L1209" t="s">
        <v>8630</v>
      </c>
      <c r="M1209" t="s">
        <v>645</v>
      </c>
      <c r="N1209" t="s">
        <v>369</v>
      </c>
      <c r="O1209" t="s">
        <v>370</v>
      </c>
      <c r="P1209">
        <v>3396</v>
      </c>
    </row>
    <row r="1210" spans="1:17" x14ac:dyDescent="0.3">
      <c r="A1210" t="s">
        <v>8631</v>
      </c>
      <c r="B1210" t="s">
        <v>8632</v>
      </c>
      <c r="C1210" t="s">
        <v>2735</v>
      </c>
      <c r="D1210" t="s">
        <v>2919</v>
      </c>
      <c r="E1210" t="s">
        <v>3723</v>
      </c>
      <c r="F1210" t="s">
        <v>8633</v>
      </c>
      <c r="G1210">
        <v>0</v>
      </c>
      <c r="H1210">
        <v>0</v>
      </c>
      <c r="I1210" t="s">
        <v>8634</v>
      </c>
      <c r="J1210" t="s">
        <v>8635</v>
      </c>
      <c r="K1210" t="s">
        <v>8636</v>
      </c>
      <c r="L1210">
        <v>1234</v>
      </c>
      <c r="M1210" t="s">
        <v>645</v>
      </c>
      <c r="N1210" t="s">
        <v>336</v>
      </c>
      <c r="O1210" t="s">
        <v>515</v>
      </c>
      <c r="P1210">
        <v>3365</v>
      </c>
    </row>
    <row r="1211" spans="1:17" x14ac:dyDescent="0.3">
      <c r="A1211" t="s">
        <v>8637</v>
      </c>
      <c r="B1211" t="s">
        <v>2576</v>
      </c>
      <c r="C1211" t="s">
        <v>8638</v>
      </c>
      <c r="D1211" t="s">
        <v>1182</v>
      </c>
      <c r="E1211" t="s">
        <v>329</v>
      </c>
      <c r="F1211" t="s">
        <v>8639</v>
      </c>
      <c r="G1211">
        <v>15.1779790313022</v>
      </c>
      <c r="H1211">
        <v>120.51214456558201</v>
      </c>
      <c r="I1211" t="s">
        <v>8640</v>
      </c>
      <c r="J1211">
        <v>9355691682</v>
      </c>
      <c r="K1211" t="s">
        <v>8641</v>
      </c>
      <c r="L1211" t="s">
        <v>8642</v>
      </c>
      <c r="M1211" t="s">
        <v>645</v>
      </c>
      <c r="N1211" t="s">
        <v>336</v>
      </c>
      <c r="O1211" t="s">
        <v>337</v>
      </c>
      <c r="P1211">
        <v>3410</v>
      </c>
    </row>
    <row r="1212" spans="1:17" x14ac:dyDescent="0.3">
      <c r="A1212" t="s">
        <v>8643</v>
      </c>
      <c r="B1212" t="s">
        <v>8644</v>
      </c>
      <c r="C1212" t="s">
        <v>8645</v>
      </c>
      <c r="D1212" t="s">
        <v>8646</v>
      </c>
      <c r="E1212" t="s">
        <v>8647</v>
      </c>
      <c r="F1212" t="s">
        <v>8648</v>
      </c>
      <c r="G1212">
        <v>15.1679089582211</v>
      </c>
      <c r="H1212">
        <v>-239.45676863193501</v>
      </c>
      <c r="I1212" t="s">
        <v>8649</v>
      </c>
      <c r="J1212">
        <v>9455273290</v>
      </c>
      <c r="K1212" t="s">
        <v>8650</v>
      </c>
      <c r="L1212">
        <v>1234</v>
      </c>
      <c r="M1212" t="s">
        <v>645</v>
      </c>
      <c r="N1212" t="s">
        <v>336</v>
      </c>
      <c r="O1212" t="s">
        <v>2952</v>
      </c>
      <c r="P1212">
        <v>3380</v>
      </c>
    </row>
    <row r="1213" spans="1:17" x14ac:dyDescent="0.3">
      <c r="A1213" t="s">
        <v>8651</v>
      </c>
      <c r="B1213" t="s">
        <v>8652</v>
      </c>
      <c r="C1213" t="s">
        <v>8653</v>
      </c>
      <c r="D1213" t="s">
        <v>8654</v>
      </c>
      <c r="E1213" t="s">
        <v>6867</v>
      </c>
      <c r="F1213" t="s">
        <v>8655</v>
      </c>
      <c r="G1213">
        <v>0</v>
      </c>
      <c r="H1213">
        <v>0</v>
      </c>
      <c r="I1213" t="s">
        <v>8656</v>
      </c>
      <c r="J1213">
        <v>9673729738</v>
      </c>
      <c r="K1213" t="s">
        <v>8657</v>
      </c>
      <c r="L1213">
        <v>1234</v>
      </c>
      <c r="M1213" t="s">
        <v>645</v>
      </c>
      <c r="N1213" t="s">
        <v>16</v>
      </c>
      <c r="O1213" t="s">
        <v>292</v>
      </c>
      <c r="P1213">
        <v>3342</v>
      </c>
    </row>
    <row r="1214" spans="1:17" x14ac:dyDescent="0.3">
      <c r="A1214" t="s">
        <v>8658</v>
      </c>
      <c r="B1214" t="s">
        <v>8659</v>
      </c>
      <c r="C1214" t="s">
        <v>8660</v>
      </c>
      <c r="D1214" t="s">
        <v>8661</v>
      </c>
      <c r="E1214" t="s">
        <v>329</v>
      </c>
      <c r="F1214" t="s">
        <v>8662</v>
      </c>
      <c r="I1214" t="s">
        <v>8663</v>
      </c>
      <c r="J1214">
        <v>9227349595</v>
      </c>
      <c r="K1214" t="s">
        <v>8664</v>
      </c>
      <c r="L1214">
        <v>1234</v>
      </c>
      <c r="M1214" t="s">
        <v>645</v>
      </c>
      <c r="N1214" t="s">
        <v>369</v>
      </c>
      <c r="O1214" t="s">
        <v>370</v>
      </c>
      <c r="P1214">
        <v>3400</v>
      </c>
    </row>
    <row r="1215" spans="1:17" x14ac:dyDescent="0.3">
      <c r="A1215" t="s">
        <v>8665</v>
      </c>
      <c r="B1215" t="s">
        <v>8300</v>
      </c>
      <c r="C1215" t="s">
        <v>8666</v>
      </c>
      <c r="D1215" t="s">
        <v>8667</v>
      </c>
      <c r="E1215" t="s">
        <v>1276</v>
      </c>
      <c r="F1215" t="s">
        <v>8668</v>
      </c>
      <c r="J1215">
        <v>9666987344</v>
      </c>
      <c r="K1215" t="s">
        <v>8669</v>
      </c>
      <c r="L1215">
        <v>1234</v>
      </c>
      <c r="M1215" t="s">
        <v>645</v>
      </c>
      <c r="N1215" t="s">
        <v>398</v>
      </c>
      <c r="O1215" t="s">
        <v>853</v>
      </c>
      <c r="P1215">
        <v>3383</v>
      </c>
    </row>
    <row r="1216" spans="1:17" x14ac:dyDescent="0.3">
      <c r="A1216" t="s">
        <v>8670</v>
      </c>
      <c r="B1216" t="s">
        <v>8300</v>
      </c>
      <c r="C1216" t="s">
        <v>8666</v>
      </c>
      <c r="D1216" t="s">
        <v>8667</v>
      </c>
      <c r="E1216" t="s">
        <v>1276</v>
      </c>
      <c r="F1216" t="s">
        <v>8671</v>
      </c>
      <c r="J1216">
        <v>9666987344</v>
      </c>
      <c r="K1216" t="s">
        <v>8672</v>
      </c>
      <c r="L1216">
        <v>1234</v>
      </c>
      <c r="M1216" t="s">
        <v>645</v>
      </c>
      <c r="N1216" t="s">
        <v>398</v>
      </c>
      <c r="O1216" t="s">
        <v>1104</v>
      </c>
      <c r="P1216">
        <v>3381</v>
      </c>
    </row>
    <row r="1217" spans="1:17" x14ac:dyDescent="0.3">
      <c r="A1217" t="s">
        <v>8673</v>
      </c>
      <c r="B1217" t="s">
        <v>8674</v>
      </c>
      <c r="C1217" t="s">
        <v>8675</v>
      </c>
      <c r="D1217" t="s">
        <v>539</v>
      </c>
      <c r="E1217" t="s">
        <v>8676</v>
      </c>
      <c r="F1217" t="s">
        <v>8677</v>
      </c>
      <c r="G1217">
        <v>15.176213567328301</v>
      </c>
      <c r="H1217">
        <v>120.532062649726</v>
      </c>
      <c r="I1217" t="s">
        <v>8678</v>
      </c>
      <c r="J1217">
        <v>9173108927</v>
      </c>
      <c r="K1217" t="s">
        <v>8679</v>
      </c>
      <c r="L1217" t="s">
        <v>8680</v>
      </c>
      <c r="M1217" t="s">
        <v>645</v>
      </c>
      <c r="N1217" t="s">
        <v>763</v>
      </c>
      <c r="O1217" t="s">
        <v>1288</v>
      </c>
      <c r="P1217">
        <v>3390</v>
      </c>
    </row>
    <row r="1218" spans="1:17" x14ac:dyDescent="0.3">
      <c r="A1218" t="s">
        <v>8681</v>
      </c>
      <c r="B1218" t="s">
        <v>8682</v>
      </c>
      <c r="C1218" t="s">
        <v>8683</v>
      </c>
      <c r="D1218" t="s">
        <v>8684</v>
      </c>
      <c r="E1218" t="s">
        <v>1062</v>
      </c>
      <c r="F1218" t="s">
        <v>8685</v>
      </c>
      <c r="G1218">
        <v>15.1772593864786</v>
      </c>
      <c r="H1218">
        <v>120.52963256835901</v>
      </c>
      <c r="I1218" t="s">
        <v>8686</v>
      </c>
      <c r="J1218">
        <v>9771507998</v>
      </c>
      <c r="K1218" t="s">
        <v>8687</v>
      </c>
      <c r="L1218" t="s">
        <v>8688</v>
      </c>
      <c r="M1218" t="s">
        <v>645</v>
      </c>
      <c r="N1218" t="s">
        <v>8689</v>
      </c>
      <c r="O1218" t="s">
        <v>515</v>
      </c>
      <c r="P1218">
        <v>3394</v>
      </c>
      <c r="Q1218" t="s">
        <v>8690</v>
      </c>
    </row>
    <row r="1219" spans="1:17" x14ac:dyDescent="0.3">
      <c r="A1219" t="s">
        <v>8691</v>
      </c>
      <c r="B1219" t="s">
        <v>353</v>
      </c>
      <c r="C1219" t="s">
        <v>8692</v>
      </c>
      <c r="D1219" t="s">
        <v>8693</v>
      </c>
      <c r="E1219" t="s">
        <v>8694</v>
      </c>
      <c r="F1219" t="s">
        <v>8695</v>
      </c>
      <c r="G1219">
        <v>15.178191300170299</v>
      </c>
      <c r="H1219">
        <v>120.57187199592499</v>
      </c>
      <c r="I1219" t="s">
        <v>8696</v>
      </c>
      <c r="J1219">
        <v>9567596256</v>
      </c>
      <c r="K1219" t="s">
        <v>8697</v>
      </c>
      <c r="L1219">
        <v>1234</v>
      </c>
      <c r="M1219" t="s">
        <v>645</v>
      </c>
      <c r="N1219" t="s">
        <v>8698</v>
      </c>
      <c r="O1219" t="s">
        <v>515</v>
      </c>
      <c r="P1219">
        <v>2538</v>
      </c>
    </row>
    <row r="1220" spans="1:17" x14ac:dyDescent="0.3">
      <c r="A1220" t="s">
        <v>8699</v>
      </c>
      <c r="B1220" t="s">
        <v>8700</v>
      </c>
      <c r="C1220" t="s">
        <v>8701</v>
      </c>
      <c r="D1220" t="s">
        <v>177</v>
      </c>
      <c r="E1220" t="s">
        <v>8702</v>
      </c>
      <c r="F1220" t="s">
        <v>8703</v>
      </c>
      <c r="I1220" t="s">
        <v>8704</v>
      </c>
      <c r="J1220">
        <v>9166050345</v>
      </c>
      <c r="K1220" t="s">
        <v>8705</v>
      </c>
      <c r="L1220" t="s">
        <v>8706</v>
      </c>
      <c r="M1220" t="s">
        <v>645</v>
      </c>
      <c r="N1220" t="s">
        <v>369</v>
      </c>
      <c r="O1220" t="s">
        <v>370</v>
      </c>
      <c r="P1220">
        <v>3113</v>
      </c>
    </row>
    <row r="1221" spans="1:17" x14ac:dyDescent="0.3">
      <c r="A1221" t="s">
        <v>8707</v>
      </c>
      <c r="B1221" t="s">
        <v>8708</v>
      </c>
      <c r="C1221" t="s">
        <v>8709</v>
      </c>
      <c r="D1221" t="s">
        <v>8710</v>
      </c>
      <c r="E1221" t="s">
        <v>8711</v>
      </c>
      <c r="F1221" t="s">
        <v>8712</v>
      </c>
      <c r="G1221">
        <v>0</v>
      </c>
      <c r="H1221">
        <v>0</v>
      </c>
      <c r="I1221" t="s">
        <v>8713</v>
      </c>
      <c r="J1221">
        <v>9189903708</v>
      </c>
      <c r="K1221" t="s">
        <v>8714</v>
      </c>
      <c r="L1221">
        <v>1234</v>
      </c>
      <c r="M1221" t="s">
        <v>645</v>
      </c>
      <c r="N1221" t="s">
        <v>336</v>
      </c>
      <c r="O1221" t="s">
        <v>441</v>
      </c>
      <c r="P1221">
        <v>3402</v>
      </c>
    </row>
    <row r="1222" spans="1:17" x14ac:dyDescent="0.3">
      <c r="A1222" t="s">
        <v>8715</v>
      </c>
      <c r="B1222" t="s">
        <v>61</v>
      </c>
      <c r="C1222" t="s">
        <v>62</v>
      </c>
      <c r="D1222" t="s">
        <v>63</v>
      </c>
      <c r="E1222" t="s">
        <v>64</v>
      </c>
      <c r="F1222" t="s">
        <v>8716</v>
      </c>
      <c r="G1222">
        <v>0</v>
      </c>
      <c r="H1222">
        <v>0</v>
      </c>
      <c r="I1222" t="s">
        <v>66</v>
      </c>
      <c r="J1222" t="s">
        <v>67</v>
      </c>
      <c r="K1222" t="s">
        <v>8717</v>
      </c>
      <c r="L1222">
        <v>1234</v>
      </c>
      <c r="M1222" t="s">
        <v>645</v>
      </c>
      <c r="N1222" t="s">
        <v>336</v>
      </c>
      <c r="O1222" t="s">
        <v>515</v>
      </c>
      <c r="P1222">
        <v>3352</v>
      </c>
    </row>
    <row r="1223" spans="1:17" x14ac:dyDescent="0.3">
      <c r="A1223" t="s">
        <v>8718</v>
      </c>
      <c r="B1223" t="s">
        <v>61</v>
      </c>
      <c r="C1223" t="s">
        <v>62</v>
      </c>
      <c r="D1223" t="s">
        <v>63</v>
      </c>
      <c r="E1223" t="s">
        <v>64</v>
      </c>
      <c r="F1223" t="s">
        <v>8719</v>
      </c>
      <c r="G1223">
        <v>0</v>
      </c>
      <c r="H1223">
        <v>0</v>
      </c>
      <c r="I1223" t="s">
        <v>66</v>
      </c>
      <c r="J1223" t="s">
        <v>67</v>
      </c>
      <c r="K1223" t="s">
        <v>8720</v>
      </c>
      <c r="L1223">
        <v>1234</v>
      </c>
      <c r="M1223" t="s">
        <v>645</v>
      </c>
      <c r="N1223" t="s">
        <v>369</v>
      </c>
      <c r="O1223" t="s">
        <v>370</v>
      </c>
      <c r="P1223">
        <v>3358</v>
      </c>
    </row>
    <row r="1224" spans="1:17" x14ac:dyDescent="0.3">
      <c r="A1224" t="s">
        <v>8721</v>
      </c>
      <c r="B1224" t="s">
        <v>8722</v>
      </c>
      <c r="C1224" t="s">
        <v>8723</v>
      </c>
      <c r="D1224" t="s">
        <v>8724</v>
      </c>
      <c r="E1224" t="s">
        <v>8725</v>
      </c>
      <c r="F1224" t="s">
        <v>8726</v>
      </c>
      <c r="G1224">
        <v>0</v>
      </c>
      <c r="H1224">
        <v>0</v>
      </c>
      <c r="I1224" t="s">
        <v>8727</v>
      </c>
      <c r="J1224">
        <v>9171355514</v>
      </c>
      <c r="K1224" t="s">
        <v>8728</v>
      </c>
      <c r="L1224">
        <v>1234</v>
      </c>
      <c r="M1224" t="s">
        <v>645</v>
      </c>
      <c r="N1224" t="s">
        <v>398</v>
      </c>
      <c r="O1224" t="s">
        <v>685</v>
      </c>
      <c r="P1224">
        <v>3392</v>
      </c>
    </row>
    <row r="1225" spans="1:17" x14ac:dyDescent="0.3">
      <c r="A1225" t="s">
        <v>8729</v>
      </c>
      <c r="B1225" t="s">
        <v>8730</v>
      </c>
      <c r="C1225" t="s">
        <v>8731</v>
      </c>
      <c r="D1225" t="s">
        <v>177</v>
      </c>
      <c r="E1225" t="s">
        <v>329</v>
      </c>
      <c r="F1225" t="s">
        <v>8732</v>
      </c>
      <c r="G1225">
        <v>0</v>
      </c>
      <c r="H1225">
        <v>0</v>
      </c>
      <c r="I1225" t="s">
        <v>8733</v>
      </c>
      <c r="J1225">
        <v>9166695199</v>
      </c>
      <c r="K1225" t="s">
        <v>8734</v>
      </c>
      <c r="L1225">
        <v>1234</v>
      </c>
      <c r="M1225" t="s">
        <v>645</v>
      </c>
      <c r="N1225" t="s">
        <v>369</v>
      </c>
      <c r="O1225" t="s">
        <v>370</v>
      </c>
      <c r="P1225">
        <v>3377</v>
      </c>
    </row>
    <row r="1226" spans="1:17" x14ac:dyDescent="0.3">
      <c r="A1226" t="s">
        <v>8735</v>
      </c>
      <c r="B1226" t="s">
        <v>5721</v>
      </c>
      <c r="C1226" t="s">
        <v>1138</v>
      </c>
      <c r="E1226" t="s">
        <v>286</v>
      </c>
      <c r="F1226" t="s">
        <v>8736</v>
      </c>
      <c r="I1226" t="s">
        <v>8737</v>
      </c>
      <c r="J1226">
        <v>9098781394</v>
      </c>
      <c r="K1226" t="s">
        <v>8738</v>
      </c>
      <c r="L1226">
        <v>1234</v>
      </c>
      <c r="M1226" t="s">
        <v>645</v>
      </c>
      <c r="N1226" t="s">
        <v>398</v>
      </c>
      <c r="O1226" t="s">
        <v>685</v>
      </c>
      <c r="P1226">
        <v>3307</v>
      </c>
    </row>
    <row r="1227" spans="1:17" x14ac:dyDescent="0.3">
      <c r="A1227" t="s">
        <v>8739</v>
      </c>
      <c r="B1227" t="s">
        <v>8740</v>
      </c>
      <c r="C1227" t="s">
        <v>8741</v>
      </c>
      <c r="D1227" t="s">
        <v>8742</v>
      </c>
      <c r="E1227" t="s">
        <v>8743</v>
      </c>
      <c r="F1227" t="s">
        <v>8744</v>
      </c>
      <c r="G1227">
        <v>0</v>
      </c>
      <c r="H1227">
        <v>0</v>
      </c>
      <c r="I1227" t="s">
        <v>8745</v>
      </c>
      <c r="J1227">
        <v>9164787375</v>
      </c>
      <c r="K1227" t="s">
        <v>8746</v>
      </c>
      <c r="L1227">
        <v>1234</v>
      </c>
      <c r="M1227" t="s">
        <v>645</v>
      </c>
      <c r="N1227" t="s">
        <v>304</v>
      </c>
      <c r="O1227" t="s">
        <v>305</v>
      </c>
      <c r="P1227">
        <v>3415</v>
      </c>
    </row>
    <row r="1228" spans="1:17" x14ac:dyDescent="0.3">
      <c r="A1228" t="s">
        <v>8747</v>
      </c>
      <c r="B1228" t="s">
        <v>1717</v>
      </c>
      <c r="C1228" t="s">
        <v>791</v>
      </c>
      <c r="D1228" t="s">
        <v>2561</v>
      </c>
      <c r="E1228" t="s">
        <v>7329</v>
      </c>
      <c r="F1228" t="s">
        <v>8748</v>
      </c>
      <c r="G1228">
        <v>0</v>
      </c>
      <c r="H1228">
        <v>0</v>
      </c>
      <c r="I1228" t="s">
        <v>8749</v>
      </c>
      <c r="J1228">
        <v>9995537869</v>
      </c>
      <c r="K1228" t="s">
        <v>8750</v>
      </c>
      <c r="L1228">
        <v>5678</v>
      </c>
      <c r="M1228" t="s">
        <v>645</v>
      </c>
      <c r="N1228" t="s">
        <v>398</v>
      </c>
      <c r="O1228" t="s">
        <v>582</v>
      </c>
      <c r="P1228">
        <v>3333</v>
      </c>
    </row>
    <row r="1229" spans="1:17" x14ac:dyDescent="0.3">
      <c r="A1229" t="s">
        <v>8751</v>
      </c>
      <c r="B1229" t="s">
        <v>5648</v>
      </c>
      <c r="C1229" t="s">
        <v>5649</v>
      </c>
      <c r="D1229" t="s">
        <v>5650</v>
      </c>
      <c r="E1229" t="s">
        <v>3723</v>
      </c>
      <c r="F1229" t="s">
        <v>8752</v>
      </c>
      <c r="G1229">
        <v>0</v>
      </c>
      <c r="H1229">
        <v>0</v>
      </c>
      <c r="I1229" t="s">
        <v>5653</v>
      </c>
      <c r="J1229" t="s">
        <v>8753</v>
      </c>
      <c r="K1229" t="s">
        <v>8754</v>
      </c>
      <c r="L1229">
        <v>1234</v>
      </c>
      <c r="M1229" t="s">
        <v>645</v>
      </c>
      <c r="N1229" t="s">
        <v>398</v>
      </c>
      <c r="O1229" t="s">
        <v>1104</v>
      </c>
      <c r="P1229">
        <v>3432</v>
      </c>
    </row>
    <row r="1230" spans="1:17" x14ac:dyDescent="0.3">
      <c r="A1230" t="s">
        <v>8755</v>
      </c>
      <c r="B1230" t="s">
        <v>362</v>
      </c>
      <c r="C1230" t="s">
        <v>1291</v>
      </c>
      <c r="D1230" t="s">
        <v>620</v>
      </c>
      <c r="E1230" t="s">
        <v>3723</v>
      </c>
      <c r="F1230" t="s">
        <v>8756</v>
      </c>
      <c r="G1230">
        <v>0.177154258749148</v>
      </c>
      <c r="H1230">
        <v>-0.248565673828125</v>
      </c>
      <c r="I1230" t="s">
        <v>8757</v>
      </c>
      <c r="J1230" t="s">
        <v>8758</v>
      </c>
      <c r="K1230" t="s">
        <v>8759</v>
      </c>
      <c r="L1230">
        <v>1234</v>
      </c>
      <c r="M1230" t="s">
        <v>645</v>
      </c>
      <c r="N1230" t="s">
        <v>336</v>
      </c>
      <c r="O1230" t="s">
        <v>515</v>
      </c>
      <c r="P1230">
        <v>3433</v>
      </c>
    </row>
    <row r="1231" spans="1:17" x14ac:dyDescent="0.3">
      <c r="A1231" t="s">
        <v>8760</v>
      </c>
      <c r="B1231" t="s">
        <v>2080</v>
      </c>
      <c r="C1231" t="s">
        <v>7125</v>
      </c>
      <c r="D1231" t="s">
        <v>5462</v>
      </c>
      <c r="E1231" t="s">
        <v>867</v>
      </c>
      <c r="F1231" t="s">
        <v>8761</v>
      </c>
      <c r="G1231">
        <v>0</v>
      </c>
      <c r="H1231">
        <v>0</v>
      </c>
      <c r="I1231" t="s">
        <v>8762</v>
      </c>
      <c r="J1231">
        <v>9150089787</v>
      </c>
      <c r="K1231" t="s">
        <v>8763</v>
      </c>
      <c r="L1231" t="s">
        <v>8764</v>
      </c>
      <c r="M1231" t="s">
        <v>645</v>
      </c>
      <c r="N1231" t="s">
        <v>779</v>
      </c>
      <c r="O1231" t="s">
        <v>780</v>
      </c>
      <c r="P1231">
        <v>2729</v>
      </c>
    </row>
    <row r="1232" spans="1:17" x14ac:dyDescent="0.3">
      <c r="A1232" t="s">
        <v>8765</v>
      </c>
      <c r="B1232" t="s">
        <v>74</v>
      </c>
      <c r="C1232" t="s">
        <v>8766</v>
      </c>
      <c r="E1232" t="s">
        <v>793</v>
      </c>
      <c r="F1232" t="s">
        <v>8767</v>
      </c>
      <c r="J1232">
        <v>9226164688</v>
      </c>
      <c r="K1232" t="s">
        <v>8768</v>
      </c>
      <c r="L1232">
        <v>1234</v>
      </c>
      <c r="M1232" t="s">
        <v>645</v>
      </c>
      <c r="N1232" t="s">
        <v>398</v>
      </c>
      <c r="O1232" t="s">
        <v>582</v>
      </c>
      <c r="P1232" t="s">
        <v>8768</v>
      </c>
    </row>
    <row r="1233" spans="1:17" x14ac:dyDescent="0.3">
      <c r="A1233" t="s">
        <v>8765</v>
      </c>
      <c r="B1233" t="s">
        <v>74</v>
      </c>
      <c r="C1233" t="s">
        <v>8766</v>
      </c>
      <c r="E1233" t="s">
        <v>793</v>
      </c>
      <c r="F1233" t="s">
        <v>8767</v>
      </c>
      <c r="J1233">
        <v>922616468</v>
      </c>
      <c r="K1233" t="s">
        <v>8768</v>
      </c>
      <c r="L1233">
        <v>1234</v>
      </c>
      <c r="M1233" t="s">
        <v>645</v>
      </c>
      <c r="N1233" t="s">
        <v>398</v>
      </c>
      <c r="O1233" t="s">
        <v>582</v>
      </c>
      <c r="P1233" t="s">
        <v>8769</v>
      </c>
    </row>
    <row r="1234" spans="1:17" x14ac:dyDescent="0.3">
      <c r="A1234" t="s">
        <v>8770</v>
      </c>
      <c r="B1234" t="s">
        <v>1068</v>
      </c>
      <c r="C1234" t="s">
        <v>2652</v>
      </c>
      <c r="D1234" t="s">
        <v>2653</v>
      </c>
      <c r="E1234" t="s">
        <v>5153</v>
      </c>
      <c r="F1234" t="s">
        <v>8771</v>
      </c>
      <c r="G1234">
        <v>0</v>
      </c>
      <c r="H1234">
        <v>0</v>
      </c>
      <c r="I1234" t="s">
        <v>8772</v>
      </c>
      <c r="J1234">
        <v>9663703013</v>
      </c>
      <c r="K1234" t="s">
        <v>8773</v>
      </c>
      <c r="L1234" t="s">
        <v>8774</v>
      </c>
      <c r="M1234" t="s">
        <v>645</v>
      </c>
      <c r="N1234" t="s">
        <v>398</v>
      </c>
      <c r="O1234" t="s">
        <v>582</v>
      </c>
      <c r="P1234">
        <v>2386</v>
      </c>
    </row>
    <row r="1235" spans="1:17" x14ac:dyDescent="0.3">
      <c r="A1235" t="s">
        <v>8775</v>
      </c>
      <c r="B1235" t="s">
        <v>1469</v>
      </c>
      <c r="C1235" t="s">
        <v>8776</v>
      </c>
      <c r="D1235" t="s">
        <v>756</v>
      </c>
      <c r="E1235" t="s">
        <v>833</v>
      </c>
      <c r="F1235" t="s">
        <v>8777</v>
      </c>
      <c r="G1235">
        <v>-6.2227249144372501E-4</v>
      </c>
      <c r="H1235">
        <v>-5.7077407836914002E-3</v>
      </c>
      <c r="I1235" t="s">
        <v>8778</v>
      </c>
      <c r="J1235">
        <v>9169507404</v>
      </c>
      <c r="K1235" t="s">
        <v>8779</v>
      </c>
      <c r="L1235">
        <v>1234</v>
      </c>
      <c r="M1235" t="s">
        <v>645</v>
      </c>
      <c r="N1235" t="s">
        <v>336</v>
      </c>
      <c r="O1235" t="s">
        <v>5134</v>
      </c>
      <c r="P1235">
        <v>3416</v>
      </c>
    </row>
    <row r="1236" spans="1:17" x14ac:dyDescent="0.3">
      <c r="A1236" t="s">
        <v>8765</v>
      </c>
      <c r="B1236" t="s">
        <v>4641</v>
      </c>
      <c r="C1236" t="s">
        <v>8766</v>
      </c>
      <c r="D1236" t="s">
        <v>4427</v>
      </c>
      <c r="E1236" t="s">
        <v>793</v>
      </c>
      <c r="F1236" t="s">
        <v>8780</v>
      </c>
      <c r="G1236">
        <v>0</v>
      </c>
      <c r="H1236">
        <v>0</v>
      </c>
      <c r="I1236" t="s">
        <v>8781</v>
      </c>
      <c r="J1236">
        <v>9226164688</v>
      </c>
      <c r="K1236" t="s">
        <v>8782</v>
      </c>
      <c r="L1236">
        <v>1234</v>
      </c>
      <c r="M1236" t="s">
        <v>645</v>
      </c>
      <c r="N1236" t="s">
        <v>398</v>
      </c>
      <c r="O1236" t="s">
        <v>582</v>
      </c>
      <c r="P1236">
        <v>3428</v>
      </c>
    </row>
    <row r="1237" spans="1:17" x14ac:dyDescent="0.3">
      <c r="A1237" t="s">
        <v>8783</v>
      </c>
      <c r="B1237" t="s">
        <v>8784</v>
      </c>
      <c r="C1237" t="s">
        <v>8785</v>
      </c>
      <c r="D1237" t="s">
        <v>539</v>
      </c>
      <c r="E1237" t="s">
        <v>8786</v>
      </c>
      <c r="F1237" t="s">
        <v>8787</v>
      </c>
      <c r="I1237" t="s">
        <v>8788</v>
      </c>
      <c r="J1237">
        <v>9171561449</v>
      </c>
      <c r="K1237" t="s">
        <v>8789</v>
      </c>
      <c r="L1237">
        <v>1234</v>
      </c>
      <c r="M1237" t="s">
        <v>645</v>
      </c>
      <c r="N1237" t="s">
        <v>398</v>
      </c>
      <c r="O1237" t="s">
        <v>853</v>
      </c>
      <c r="P1237">
        <v>3424</v>
      </c>
    </row>
    <row r="1238" spans="1:17" x14ac:dyDescent="0.3">
      <c r="A1238" t="s">
        <v>8790</v>
      </c>
      <c r="B1238" t="s">
        <v>8791</v>
      </c>
      <c r="C1238" t="s">
        <v>8792</v>
      </c>
      <c r="D1238" t="s">
        <v>4427</v>
      </c>
      <c r="E1238" t="s">
        <v>8793</v>
      </c>
      <c r="F1238" t="s">
        <v>8794</v>
      </c>
      <c r="G1238">
        <v>0</v>
      </c>
      <c r="H1238">
        <v>0</v>
      </c>
      <c r="I1238" t="s">
        <v>8795</v>
      </c>
      <c r="J1238">
        <v>9286859991</v>
      </c>
      <c r="K1238" t="s">
        <v>8796</v>
      </c>
      <c r="L1238">
        <v>1234</v>
      </c>
      <c r="M1238" t="s">
        <v>645</v>
      </c>
      <c r="N1238" t="s">
        <v>16</v>
      </c>
      <c r="O1238" t="s">
        <v>17</v>
      </c>
      <c r="P1238">
        <v>3309</v>
      </c>
    </row>
    <row r="1239" spans="1:17" x14ac:dyDescent="0.3">
      <c r="A1239" t="s">
        <v>8797</v>
      </c>
      <c r="B1239" t="s">
        <v>1145</v>
      </c>
      <c r="C1239" t="s">
        <v>8798</v>
      </c>
      <c r="D1239" t="s">
        <v>1983</v>
      </c>
      <c r="E1239" t="s">
        <v>8799</v>
      </c>
      <c r="F1239" t="s">
        <v>8800</v>
      </c>
      <c r="G1239">
        <v>0</v>
      </c>
      <c r="H1239">
        <v>0</v>
      </c>
      <c r="I1239" t="s">
        <v>8801</v>
      </c>
      <c r="J1239">
        <v>9771486486</v>
      </c>
      <c r="K1239" t="s">
        <v>8802</v>
      </c>
      <c r="L1239">
        <v>1234</v>
      </c>
      <c r="M1239" t="s">
        <v>645</v>
      </c>
      <c r="N1239" t="s">
        <v>336</v>
      </c>
      <c r="O1239" t="s">
        <v>515</v>
      </c>
      <c r="P1239">
        <v>3420</v>
      </c>
    </row>
    <row r="1240" spans="1:17" x14ac:dyDescent="0.3">
      <c r="A1240" t="s">
        <v>8803</v>
      </c>
      <c r="B1240" t="s">
        <v>8804</v>
      </c>
      <c r="C1240" t="s">
        <v>8805</v>
      </c>
      <c r="D1240" t="s">
        <v>3275</v>
      </c>
      <c r="E1240" t="s">
        <v>8806</v>
      </c>
      <c r="F1240" t="s">
        <v>8807</v>
      </c>
      <c r="G1240">
        <v>15.185423846060401</v>
      </c>
      <c r="H1240">
        <v>120.54675579070999</v>
      </c>
      <c r="I1240" t="s">
        <v>8808</v>
      </c>
      <c r="J1240">
        <v>9175900755</v>
      </c>
      <c r="K1240" t="s">
        <v>8809</v>
      </c>
      <c r="L1240">
        <v>5267</v>
      </c>
      <c r="M1240" t="s">
        <v>645</v>
      </c>
      <c r="N1240" t="s">
        <v>336</v>
      </c>
      <c r="O1240" t="s">
        <v>5134</v>
      </c>
      <c r="P1240">
        <v>3370</v>
      </c>
      <c r="Q1240" t="s">
        <v>8810</v>
      </c>
    </row>
    <row r="1241" spans="1:17" x14ac:dyDescent="0.3">
      <c r="A1241" t="s">
        <v>8811</v>
      </c>
      <c r="B1241" t="s">
        <v>2750</v>
      </c>
      <c r="C1241" t="s">
        <v>8812</v>
      </c>
      <c r="D1241" t="s">
        <v>8813</v>
      </c>
      <c r="E1241" t="s">
        <v>1401</v>
      </c>
      <c r="F1241" t="s">
        <v>8814</v>
      </c>
      <c r="G1241">
        <v>0</v>
      </c>
      <c r="H1241">
        <v>0</v>
      </c>
      <c r="I1241" t="s">
        <v>8815</v>
      </c>
      <c r="J1241">
        <v>9690367104</v>
      </c>
      <c r="K1241" t="s">
        <v>8816</v>
      </c>
      <c r="L1241" t="s">
        <v>8817</v>
      </c>
      <c r="M1241" t="s">
        <v>645</v>
      </c>
      <c r="N1241" t="s">
        <v>369</v>
      </c>
      <c r="O1241" t="s">
        <v>370</v>
      </c>
      <c r="P1241">
        <v>3089</v>
      </c>
      <c r="Q1241" t="s">
        <v>8818</v>
      </c>
    </row>
    <row r="1242" spans="1:17" x14ac:dyDescent="0.3">
      <c r="A1242" t="s">
        <v>8819</v>
      </c>
      <c r="B1242" t="s">
        <v>8659</v>
      </c>
      <c r="C1242" t="s">
        <v>8820</v>
      </c>
      <c r="D1242" t="s">
        <v>8821</v>
      </c>
      <c r="E1242" t="s">
        <v>540</v>
      </c>
      <c r="F1242" t="s">
        <v>4891</v>
      </c>
      <c r="G1242">
        <v>0</v>
      </c>
      <c r="H1242">
        <v>0</v>
      </c>
      <c r="I1242" t="s">
        <v>8822</v>
      </c>
      <c r="J1242">
        <v>9569574287</v>
      </c>
      <c r="K1242" t="s">
        <v>8823</v>
      </c>
      <c r="L1242">
        <v>1234</v>
      </c>
      <c r="M1242" t="s">
        <v>645</v>
      </c>
      <c r="N1242" t="s">
        <v>336</v>
      </c>
      <c r="O1242" t="s">
        <v>515</v>
      </c>
      <c r="P1242">
        <v>3347</v>
      </c>
    </row>
    <row r="1243" spans="1:17" x14ac:dyDescent="0.3">
      <c r="A1243" t="s">
        <v>8824</v>
      </c>
      <c r="B1243" t="s">
        <v>2701</v>
      </c>
      <c r="C1243" t="s">
        <v>4079</v>
      </c>
      <c r="D1243" t="s">
        <v>1909</v>
      </c>
      <c r="E1243" t="s">
        <v>8825</v>
      </c>
      <c r="F1243" t="s">
        <v>8826</v>
      </c>
      <c r="G1243">
        <v>15.176731999999999</v>
      </c>
      <c r="H1243">
        <v>120.52140300000001</v>
      </c>
      <c r="I1243" t="s">
        <v>8827</v>
      </c>
      <c r="J1243">
        <v>9176312973</v>
      </c>
      <c r="K1243" t="s">
        <v>8828</v>
      </c>
      <c r="L1243" t="s">
        <v>8829</v>
      </c>
      <c r="M1243" t="s">
        <v>645</v>
      </c>
      <c r="N1243" t="s">
        <v>336</v>
      </c>
      <c r="O1243" t="s">
        <v>515</v>
      </c>
      <c r="P1243">
        <v>3439</v>
      </c>
      <c r="Q1243" t="s">
        <v>8830</v>
      </c>
    </row>
    <row r="1244" spans="1:17" x14ac:dyDescent="0.3">
      <c r="A1244" t="s">
        <v>8831</v>
      </c>
      <c r="B1244" t="s">
        <v>8832</v>
      </c>
      <c r="C1244" t="s">
        <v>8833</v>
      </c>
      <c r="D1244" t="s">
        <v>8834</v>
      </c>
      <c r="E1244" t="s">
        <v>8835</v>
      </c>
      <c r="F1244" t="s">
        <v>8836</v>
      </c>
      <c r="G1244">
        <v>0</v>
      </c>
      <c r="H1244">
        <v>0</v>
      </c>
      <c r="I1244" t="s">
        <v>8837</v>
      </c>
      <c r="J1244">
        <v>9989668578</v>
      </c>
      <c r="K1244" t="s">
        <v>8838</v>
      </c>
      <c r="L1244" t="s">
        <v>8839</v>
      </c>
      <c r="M1244" t="s">
        <v>645</v>
      </c>
      <c r="N1244" t="s">
        <v>763</v>
      </c>
      <c r="O1244" t="s">
        <v>8840</v>
      </c>
      <c r="P1244">
        <v>3444</v>
      </c>
    </row>
    <row r="1245" spans="1:17" x14ac:dyDescent="0.3">
      <c r="A1245" t="s">
        <v>8841</v>
      </c>
      <c r="B1245" t="s">
        <v>5648</v>
      </c>
      <c r="C1245" t="s">
        <v>5649</v>
      </c>
      <c r="D1245" t="s">
        <v>5650</v>
      </c>
      <c r="E1245" t="s">
        <v>3723</v>
      </c>
      <c r="F1245" t="s">
        <v>8842</v>
      </c>
      <c r="G1245">
        <v>0</v>
      </c>
      <c r="H1245">
        <v>0</v>
      </c>
      <c r="I1245" t="s">
        <v>5653</v>
      </c>
      <c r="J1245" t="s">
        <v>8753</v>
      </c>
      <c r="K1245" t="s">
        <v>8843</v>
      </c>
      <c r="L1245">
        <v>1234</v>
      </c>
      <c r="M1245" t="s">
        <v>645</v>
      </c>
      <c r="N1245" t="s">
        <v>398</v>
      </c>
      <c r="O1245" t="s">
        <v>399</v>
      </c>
      <c r="P1245">
        <v>3417</v>
      </c>
    </row>
    <row r="1246" spans="1:17" x14ac:dyDescent="0.3">
      <c r="A1246" t="s">
        <v>8844</v>
      </c>
      <c r="B1246" t="s">
        <v>8845</v>
      </c>
      <c r="C1246" t="s">
        <v>8846</v>
      </c>
      <c r="D1246" t="s">
        <v>2867</v>
      </c>
      <c r="E1246" t="s">
        <v>5673</v>
      </c>
      <c r="F1246" t="s">
        <v>8847</v>
      </c>
      <c r="G1246">
        <v>0</v>
      </c>
      <c r="H1246">
        <v>0</v>
      </c>
      <c r="I1246" t="s">
        <v>8848</v>
      </c>
      <c r="J1246" t="s">
        <v>8849</v>
      </c>
      <c r="K1246" t="s">
        <v>8850</v>
      </c>
      <c r="L1246">
        <v>4321</v>
      </c>
      <c r="M1246" t="s">
        <v>645</v>
      </c>
      <c r="N1246" t="s">
        <v>336</v>
      </c>
      <c r="O1246" t="s">
        <v>8851</v>
      </c>
      <c r="P1246">
        <v>3431</v>
      </c>
      <c r="Q1246" t="s">
        <v>8852</v>
      </c>
    </row>
    <row r="1247" spans="1:17" x14ac:dyDescent="0.3">
      <c r="A1247" t="s">
        <v>8853</v>
      </c>
      <c r="B1247" t="s">
        <v>8854</v>
      </c>
      <c r="C1247" t="s">
        <v>783</v>
      </c>
      <c r="D1247" t="s">
        <v>3095</v>
      </c>
      <c r="E1247" t="s">
        <v>1062</v>
      </c>
      <c r="F1247" t="s">
        <v>8855</v>
      </c>
      <c r="G1247">
        <v>15.176299</v>
      </c>
      <c r="H1247">
        <v>120.488356</v>
      </c>
      <c r="I1247" t="s">
        <v>8856</v>
      </c>
      <c r="J1247">
        <v>9176154966</v>
      </c>
      <c r="K1247" t="s">
        <v>8857</v>
      </c>
      <c r="L1247" t="s">
        <v>8858</v>
      </c>
      <c r="M1247" t="s">
        <v>645</v>
      </c>
      <c r="N1247" t="s">
        <v>931</v>
      </c>
      <c r="O1247" t="s">
        <v>8859</v>
      </c>
      <c r="P1247">
        <v>3430</v>
      </c>
    </row>
    <row r="1248" spans="1:17" x14ac:dyDescent="0.3">
      <c r="A1248" t="s">
        <v>8860</v>
      </c>
      <c r="B1248" t="s">
        <v>8861</v>
      </c>
      <c r="C1248" t="s">
        <v>8862</v>
      </c>
      <c r="D1248" t="s">
        <v>8863</v>
      </c>
      <c r="E1248" t="s">
        <v>8864</v>
      </c>
      <c r="F1248" t="s">
        <v>8865</v>
      </c>
      <c r="G1248">
        <v>14.527749792296399</v>
      </c>
      <c r="H1248">
        <v>121.00435881088001</v>
      </c>
      <c r="I1248" t="s">
        <v>8866</v>
      </c>
      <c r="J1248">
        <v>9457227979</v>
      </c>
      <c r="K1248" t="s">
        <v>8867</v>
      </c>
      <c r="L1248">
        <v>1234</v>
      </c>
      <c r="M1248" t="s">
        <v>645</v>
      </c>
      <c r="N1248" t="s">
        <v>871</v>
      </c>
      <c r="O1248" t="s">
        <v>1628</v>
      </c>
      <c r="P1248">
        <v>2498</v>
      </c>
    </row>
    <row r="1249" spans="1:17" x14ac:dyDescent="0.3">
      <c r="A1249" t="s">
        <v>8868</v>
      </c>
      <c r="B1249" t="s">
        <v>384</v>
      </c>
      <c r="C1249" t="s">
        <v>8869</v>
      </c>
      <c r="D1249" t="s">
        <v>362</v>
      </c>
      <c r="E1249" t="s">
        <v>1276</v>
      </c>
      <c r="F1249" t="s">
        <v>8870</v>
      </c>
      <c r="I1249" t="s">
        <v>8871</v>
      </c>
      <c r="J1249">
        <v>9951479055</v>
      </c>
      <c r="K1249" t="s">
        <v>8872</v>
      </c>
      <c r="L1249">
        <v>1234</v>
      </c>
      <c r="M1249" t="s">
        <v>645</v>
      </c>
      <c r="N1249" t="s">
        <v>336</v>
      </c>
      <c r="O1249" t="s">
        <v>515</v>
      </c>
      <c r="P1249">
        <v>3354</v>
      </c>
    </row>
    <row r="1250" spans="1:17" x14ac:dyDescent="0.3">
      <c r="A1250" t="s">
        <v>8873</v>
      </c>
      <c r="B1250" t="s">
        <v>8874</v>
      </c>
      <c r="C1250" t="s">
        <v>8875</v>
      </c>
      <c r="D1250" t="s">
        <v>5719</v>
      </c>
      <c r="E1250" t="s">
        <v>8876</v>
      </c>
      <c r="F1250" t="s">
        <v>8877</v>
      </c>
      <c r="I1250" t="s">
        <v>5723</v>
      </c>
      <c r="J1250">
        <v>9190987245</v>
      </c>
      <c r="K1250" t="s">
        <v>8878</v>
      </c>
      <c r="L1250">
        <v>1234</v>
      </c>
      <c r="M1250" t="s">
        <v>645</v>
      </c>
      <c r="N1250" t="s">
        <v>369</v>
      </c>
      <c r="O1250" t="s">
        <v>370</v>
      </c>
      <c r="P1250">
        <v>3427</v>
      </c>
    </row>
    <row r="1251" spans="1:17" x14ac:dyDescent="0.3">
      <c r="A1251" t="s">
        <v>8879</v>
      </c>
      <c r="B1251" t="s">
        <v>1182</v>
      </c>
      <c r="C1251" t="s">
        <v>8880</v>
      </c>
      <c r="D1251" t="s">
        <v>177</v>
      </c>
      <c r="E1251" t="s">
        <v>8881</v>
      </c>
      <c r="F1251" t="s">
        <v>8882</v>
      </c>
      <c r="G1251">
        <v>0</v>
      </c>
      <c r="H1251">
        <v>0</v>
      </c>
      <c r="I1251" t="s">
        <v>8883</v>
      </c>
      <c r="J1251">
        <v>5998275</v>
      </c>
      <c r="K1251" t="s">
        <v>8884</v>
      </c>
      <c r="L1251">
        <v>1234</v>
      </c>
      <c r="M1251" t="s">
        <v>645</v>
      </c>
      <c r="N1251" t="s">
        <v>336</v>
      </c>
      <c r="O1251" t="s">
        <v>515</v>
      </c>
      <c r="P1251">
        <v>3023</v>
      </c>
    </row>
    <row r="1252" spans="1:17" x14ac:dyDescent="0.3">
      <c r="A1252" t="s">
        <v>8885</v>
      </c>
      <c r="B1252" t="s">
        <v>2319</v>
      </c>
      <c r="C1252" t="s">
        <v>3478</v>
      </c>
      <c r="D1252" t="s">
        <v>3479</v>
      </c>
      <c r="E1252" t="s">
        <v>3723</v>
      </c>
      <c r="F1252" t="s">
        <v>8886</v>
      </c>
      <c r="I1252" t="s">
        <v>8887</v>
      </c>
      <c r="J1252">
        <v>9778399550</v>
      </c>
      <c r="K1252" t="s">
        <v>8888</v>
      </c>
      <c r="L1252" t="s">
        <v>8889</v>
      </c>
      <c r="M1252" t="s">
        <v>645</v>
      </c>
      <c r="N1252" t="s">
        <v>931</v>
      </c>
      <c r="P1252">
        <v>3462</v>
      </c>
    </row>
    <row r="1253" spans="1:17" x14ac:dyDescent="0.3">
      <c r="A1253" t="s">
        <v>8890</v>
      </c>
      <c r="B1253" t="s">
        <v>4629</v>
      </c>
      <c r="C1253" t="s">
        <v>8891</v>
      </c>
      <c r="D1253" t="s">
        <v>539</v>
      </c>
      <c r="E1253" t="s">
        <v>1985</v>
      </c>
      <c r="F1253" t="s">
        <v>8892</v>
      </c>
      <c r="G1253">
        <v>15.203677544694999</v>
      </c>
      <c r="H1253">
        <v>-239.460523724555</v>
      </c>
      <c r="I1253" t="s">
        <v>8893</v>
      </c>
      <c r="J1253">
        <v>9175067285</v>
      </c>
      <c r="K1253" t="s">
        <v>8894</v>
      </c>
      <c r="L1253">
        <v>1234</v>
      </c>
      <c r="M1253" t="s">
        <v>645</v>
      </c>
      <c r="N1253" t="s">
        <v>336</v>
      </c>
      <c r="O1253" t="s">
        <v>441</v>
      </c>
      <c r="P1253">
        <v>3315</v>
      </c>
    </row>
    <row r="1254" spans="1:17" x14ac:dyDescent="0.3">
      <c r="A1254" t="s">
        <v>8895</v>
      </c>
      <c r="B1254" t="s">
        <v>5045</v>
      </c>
      <c r="C1254" t="s">
        <v>2760</v>
      </c>
      <c r="D1254" t="s">
        <v>8345</v>
      </c>
      <c r="E1254" t="s">
        <v>1985</v>
      </c>
      <c r="F1254" t="s">
        <v>8896</v>
      </c>
      <c r="G1254">
        <v>-9.6559524538758195E-5</v>
      </c>
      <c r="H1254">
        <v>1.3089179992675701E-3</v>
      </c>
      <c r="I1254" t="s">
        <v>8897</v>
      </c>
      <c r="J1254">
        <v>9057224909</v>
      </c>
      <c r="K1254" t="s">
        <v>8898</v>
      </c>
      <c r="L1254">
        <v>1234</v>
      </c>
      <c r="M1254" t="s">
        <v>645</v>
      </c>
      <c r="N1254" t="s">
        <v>336</v>
      </c>
      <c r="O1254" t="s">
        <v>515</v>
      </c>
      <c r="P1254">
        <v>3435</v>
      </c>
    </row>
    <row r="1255" spans="1:17" x14ac:dyDescent="0.3">
      <c r="A1255" t="s">
        <v>8899</v>
      </c>
      <c r="F1255" t="s">
        <v>8900</v>
      </c>
      <c r="K1255" t="s">
        <v>8901</v>
      </c>
      <c r="L1255">
        <v>1234</v>
      </c>
      <c r="M1255" t="s">
        <v>645</v>
      </c>
      <c r="N1255" t="s">
        <v>336</v>
      </c>
      <c r="O1255" t="s">
        <v>441</v>
      </c>
      <c r="P1255">
        <v>3343</v>
      </c>
    </row>
    <row r="1256" spans="1:17" x14ac:dyDescent="0.3">
      <c r="A1256" t="s">
        <v>8902</v>
      </c>
      <c r="B1256" t="s">
        <v>8026</v>
      </c>
      <c r="C1256" t="s">
        <v>8027</v>
      </c>
      <c r="D1256" t="s">
        <v>585</v>
      </c>
      <c r="E1256" t="s">
        <v>1276</v>
      </c>
      <c r="F1256" t="s">
        <v>8903</v>
      </c>
      <c r="G1256">
        <v>0</v>
      </c>
      <c r="H1256">
        <v>0</v>
      </c>
      <c r="I1256" t="s">
        <v>8030</v>
      </c>
      <c r="J1256">
        <v>9166276079</v>
      </c>
      <c r="K1256" t="s">
        <v>8904</v>
      </c>
      <c r="L1256">
        <v>1234</v>
      </c>
      <c r="M1256" t="s">
        <v>645</v>
      </c>
      <c r="N1256" t="s">
        <v>398</v>
      </c>
      <c r="O1256" t="s">
        <v>8905</v>
      </c>
      <c r="P1256">
        <v>3463</v>
      </c>
    </row>
    <row r="1257" spans="1:17" x14ac:dyDescent="0.3">
      <c r="A1257" t="s">
        <v>8906</v>
      </c>
      <c r="B1257" t="s">
        <v>5569</v>
      </c>
      <c r="C1257" t="s">
        <v>8907</v>
      </c>
      <c r="D1257" t="s">
        <v>585</v>
      </c>
      <c r="E1257" t="s">
        <v>1276</v>
      </c>
      <c r="F1257" t="s">
        <v>8908</v>
      </c>
      <c r="G1257">
        <v>15.16245</v>
      </c>
      <c r="H1257">
        <v>120.55829</v>
      </c>
      <c r="I1257" t="s">
        <v>8909</v>
      </c>
      <c r="J1257">
        <v>9177105474</v>
      </c>
      <c r="K1257" t="s">
        <v>8910</v>
      </c>
      <c r="L1257">
        <v>1234</v>
      </c>
      <c r="M1257" t="s">
        <v>645</v>
      </c>
      <c r="N1257" t="s">
        <v>398</v>
      </c>
      <c r="O1257" t="s">
        <v>685</v>
      </c>
      <c r="P1257">
        <v>3459</v>
      </c>
      <c r="Q1257" t="s">
        <v>8911</v>
      </c>
    </row>
    <row r="1258" spans="1:17" x14ac:dyDescent="0.3">
      <c r="A1258" t="s">
        <v>8912</v>
      </c>
      <c r="B1258" t="s">
        <v>8913</v>
      </c>
      <c r="C1258" t="s">
        <v>3586</v>
      </c>
      <c r="D1258" t="s">
        <v>703</v>
      </c>
      <c r="E1258" t="s">
        <v>717</v>
      </c>
      <c r="F1258" t="s">
        <v>8914</v>
      </c>
      <c r="G1258">
        <v>15.17473</v>
      </c>
      <c r="H1258">
        <v>120.51528</v>
      </c>
      <c r="I1258" t="s">
        <v>8915</v>
      </c>
      <c r="J1258">
        <v>9478206189</v>
      </c>
      <c r="K1258" t="s">
        <v>8916</v>
      </c>
      <c r="L1258">
        <v>1234</v>
      </c>
      <c r="M1258" t="s">
        <v>645</v>
      </c>
      <c r="N1258" t="s">
        <v>398</v>
      </c>
      <c r="O1258" t="s">
        <v>582</v>
      </c>
      <c r="P1258">
        <v>3466</v>
      </c>
    </row>
    <row r="1259" spans="1:17" x14ac:dyDescent="0.3">
      <c r="A1259" t="s">
        <v>8917</v>
      </c>
      <c r="B1259" t="s">
        <v>8918</v>
      </c>
      <c r="C1259" t="s">
        <v>8919</v>
      </c>
      <c r="D1259" t="s">
        <v>756</v>
      </c>
      <c r="E1259" t="s">
        <v>8920</v>
      </c>
      <c r="F1259" t="s">
        <v>8921</v>
      </c>
      <c r="I1259" t="s">
        <v>8922</v>
      </c>
      <c r="J1259" t="s">
        <v>8923</v>
      </c>
      <c r="K1259" t="s">
        <v>8924</v>
      </c>
      <c r="L1259">
        <v>1234</v>
      </c>
      <c r="M1259" t="s">
        <v>645</v>
      </c>
      <c r="N1259" t="s">
        <v>336</v>
      </c>
      <c r="O1259" t="s">
        <v>441</v>
      </c>
      <c r="P1259">
        <v>3397</v>
      </c>
    </row>
    <row r="1260" spans="1:17" x14ac:dyDescent="0.3">
      <c r="A1260" t="s">
        <v>8925</v>
      </c>
      <c r="B1260" t="s">
        <v>1017</v>
      </c>
      <c r="C1260" t="s">
        <v>8926</v>
      </c>
      <c r="D1260" t="s">
        <v>1571</v>
      </c>
      <c r="E1260" t="s">
        <v>7168</v>
      </c>
      <c r="F1260" t="s">
        <v>8927</v>
      </c>
      <c r="G1260">
        <v>0</v>
      </c>
      <c r="H1260">
        <v>0</v>
      </c>
      <c r="I1260" t="s">
        <v>8928</v>
      </c>
      <c r="J1260">
        <v>9174979797</v>
      </c>
      <c r="K1260" t="s">
        <v>8929</v>
      </c>
      <c r="L1260">
        <v>1234</v>
      </c>
      <c r="M1260" t="s">
        <v>645</v>
      </c>
      <c r="N1260" t="s">
        <v>398</v>
      </c>
      <c r="O1260" t="s">
        <v>582</v>
      </c>
      <c r="P1260">
        <v>3419</v>
      </c>
    </row>
    <row r="1261" spans="1:17" x14ac:dyDescent="0.3">
      <c r="A1261" t="s">
        <v>8930</v>
      </c>
      <c r="B1261" t="s">
        <v>6204</v>
      </c>
      <c r="C1261" t="s">
        <v>6205</v>
      </c>
      <c r="D1261" t="s">
        <v>177</v>
      </c>
      <c r="E1261" t="s">
        <v>3153</v>
      </c>
      <c r="F1261" t="s">
        <v>8931</v>
      </c>
      <c r="I1261" t="s">
        <v>6208</v>
      </c>
      <c r="J1261" t="s">
        <v>6209</v>
      </c>
      <c r="K1261" t="s">
        <v>8932</v>
      </c>
      <c r="L1261">
        <v>1234</v>
      </c>
      <c r="M1261" t="s">
        <v>645</v>
      </c>
      <c r="N1261" t="s">
        <v>336</v>
      </c>
      <c r="O1261" t="s">
        <v>337</v>
      </c>
      <c r="P1261">
        <v>3460</v>
      </c>
    </row>
    <row r="1262" spans="1:17" x14ac:dyDescent="0.3">
      <c r="A1262" t="s">
        <v>8933</v>
      </c>
      <c r="B1262" t="s">
        <v>1569</v>
      </c>
      <c r="C1262" t="s">
        <v>742</v>
      </c>
      <c r="D1262" t="s">
        <v>1571</v>
      </c>
      <c r="E1262" t="s">
        <v>1766</v>
      </c>
      <c r="F1262" t="s">
        <v>8934</v>
      </c>
      <c r="G1262">
        <v>0</v>
      </c>
      <c r="H1262">
        <v>0</v>
      </c>
      <c r="I1262" t="s">
        <v>8935</v>
      </c>
      <c r="J1262">
        <v>9567747470</v>
      </c>
      <c r="K1262" t="s">
        <v>8936</v>
      </c>
      <c r="L1262">
        <v>1234</v>
      </c>
      <c r="M1262" t="s">
        <v>645</v>
      </c>
      <c r="N1262" t="s">
        <v>398</v>
      </c>
      <c r="O1262" t="s">
        <v>582</v>
      </c>
      <c r="P1262">
        <v>3478</v>
      </c>
      <c r="Q1262" t="s">
        <v>8937</v>
      </c>
    </row>
    <row r="1263" spans="1:17" x14ac:dyDescent="0.3">
      <c r="A1263" t="s">
        <v>8938</v>
      </c>
      <c r="B1263" t="s">
        <v>1391</v>
      </c>
      <c r="C1263" t="s">
        <v>8939</v>
      </c>
      <c r="D1263" t="s">
        <v>1180</v>
      </c>
      <c r="E1263" t="s">
        <v>1276</v>
      </c>
      <c r="F1263" t="s">
        <v>8940</v>
      </c>
      <c r="G1263">
        <v>15.177295627643399</v>
      </c>
      <c r="H1263">
        <v>120.524573922157</v>
      </c>
      <c r="I1263" t="s">
        <v>8941</v>
      </c>
      <c r="J1263">
        <v>9973656244</v>
      </c>
      <c r="K1263" t="s">
        <v>8942</v>
      </c>
      <c r="L1263" t="s">
        <v>8943</v>
      </c>
      <c r="M1263" t="s">
        <v>645</v>
      </c>
      <c r="N1263" t="s">
        <v>398</v>
      </c>
      <c r="O1263" t="s">
        <v>685</v>
      </c>
      <c r="P1263">
        <v>3443</v>
      </c>
    </row>
    <row r="1264" spans="1:17" x14ac:dyDescent="0.3">
      <c r="A1264" t="s">
        <v>8944</v>
      </c>
      <c r="B1264" t="s">
        <v>8945</v>
      </c>
      <c r="C1264" t="s">
        <v>8946</v>
      </c>
      <c r="D1264" t="s">
        <v>2561</v>
      </c>
      <c r="E1264" t="s">
        <v>1862</v>
      </c>
      <c r="F1264" t="s">
        <v>8947</v>
      </c>
      <c r="G1264">
        <v>15.1794752634099</v>
      </c>
      <c r="H1264">
        <v>120.520845651626</v>
      </c>
      <c r="I1264" t="s">
        <v>8948</v>
      </c>
      <c r="J1264">
        <v>9491962592</v>
      </c>
      <c r="K1264" t="s">
        <v>8949</v>
      </c>
      <c r="L1264">
        <v>1234</v>
      </c>
      <c r="M1264" t="s">
        <v>645</v>
      </c>
      <c r="N1264" t="s">
        <v>8950</v>
      </c>
      <c r="O1264" t="s">
        <v>441</v>
      </c>
      <c r="P1264">
        <v>3475</v>
      </c>
      <c r="Q1264" t="s">
        <v>8951</v>
      </c>
    </row>
    <row r="1265" spans="1:17" x14ac:dyDescent="0.3">
      <c r="A1265" t="s">
        <v>8952</v>
      </c>
      <c r="B1265" t="s">
        <v>8953</v>
      </c>
      <c r="C1265" t="s">
        <v>8954</v>
      </c>
      <c r="D1265" t="s">
        <v>2682</v>
      </c>
      <c r="E1265" t="s">
        <v>1276</v>
      </c>
      <c r="F1265" t="s">
        <v>8955</v>
      </c>
      <c r="I1265" t="s">
        <v>8871</v>
      </c>
      <c r="J1265">
        <v>9951479055</v>
      </c>
      <c r="K1265" t="s">
        <v>8956</v>
      </c>
      <c r="L1265">
        <v>1234</v>
      </c>
      <c r="M1265" t="s">
        <v>645</v>
      </c>
      <c r="N1265" t="s">
        <v>336</v>
      </c>
      <c r="O1265" t="s">
        <v>441</v>
      </c>
      <c r="P1265">
        <v>3082</v>
      </c>
    </row>
    <row r="1266" spans="1:17" x14ac:dyDescent="0.3">
      <c r="A1266" t="s">
        <v>8957</v>
      </c>
      <c r="B1266" t="s">
        <v>8958</v>
      </c>
      <c r="C1266" t="s">
        <v>8959</v>
      </c>
      <c r="D1266" t="s">
        <v>7898</v>
      </c>
      <c r="E1266" t="s">
        <v>329</v>
      </c>
      <c r="F1266" t="s">
        <v>8960</v>
      </c>
      <c r="G1266">
        <v>0</v>
      </c>
      <c r="H1266">
        <v>0</v>
      </c>
      <c r="I1266" t="s">
        <v>8961</v>
      </c>
      <c r="J1266">
        <v>9176530014</v>
      </c>
      <c r="K1266" t="s">
        <v>8962</v>
      </c>
      <c r="L1266">
        <v>1234</v>
      </c>
      <c r="M1266" t="s">
        <v>645</v>
      </c>
      <c r="N1266" t="s">
        <v>336</v>
      </c>
      <c r="O1266" t="s">
        <v>515</v>
      </c>
      <c r="P1266">
        <v>3441</v>
      </c>
    </row>
    <row r="1267" spans="1:17" x14ac:dyDescent="0.3">
      <c r="A1267" t="s">
        <v>8957</v>
      </c>
      <c r="B1267" t="s">
        <v>8958</v>
      </c>
      <c r="C1267" t="s">
        <v>8959</v>
      </c>
      <c r="D1267" t="s">
        <v>7898</v>
      </c>
      <c r="E1267" t="s">
        <v>329</v>
      </c>
      <c r="F1267" t="s">
        <v>8960</v>
      </c>
      <c r="G1267">
        <v>0</v>
      </c>
      <c r="H1267">
        <v>0</v>
      </c>
      <c r="I1267" t="s">
        <v>8961</v>
      </c>
      <c r="J1267">
        <v>9176530014</v>
      </c>
      <c r="K1267" t="s">
        <v>8962</v>
      </c>
      <c r="L1267">
        <v>1234</v>
      </c>
      <c r="M1267" t="s">
        <v>645</v>
      </c>
      <c r="N1267" t="s">
        <v>336</v>
      </c>
      <c r="O1267" t="s">
        <v>515</v>
      </c>
      <c r="P1267">
        <v>3441</v>
      </c>
    </row>
    <row r="1268" spans="1:17" x14ac:dyDescent="0.3">
      <c r="A1268" t="s">
        <v>8963</v>
      </c>
      <c r="B1268" t="s">
        <v>8964</v>
      </c>
      <c r="C1268" t="s">
        <v>902</v>
      </c>
      <c r="D1268" t="s">
        <v>2598</v>
      </c>
      <c r="E1268" t="s">
        <v>329</v>
      </c>
      <c r="F1268" t="s">
        <v>8965</v>
      </c>
      <c r="G1268">
        <v>0</v>
      </c>
      <c r="H1268">
        <v>0</v>
      </c>
      <c r="I1268" t="s">
        <v>8966</v>
      </c>
      <c r="J1268">
        <v>9777441973</v>
      </c>
      <c r="K1268" t="s">
        <v>8967</v>
      </c>
      <c r="L1268">
        <v>1234</v>
      </c>
      <c r="M1268" t="s">
        <v>645</v>
      </c>
      <c r="N1268" t="s">
        <v>336</v>
      </c>
      <c r="O1268" t="s">
        <v>515</v>
      </c>
      <c r="P1268">
        <v>2838</v>
      </c>
    </row>
    <row r="1269" spans="1:17" x14ac:dyDescent="0.3">
      <c r="A1269" t="s">
        <v>8963</v>
      </c>
      <c r="B1269" t="s">
        <v>8964</v>
      </c>
      <c r="C1269" t="s">
        <v>902</v>
      </c>
      <c r="D1269" t="s">
        <v>2598</v>
      </c>
      <c r="E1269" t="s">
        <v>329</v>
      </c>
      <c r="F1269" t="s">
        <v>8965</v>
      </c>
      <c r="G1269">
        <v>0</v>
      </c>
      <c r="H1269">
        <v>0</v>
      </c>
      <c r="I1269" t="s">
        <v>8966</v>
      </c>
      <c r="J1269">
        <v>9777441973</v>
      </c>
      <c r="K1269" t="s">
        <v>8967</v>
      </c>
      <c r="L1269">
        <v>1234</v>
      </c>
      <c r="M1269" t="s">
        <v>645</v>
      </c>
      <c r="N1269" t="s">
        <v>336</v>
      </c>
      <c r="O1269" t="s">
        <v>515</v>
      </c>
      <c r="P1269">
        <v>2838</v>
      </c>
    </row>
    <row r="1270" spans="1:17" x14ac:dyDescent="0.3">
      <c r="A1270" t="s">
        <v>8968</v>
      </c>
      <c r="B1270" t="s">
        <v>8969</v>
      </c>
      <c r="C1270" t="s">
        <v>8970</v>
      </c>
      <c r="D1270" t="s">
        <v>1596</v>
      </c>
      <c r="E1270" t="s">
        <v>986</v>
      </c>
      <c r="F1270" t="s">
        <v>8971</v>
      </c>
      <c r="G1270">
        <v>0</v>
      </c>
      <c r="H1270">
        <v>0</v>
      </c>
      <c r="I1270" t="s">
        <v>8972</v>
      </c>
      <c r="J1270">
        <v>9176365555</v>
      </c>
      <c r="K1270" t="s">
        <v>8973</v>
      </c>
      <c r="L1270">
        <v>1234</v>
      </c>
      <c r="M1270" t="s">
        <v>645</v>
      </c>
      <c r="N1270" t="s">
        <v>398</v>
      </c>
      <c r="O1270" t="s">
        <v>853</v>
      </c>
      <c r="P1270">
        <v>3140</v>
      </c>
    </row>
    <row r="1271" spans="1:17" x14ac:dyDescent="0.3">
      <c r="A1271" t="s">
        <v>8974</v>
      </c>
      <c r="B1271" t="s">
        <v>8975</v>
      </c>
      <c r="C1271" t="s">
        <v>8976</v>
      </c>
      <c r="D1271" t="s">
        <v>539</v>
      </c>
      <c r="E1271" t="s">
        <v>8977</v>
      </c>
      <c r="F1271" t="s">
        <v>8978</v>
      </c>
      <c r="G1271">
        <v>15.18227778</v>
      </c>
      <c r="H1271">
        <v>120.5744167</v>
      </c>
      <c r="I1271" t="s">
        <v>8979</v>
      </c>
      <c r="J1271">
        <v>9175342988</v>
      </c>
      <c r="K1271" t="s">
        <v>8980</v>
      </c>
      <c r="L1271">
        <v>1234</v>
      </c>
      <c r="M1271" t="s">
        <v>645</v>
      </c>
      <c r="N1271" t="s">
        <v>336</v>
      </c>
      <c r="O1271" t="s">
        <v>2952</v>
      </c>
      <c r="P1271">
        <v>3465</v>
      </c>
    </row>
    <row r="1272" spans="1:17" x14ac:dyDescent="0.3">
      <c r="A1272" t="s">
        <v>8981</v>
      </c>
      <c r="B1272" t="s">
        <v>901</v>
      </c>
      <c r="C1272" t="s">
        <v>902</v>
      </c>
      <c r="D1272" t="s">
        <v>903</v>
      </c>
      <c r="E1272" t="s">
        <v>904</v>
      </c>
      <c r="F1272" t="s">
        <v>8982</v>
      </c>
      <c r="G1272">
        <v>0</v>
      </c>
      <c r="H1272">
        <v>0</v>
      </c>
      <c r="I1272" t="s">
        <v>906</v>
      </c>
      <c r="J1272" t="s">
        <v>8983</v>
      </c>
      <c r="K1272" t="s">
        <v>8984</v>
      </c>
      <c r="L1272">
        <v>1234</v>
      </c>
      <c r="M1272" t="s">
        <v>645</v>
      </c>
      <c r="N1272" t="s">
        <v>369</v>
      </c>
      <c r="O1272" t="s">
        <v>370</v>
      </c>
      <c r="P1272">
        <v>3480</v>
      </c>
    </row>
    <row r="1273" spans="1:17" x14ac:dyDescent="0.3">
      <c r="A1273" t="s">
        <v>8985</v>
      </c>
      <c r="B1273" t="s">
        <v>8986</v>
      </c>
      <c r="C1273" t="s">
        <v>8987</v>
      </c>
      <c r="D1273" t="s">
        <v>2682</v>
      </c>
      <c r="E1273" t="s">
        <v>329</v>
      </c>
      <c r="F1273" t="s">
        <v>8988</v>
      </c>
      <c r="I1273" t="s">
        <v>8989</v>
      </c>
      <c r="K1273" t="s">
        <v>8990</v>
      </c>
      <c r="L1273" t="s">
        <v>8991</v>
      </c>
      <c r="M1273" t="s">
        <v>645</v>
      </c>
      <c r="N1273" t="s">
        <v>931</v>
      </c>
      <c r="P1273">
        <v>3473</v>
      </c>
    </row>
    <row r="1274" spans="1:17" x14ac:dyDescent="0.3">
      <c r="A1274" t="s">
        <v>8992</v>
      </c>
      <c r="B1274" t="s">
        <v>8993</v>
      </c>
      <c r="C1274" t="s">
        <v>8994</v>
      </c>
      <c r="D1274" t="s">
        <v>1907</v>
      </c>
      <c r="E1274" t="s">
        <v>8995</v>
      </c>
      <c r="F1274" t="s">
        <v>8996</v>
      </c>
      <c r="G1274">
        <v>0</v>
      </c>
      <c r="H1274">
        <v>0</v>
      </c>
      <c r="I1274" t="s">
        <v>8997</v>
      </c>
      <c r="J1274">
        <v>9102978089</v>
      </c>
      <c r="K1274" t="s">
        <v>8998</v>
      </c>
      <c r="L1274">
        <v>1234</v>
      </c>
      <c r="M1274" t="s">
        <v>645</v>
      </c>
      <c r="N1274" t="s">
        <v>336</v>
      </c>
      <c r="O1274" t="s">
        <v>515</v>
      </c>
      <c r="P1274">
        <v>3283</v>
      </c>
    </row>
    <row r="1275" spans="1:17" x14ac:dyDescent="0.3">
      <c r="A1275" t="s">
        <v>8999</v>
      </c>
      <c r="B1275" t="s">
        <v>9000</v>
      </c>
      <c r="C1275" t="s">
        <v>9001</v>
      </c>
      <c r="D1275" t="s">
        <v>9002</v>
      </c>
      <c r="E1275" t="s">
        <v>1062</v>
      </c>
      <c r="F1275" t="s">
        <v>9003</v>
      </c>
      <c r="I1275" t="s">
        <v>9004</v>
      </c>
      <c r="J1275" t="s">
        <v>9005</v>
      </c>
      <c r="K1275" t="s">
        <v>9006</v>
      </c>
      <c r="L1275">
        <v>1234</v>
      </c>
      <c r="M1275" t="s">
        <v>645</v>
      </c>
      <c r="N1275" t="s">
        <v>398</v>
      </c>
      <c r="O1275" t="s">
        <v>582</v>
      </c>
      <c r="P1275">
        <v>3495</v>
      </c>
    </row>
    <row r="1276" spans="1:17" x14ac:dyDescent="0.3">
      <c r="A1276" t="s">
        <v>9007</v>
      </c>
      <c r="B1276" t="s">
        <v>9008</v>
      </c>
      <c r="C1276" t="s">
        <v>9009</v>
      </c>
      <c r="D1276" t="s">
        <v>9010</v>
      </c>
      <c r="E1276" t="s">
        <v>6015</v>
      </c>
      <c r="F1276" t="s">
        <v>9011</v>
      </c>
      <c r="G1276">
        <v>0</v>
      </c>
      <c r="H1276">
        <v>0</v>
      </c>
      <c r="I1276" t="s">
        <v>9012</v>
      </c>
      <c r="J1276">
        <v>9478902347</v>
      </c>
      <c r="K1276" t="s">
        <v>9013</v>
      </c>
      <c r="L1276">
        <v>1234</v>
      </c>
      <c r="M1276" t="s">
        <v>645</v>
      </c>
      <c r="N1276" t="s">
        <v>369</v>
      </c>
      <c r="O1276" t="s">
        <v>370</v>
      </c>
      <c r="P1276">
        <v>3467</v>
      </c>
      <c r="Q1276" t="s">
        <v>9014</v>
      </c>
    </row>
    <row r="1277" spans="1:17" x14ac:dyDescent="0.3">
      <c r="A1277" t="s">
        <v>9015</v>
      </c>
      <c r="B1277" t="s">
        <v>9016</v>
      </c>
      <c r="C1277" t="s">
        <v>9017</v>
      </c>
      <c r="D1277" t="s">
        <v>4215</v>
      </c>
      <c r="E1277" t="s">
        <v>9018</v>
      </c>
      <c r="F1277" t="s">
        <v>9019</v>
      </c>
      <c r="G1277">
        <v>0</v>
      </c>
      <c r="H1277">
        <v>0</v>
      </c>
      <c r="I1277" t="s">
        <v>9020</v>
      </c>
      <c r="J1277" t="s">
        <v>9021</v>
      </c>
      <c r="K1277" t="s">
        <v>9022</v>
      </c>
      <c r="L1277">
        <v>1234</v>
      </c>
      <c r="M1277" t="s">
        <v>645</v>
      </c>
      <c r="N1277" t="s">
        <v>871</v>
      </c>
      <c r="O1277" t="s">
        <v>1628</v>
      </c>
      <c r="P1277">
        <v>2777</v>
      </c>
    </row>
    <row r="1278" spans="1:17" x14ac:dyDescent="0.3">
      <c r="A1278" t="s">
        <v>9023</v>
      </c>
      <c r="B1278" t="s">
        <v>866</v>
      </c>
      <c r="C1278" t="s">
        <v>865</v>
      </c>
      <c r="D1278" t="s">
        <v>756</v>
      </c>
      <c r="E1278" t="s">
        <v>9024</v>
      </c>
      <c r="F1278" t="s">
        <v>9025</v>
      </c>
      <c r="I1278" t="s">
        <v>9026</v>
      </c>
      <c r="J1278">
        <v>9055071271</v>
      </c>
      <c r="K1278" t="s">
        <v>9027</v>
      </c>
      <c r="L1278">
        <v>1234</v>
      </c>
      <c r="M1278" t="s">
        <v>645</v>
      </c>
      <c r="N1278" t="s">
        <v>336</v>
      </c>
      <c r="O1278" t="s">
        <v>515</v>
      </c>
      <c r="P1278">
        <v>2435</v>
      </c>
    </row>
    <row r="1279" spans="1:17" x14ac:dyDescent="0.3">
      <c r="A1279" t="s">
        <v>9028</v>
      </c>
      <c r="B1279" t="s">
        <v>3753</v>
      </c>
      <c r="C1279" t="s">
        <v>9029</v>
      </c>
      <c r="D1279" t="s">
        <v>756</v>
      </c>
      <c r="E1279" t="s">
        <v>3723</v>
      </c>
      <c r="F1279" t="s">
        <v>9030</v>
      </c>
      <c r="G1279">
        <v>0</v>
      </c>
      <c r="H1279">
        <v>0</v>
      </c>
      <c r="I1279" t="s">
        <v>9031</v>
      </c>
      <c r="J1279">
        <v>9662410253</v>
      </c>
      <c r="K1279" t="s">
        <v>9032</v>
      </c>
      <c r="L1279">
        <v>1234</v>
      </c>
      <c r="M1279" t="s">
        <v>645</v>
      </c>
      <c r="N1279" t="s">
        <v>369</v>
      </c>
      <c r="O1279" t="s">
        <v>9033</v>
      </c>
      <c r="P1279">
        <v>3461</v>
      </c>
    </row>
    <row r="1280" spans="1:17" x14ac:dyDescent="0.3">
      <c r="A1280" t="s">
        <v>9034</v>
      </c>
      <c r="B1280" t="s">
        <v>9035</v>
      </c>
      <c r="C1280" t="s">
        <v>9036</v>
      </c>
      <c r="E1280" t="s">
        <v>2253</v>
      </c>
      <c r="F1280" t="s">
        <v>9037</v>
      </c>
      <c r="I1280" t="s">
        <v>9038</v>
      </c>
      <c r="J1280">
        <v>9667268597</v>
      </c>
      <c r="K1280" t="s">
        <v>9039</v>
      </c>
      <c r="L1280">
        <v>1234</v>
      </c>
      <c r="M1280" t="s">
        <v>645</v>
      </c>
      <c r="N1280" t="s">
        <v>304</v>
      </c>
      <c r="O1280" t="s">
        <v>323</v>
      </c>
      <c r="P1280">
        <v>3474</v>
      </c>
    </row>
    <row r="1281" spans="1:16" x14ac:dyDescent="0.3">
      <c r="A1281" t="s">
        <v>9040</v>
      </c>
      <c r="B1281" t="s">
        <v>1983</v>
      </c>
      <c r="C1281" t="s">
        <v>2199</v>
      </c>
      <c r="D1281" t="s">
        <v>2200</v>
      </c>
      <c r="E1281" t="s">
        <v>2201</v>
      </c>
      <c r="F1281" t="s">
        <v>9041</v>
      </c>
      <c r="G1281">
        <v>0</v>
      </c>
      <c r="H1281">
        <v>0</v>
      </c>
      <c r="I1281" t="s">
        <v>2202</v>
      </c>
      <c r="J1281" t="s">
        <v>2203</v>
      </c>
      <c r="K1281" t="s">
        <v>9042</v>
      </c>
      <c r="L1281" t="s">
        <v>778</v>
      </c>
      <c r="M1281" s="1">
        <v>43617</v>
      </c>
      <c r="N1281" t="s">
        <v>398</v>
      </c>
      <c r="O1281" t="s">
        <v>582</v>
      </c>
      <c r="P1281">
        <v>1176</v>
      </c>
    </row>
    <row r="1282" spans="1:16" x14ac:dyDescent="0.3">
      <c r="A1282" t="s">
        <v>9043</v>
      </c>
      <c r="B1282" t="s">
        <v>9044</v>
      </c>
      <c r="C1282" t="s">
        <v>9045</v>
      </c>
      <c r="D1282" t="s">
        <v>5849</v>
      </c>
      <c r="E1282" t="s">
        <v>2390</v>
      </c>
      <c r="F1282" t="s">
        <v>9046</v>
      </c>
      <c r="G1282">
        <v>0</v>
      </c>
      <c r="H1282">
        <v>0</v>
      </c>
      <c r="I1282" t="s">
        <v>9047</v>
      </c>
      <c r="J1282" t="s">
        <v>9048</v>
      </c>
      <c r="K1282" t="s">
        <v>9049</v>
      </c>
      <c r="L1282" t="s">
        <v>9050</v>
      </c>
      <c r="M1282" t="s">
        <v>645</v>
      </c>
      <c r="N1282" t="s">
        <v>16</v>
      </c>
      <c r="O1282" t="s">
        <v>2468</v>
      </c>
      <c r="P1282">
        <v>2327</v>
      </c>
    </row>
    <row r="1283" spans="1:16" x14ac:dyDescent="0.3">
      <c r="A1283" t="s">
        <v>9051</v>
      </c>
      <c r="B1283" t="s">
        <v>9052</v>
      </c>
      <c r="C1283" t="s">
        <v>9053</v>
      </c>
      <c r="D1283" t="s">
        <v>9054</v>
      </c>
      <c r="E1283" t="s">
        <v>2048</v>
      </c>
      <c r="F1283" t="s">
        <v>9055</v>
      </c>
      <c r="G1283">
        <v>0</v>
      </c>
      <c r="H1283">
        <v>0</v>
      </c>
      <c r="I1283" t="s">
        <v>9056</v>
      </c>
      <c r="J1283" t="s">
        <v>9057</v>
      </c>
      <c r="K1283" t="s">
        <v>9058</v>
      </c>
      <c r="L1283">
        <v>1234</v>
      </c>
      <c r="M1283" t="s">
        <v>645</v>
      </c>
      <c r="N1283" t="s">
        <v>16</v>
      </c>
      <c r="O1283" t="s">
        <v>292</v>
      </c>
      <c r="P1283">
        <v>3013</v>
      </c>
    </row>
    <row r="1284" spans="1:16" x14ac:dyDescent="0.3">
      <c r="A1284" t="s">
        <v>9059</v>
      </c>
      <c r="B1284" t="s">
        <v>9060</v>
      </c>
      <c r="C1284" t="s">
        <v>9061</v>
      </c>
      <c r="D1284" t="s">
        <v>9062</v>
      </c>
      <c r="E1284" t="s">
        <v>849</v>
      </c>
      <c r="F1284" t="s">
        <v>9063</v>
      </c>
      <c r="I1284" t="s">
        <v>9064</v>
      </c>
      <c r="J1284" t="s">
        <v>9065</v>
      </c>
      <c r="K1284" t="s">
        <v>9066</v>
      </c>
      <c r="L1284">
        <v>1234</v>
      </c>
      <c r="M1284" t="s">
        <v>645</v>
      </c>
      <c r="N1284" t="s">
        <v>336</v>
      </c>
      <c r="O1284" t="s">
        <v>515</v>
      </c>
      <c r="P1284">
        <v>1208</v>
      </c>
    </row>
    <row r="1285" spans="1:16" x14ac:dyDescent="0.3">
      <c r="A1285" t="s">
        <v>9067</v>
      </c>
      <c r="B1285" t="s">
        <v>9068</v>
      </c>
      <c r="C1285" t="s">
        <v>9069</v>
      </c>
      <c r="D1285" t="s">
        <v>807</v>
      </c>
      <c r="E1285" t="s">
        <v>1339</v>
      </c>
      <c r="F1285" t="s">
        <v>9070</v>
      </c>
      <c r="G1285">
        <v>0</v>
      </c>
      <c r="H1285">
        <v>0</v>
      </c>
      <c r="I1285" t="s">
        <v>9071</v>
      </c>
      <c r="J1285">
        <v>9651388682</v>
      </c>
      <c r="K1285" t="s">
        <v>9072</v>
      </c>
      <c r="L1285">
        <v>1234</v>
      </c>
      <c r="M1285" t="s">
        <v>645</v>
      </c>
      <c r="N1285" t="s">
        <v>398</v>
      </c>
      <c r="O1285" t="s">
        <v>853</v>
      </c>
      <c r="P1285">
        <v>1790</v>
      </c>
    </row>
    <row r="1286" spans="1:16" x14ac:dyDescent="0.3">
      <c r="A1286" t="s">
        <v>9073</v>
      </c>
      <c r="B1286" t="s">
        <v>1408</v>
      </c>
      <c r="C1286" t="s">
        <v>696</v>
      </c>
      <c r="D1286" t="s">
        <v>9074</v>
      </c>
      <c r="E1286" t="s">
        <v>1529</v>
      </c>
      <c r="F1286" t="s">
        <v>9075</v>
      </c>
      <c r="G1286">
        <v>0</v>
      </c>
      <c r="H1286">
        <v>0</v>
      </c>
      <c r="I1286" t="s">
        <v>9076</v>
      </c>
      <c r="J1286" t="s">
        <v>9077</v>
      </c>
      <c r="K1286" t="s">
        <v>9078</v>
      </c>
      <c r="L1286">
        <v>1234</v>
      </c>
      <c r="M1286" t="s">
        <v>645</v>
      </c>
      <c r="N1286" t="s">
        <v>1326</v>
      </c>
      <c r="O1286" t="s">
        <v>3183</v>
      </c>
      <c r="P1286">
        <v>1403</v>
      </c>
    </row>
    <row r="1287" spans="1:16" x14ac:dyDescent="0.3">
      <c r="A1287" t="s">
        <v>9079</v>
      </c>
      <c r="B1287" t="s">
        <v>9080</v>
      </c>
      <c r="C1287" t="s">
        <v>9081</v>
      </c>
      <c r="D1287" t="s">
        <v>9082</v>
      </c>
      <c r="E1287" t="s">
        <v>1110</v>
      </c>
      <c r="F1287" t="s">
        <v>9083</v>
      </c>
      <c r="G1287">
        <v>0</v>
      </c>
      <c r="H1287">
        <v>0</v>
      </c>
      <c r="I1287" t="s">
        <v>9084</v>
      </c>
      <c r="J1287">
        <v>9189425078</v>
      </c>
      <c r="K1287" t="s">
        <v>9085</v>
      </c>
      <c r="L1287">
        <v>1234</v>
      </c>
      <c r="M1287" t="s">
        <v>645</v>
      </c>
      <c r="N1287" t="s">
        <v>369</v>
      </c>
      <c r="O1287" t="s">
        <v>370</v>
      </c>
      <c r="P1287">
        <v>1886</v>
      </c>
    </row>
    <row r="1288" spans="1:16" x14ac:dyDescent="0.3">
      <c r="A1288" t="s">
        <v>9086</v>
      </c>
      <c r="B1288" t="s">
        <v>9087</v>
      </c>
      <c r="C1288" t="s">
        <v>9088</v>
      </c>
      <c r="E1288" t="s">
        <v>9089</v>
      </c>
      <c r="F1288" t="s">
        <v>9090</v>
      </c>
      <c r="G1288">
        <v>0</v>
      </c>
      <c r="H1288">
        <v>0</v>
      </c>
      <c r="I1288" t="s">
        <v>9091</v>
      </c>
      <c r="J1288" t="s">
        <v>9092</v>
      </c>
      <c r="K1288" t="s">
        <v>9093</v>
      </c>
      <c r="L1288">
        <v>1234</v>
      </c>
      <c r="M1288" s="1">
        <v>43854</v>
      </c>
      <c r="N1288" t="s">
        <v>16</v>
      </c>
      <c r="O1288" t="s">
        <v>9094</v>
      </c>
      <c r="P1288">
        <v>1255</v>
      </c>
    </row>
    <row r="1289" spans="1:16" x14ac:dyDescent="0.3">
      <c r="A1289" t="s">
        <v>9095</v>
      </c>
      <c r="B1289" t="s">
        <v>2087</v>
      </c>
      <c r="C1289" t="s">
        <v>9096</v>
      </c>
      <c r="D1289" t="s">
        <v>9097</v>
      </c>
      <c r="E1289" t="s">
        <v>4814</v>
      </c>
      <c r="F1289" t="s">
        <v>9098</v>
      </c>
      <c r="I1289" t="s">
        <v>9099</v>
      </c>
      <c r="J1289">
        <v>288673767</v>
      </c>
      <c r="K1289" t="s">
        <v>9100</v>
      </c>
      <c r="L1289" t="s">
        <v>9101</v>
      </c>
      <c r="M1289" s="1">
        <v>43318</v>
      </c>
      <c r="N1289" t="s">
        <v>931</v>
      </c>
      <c r="P1289">
        <v>1358</v>
      </c>
    </row>
    <row r="1290" spans="1:16" x14ac:dyDescent="0.3">
      <c r="A1290" t="s">
        <v>9102</v>
      </c>
      <c r="B1290" t="s">
        <v>9103</v>
      </c>
      <c r="C1290" t="s">
        <v>9104</v>
      </c>
      <c r="D1290" t="s">
        <v>4976</v>
      </c>
      <c r="E1290" t="s">
        <v>1311</v>
      </c>
      <c r="F1290" t="s">
        <v>9105</v>
      </c>
      <c r="G1290">
        <v>0</v>
      </c>
      <c r="H1290">
        <v>0</v>
      </c>
      <c r="I1290" t="s">
        <v>9106</v>
      </c>
      <c r="J1290">
        <f>-45-499-484</f>
        <v>-1028</v>
      </c>
      <c r="K1290" t="s">
        <v>9107</v>
      </c>
      <c r="L1290">
        <v>1234</v>
      </c>
      <c r="M1290" s="1">
        <v>42952</v>
      </c>
      <c r="N1290" t="s">
        <v>336</v>
      </c>
      <c r="O1290" t="s">
        <v>515</v>
      </c>
      <c r="P1290">
        <v>3044</v>
      </c>
    </row>
    <row r="1291" spans="1:16" x14ac:dyDescent="0.3">
      <c r="A1291" t="s">
        <v>9108</v>
      </c>
      <c r="B1291" t="s">
        <v>326</v>
      </c>
      <c r="C1291" t="s">
        <v>9109</v>
      </c>
      <c r="D1291" t="s">
        <v>539</v>
      </c>
      <c r="E1291" t="s">
        <v>9110</v>
      </c>
      <c r="F1291" t="s">
        <v>9111</v>
      </c>
      <c r="I1291" t="s">
        <v>9112</v>
      </c>
      <c r="J1291" t="s">
        <v>9113</v>
      </c>
      <c r="K1291" t="s">
        <v>9114</v>
      </c>
      <c r="L1291">
        <v>1234</v>
      </c>
      <c r="M1291" t="s">
        <v>645</v>
      </c>
      <c r="N1291" t="s">
        <v>336</v>
      </c>
      <c r="O1291" t="s">
        <v>515</v>
      </c>
      <c r="P1291">
        <v>2555</v>
      </c>
    </row>
    <row r="1292" spans="1:16" x14ac:dyDescent="0.3">
      <c r="A1292" t="s">
        <v>9115</v>
      </c>
      <c r="B1292" t="s">
        <v>4024</v>
      </c>
      <c r="C1292" t="s">
        <v>9116</v>
      </c>
      <c r="D1292" t="s">
        <v>9117</v>
      </c>
      <c r="E1292" t="s">
        <v>975</v>
      </c>
      <c r="F1292" t="s">
        <v>9118</v>
      </c>
      <c r="I1292" t="s">
        <v>9119</v>
      </c>
      <c r="J1292">
        <v>9176765815</v>
      </c>
      <c r="K1292" t="s">
        <v>9120</v>
      </c>
      <c r="L1292">
        <v>1234</v>
      </c>
      <c r="M1292" t="s">
        <v>645</v>
      </c>
      <c r="N1292" t="s">
        <v>369</v>
      </c>
      <c r="O1292" t="s">
        <v>9121</v>
      </c>
      <c r="P1292">
        <v>2709</v>
      </c>
    </row>
    <row r="1293" spans="1:16" x14ac:dyDescent="0.3">
      <c r="A1293" t="s">
        <v>9122</v>
      </c>
      <c r="B1293" t="s">
        <v>4643</v>
      </c>
      <c r="C1293" t="s">
        <v>2590</v>
      </c>
      <c r="D1293" t="s">
        <v>3913</v>
      </c>
      <c r="E1293" t="s">
        <v>9123</v>
      </c>
      <c r="F1293" t="s">
        <v>9124</v>
      </c>
      <c r="G1293">
        <v>0</v>
      </c>
      <c r="H1293">
        <v>0</v>
      </c>
      <c r="I1293" t="s">
        <v>9125</v>
      </c>
      <c r="J1293" t="s">
        <v>9126</v>
      </c>
      <c r="K1293" t="s">
        <v>9127</v>
      </c>
      <c r="L1293">
        <v>1234</v>
      </c>
      <c r="M1293" t="s">
        <v>9128</v>
      </c>
      <c r="N1293" t="s">
        <v>16</v>
      </c>
      <c r="O1293" t="s">
        <v>292</v>
      </c>
      <c r="P1293">
        <v>141</v>
      </c>
    </row>
    <row r="1294" spans="1:16" x14ac:dyDescent="0.3">
      <c r="A1294" t="s">
        <v>9129</v>
      </c>
      <c r="B1294" t="s">
        <v>9130</v>
      </c>
      <c r="C1294" t="s">
        <v>9131</v>
      </c>
      <c r="D1294" t="s">
        <v>9132</v>
      </c>
      <c r="E1294" t="s">
        <v>9133</v>
      </c>
      <c r="F1294" t="s">
        <v>9134</v>
      </c>
      <c r="I1294" t="s">
        <v>9135</v>
      </c>
      <c r="J1294">
        <v>9988401475</v>
      </c>
      <c r="K1294" t="s">
        <v>9136</v>
      </c>
      <c r="L1294">
        <v>1234</v>
      </c>
      <c r="M1294" t="s">
        <v>645</v>
      </c>
      <c r="N1294" t="s">
        <v>710</v>
      </c>
      <c r="O1294" t="s">
        <v>711</v>
      </c>
      <c r="P1294">
        <v>1469</v>
      </c>
    </row>
    <row r="1295" spans="1:16" x14ac:dyDescent="0.3">
      <c r="A1295" t="s">
        <v>9137</v>
      </c>
      <c r="B1295" t="s">
        <v>4305</v>
      </c>
      <c r="C1295" t="s">
        <v>9138</v>
      </c>
      <c r="D1295" t="s">
        <v>2444</v>
      </c>
      <c r="E1295" t="s">
        <v>9139</v>
      </c>
      <c r="F1295" t="s">
        <v>9140</v>
      </c>
      <c r="I1295" t="s">
        <v>9141</v>
      </c>
      <c r="J1295">
        <v>9988621249</v>
      </c>
      <c r="K1295" t="s">
        <v>9142</v>
      </c>
      <c r="L1295">
        <v>1234</v>
      </c>
      <c r="M1295" t="s">
        <v>645</v>
      </c>
      <c r="N1295" t="s">
        <v>336</v>
      </c>
      <c r="O1295" t="s">
        <v>515</v>
      </c>
      <c r="P1295">
        <v>2483</v>
      </c>
    </row>
    <row r="1296" spans="1:16" x14ac:dyDescent="0.3">
      <c r="A1296" t="s">
        <v>9143</v>
      </c>
      <c r="B1296" t="s">
        <v>9144</v>
      </c>
      <c r="C1296" t="s">
        <v>7748</v>
      </c>
      <c r="D1296" t="s">
        <v>3095</v>
      </c>
      <c r="E1296" t="s">
        <v>9145</v>
      </c>
      <c r="F1296" t="s">
        <v>9146</v>
      </c>
      <c r="G1296">
        <v>0</v>
      </c>
      <c r="H1296">
        <v>0</v>
      </c>
      <c r="I1296" t="s">
        <v>9147</v>
      </c>
      <c r="J1296">
        <v>4996490</v>
      </c>
      <c r="K1296" t="s">
        <v>9148</v>
      </c>
      <c r="L1296">
        <v>1234</v>
      </c>
      <c r="M1296" t="s">
        <v>645</v>
      </c>
      <c r="N1296" t="s">
        <v>779</v>
      </c>
      <c r="O1296" t="s">
        <v>780</v>
      </c>
      <c r="P1296">
        <v>2765</v>
      </c>
    </row>
    <row r="1297" spans="1:17" x14ac:dyDescent="0.3">
      <c r="A1297" t="s">
        <v>9149</v>
      </c>
      <c r="B1297" t="s">
        <v>4660</v>
      </c>
      <c r="C1297" t="s">
        <v>4661</v>
      </c>
      <c r="D1297" t="s">
        <v>9150</v>
      </c>
      <c r="E1297" t="s">
        <v>6501</v>
      </c>
      <c r="F1297" t="s">
        <v>9151</v>
      </c>
      <c r="I1297" t="s">
        <v>9152</v>
      </c>
      <c r="J1297" t="s">
        <v>9153</v>
      </c>
      <c r="K1297" t="s">
        <v>9154</v>
      </c>
      <c r="L1297">
        <v>1234</v>
      </c>
      <c r="M1297" t="s">
        <v>645</v>
      </c>
      <c r="N1297" t="s">
        <v>336</v>
      </c>
      <c r="O1297" t="s">
        <v>515</v>
      </c>
      <c r="P1297">
        <v>2365</v>
      </c>
    </row>
    <row r="1298" spans="1:17" x14ac:dyDescent="0.3">
      <c r="A1298" t="s">
        <v>9155</v>
      </c>
      <c r="B1298" t="s">
        <v>9156</v>
      </c>
      <c r="C1298" t="s">
        <v>9157</v>
      </c>
      <c r="D1298" t="s">
        <v>9158</v>
      </c>
      <c r="E1298" t="s">
        <v>2022</v>
      </c>
      <c r="F1298" t="s">
        <v>9159</v>
      </c>
      <c r="I1298" t="s">
        <v>9160</v>
      </c>
      <c r="J1298">
        <v>9177201091</v>
      </c>
      <c r="K1298" t="s">
        <v>9161</v>
      </c>
      <c r="L1298">
        <v>1234</v>
      </c>
      <c r="M1298" t="s">
        <v>9162</v>
      </c>
      <c r="N1298" t="s">
        <v>369</v>
      </c>
      <c r="O1298" t="s">
        <v>2181</v>
      </c>
      <c r="P1298">
        <v>2931</v>
      </c>
    </row>
    <row r="1299" spans="1:17" x14ac:dyDescent="0.3">
      <c r="A1299" t="s">
        <v>9163</v>
      </c>
      <c r="B1299" t="s">
        <v>9164</v>
      </c>
      <c r="C1299" t="s">
        <v>1641</v>
      </c>
      <c r="D1299" t="s">
        <v>326</v>
      </c>
      <c r="E1299" t="s">
        <v>2601</v>
      </c>
      <c r="F1299" t="s">
        <v>9165</v>
      </c>
      <c r="I1299" t="s">
        <v>9166</v>
      </c>
      <c r="J1299" t="s">
        <v>9167</v>
      </c>
      <c r="K1299" t="s">
        <v>9168</v>
      </c>
      <c r="L1299" t="s">
        <v>9169</v>
      </c>
      <c r="M1299" t="s">
        <v>645</v>
      </c>
      <c r="N1299" t="s">
        <v>931</v>
      </c>
      <c r="P1299">
        <v>878</v>
      </c>
    </row>
    <row r="1300" spans="1:17" x14ac:dyDescent="0.3">
      <c r="A1300" t="s">
        <v>9170</v>
      </c>
      <c r="B1300" t="s">
        <v>9171</v>
      </c>
      <c r="C1300" t="s">
        <v>9172</v>
      </c>
      <c r="D1300" t="s">
        <v>3458</v>
      </c>
      <c r="E1300" t="s">
        <v>5139</v>
      </c>
      <c r="F1300" t="s">
        <v>9173</v>
      </c>
      <c r="G1300">
        <v>0</v>
      </c>
      <c r="H1300">
        <v>0</v>
      </c>
      <c r="I1300" t="s">
        <v>9174</v>
      </c>
      <c r="J1300" t="s">
        <v>9175</v>
      </c>
      <c r="K1300" t="s">
        <v>9176</v>
      </c>
      <c r="L1300">
        <v>121212</v>
      </c>
      <c r="M1300" t="s">
        <v>645</v>
      </c>
      <c r="N1300" t="s">
        <v>931</v>
      </c>
      <c r="O1300" t="s">
        <v>9170</v>
      </c>
      <c r="P1300">
        <v>2030</v>
      </c>
    </row>
    <row r="1301" spans="1:17" x14ac:dyDescent="0.3">
      <c r="A1301" t="s">
        <v>9177</v>
      </c>
      <c r="B1301" t="s">
        <v>384</v>
      </c>
      <c r="C1301" t="s">
        <v>9178</v>
      </c>
      <c r="D1301" t="s">
        <v>1265</v>
      </c>
      <c r="E1301" t="s">
        <v>5499</v>
      </c>
      <c r="F1301" t="s">
        <v>9179</v>
      </c>
      <c r="G1301">
        <v>0</v>
      </c>
      <c r="H1301">
        <v>0</v>
      </c>
      <c r="I1301" t="s">
        <v>9180</v>
      </c>
      <c r="J1301">
        <v>9502625553</v>
      </c>
      <c r="K1301" t="s">
        <v>9181</v>
      </c>
      <c r="L1301">
        <v>1234</v>
      </c>
      <c r="M1301" t="s">
        <v>645</v>
      </c>
      <c r="N1301" t="s">
        <v>336</v>
      </c>
      <c r="O1301" t="s">
        <v>515</v>
      </c>
      <c r="P1301">
        <v>3445</v>
      </c>
    </row>
    <row r="1302" spans="1:17" x14ac:dyDescent="0.3">
      <c r="A1302" t="s">
        <v>9182</v>
      </c>
      <c r="B1302" t="s">
        <v>9183</v>
      </c>
      <c r="C1302" t="s">
        <v>9184</v>
      </c>
      <c r="D1302" t="s">
        <v>1907</v>
      </c>
      <c r="E1302" t="s">
        <v>7455</v>
      </c>
      <c r="F1302" t="s">
        <v>9185</v>
      </c>
      <c r="G1302">
        <v>0</v>
      </c>
      <c r="H1302">
        <v>0</v>
      </c>
      <c r="I1302" t="s">
        <v>9186</v>
      </c>
      <c r="J1302" t="s">
        <v>9187</v>
      </c>
      <c r="K1302" t="s">
        <v>9188</v>
      </c>
      <c r="L1302">
        <v>1234</v>
      </c>
      <c r="M1302" t="s">
        <v>645</v>
      </c>
      <c r="N1302" t="s">
        <v>9189</v>
      </c>
      <c r="O1302" t="s">
        <v>9190</v>
      </c>
      <c r="P1302">
        <v>709</v>
      </c>
    </row>
    <row r="1303" spans="1:17" x14ac:dyDescent="0.3">
      <c r="A1303" t="s">
        <v>9191</v>
      </c>
      <c r="B1303" t="s">
        <v>9192</v>
      </c>
      <c r="C1303" t="s">
        <v>9193</v>
      </c>
      <c r="D1303" t="s">
        <v>7714</v>
      </c>
      <c r="E1303" t="s">
        <v>1284</v>
      </c>
      <c r="F1303" t="s">
        <v>9194</v>
      </c>
      <c r="G1303">
        <v>0</v>
      </c>
      <c r="H1303">
        <v>0</v>
      </c>
      <c r="I1303" t="s">
        <v>9195</v>
      </c>
      <c r="J1303" t="s">
        <v>9196</v>
      </c>
      <c r="K1303" t="s">
        <v>9197</v>
      </c>
      <c r="L1303" t="s">
        <v>9198</v>
      </c>
      <c r="M1303" s="1">
        <v>43875</v>
      </c>
      <c r="N1303" t="s">
        <v>16</v>
      </c>
      <c r="O1303" t="s">
        <v>9199</v>
      </c>
      <c r="P1303">
        <v>117</v>
      </c>
    </row>
    <row r="1304" spans="1:17" x14ac:dyDescent="0.3">
      <c r="A1304" t="s">
        <v>9200</v>
      </c>
      <c r="B1304" t="s">
        <v>2734</v>
      </c>
      <c r="C1304" t="s">
        <v>9201</v>
      </c>
      <c r="D1304" t="s">
        <v>9202</v>
      </c>
      <c r="E1304" t="s">
        <v>9203</v>
      </c>
      <c r="F1304" t="s">
        <v>9204</v>
      </c>
      <c r="G1304">
        <v>0</v>
      </c>
      <c r="H1304">
        <v>0</v>
      </c>
      <c r="I1304" t="s">
        <v>9205</v>
      </c>
      <c r="J1304" t="s">
        <v>9206</v>
      </c>
      <c r="K1304" t="s">
        <v>9207</v>
      </c>
      <c r="L1304">
        <v>1234</v>
      </c>
      <c r="M1304" t="s">
        <v>645</v>
      </c>
      <c r="N1304" t="s">
        <v>16</v>
      </c>
      <c r="O1304" t="s">
        <v>17</v>
      </c>
      <c r="P1304">
        <v>90</v>
      </c>
    </row>
    <row r="1305" spans="1:17" x14ac:dyDescent="0.3">
      <c r="A1305" t="s">
        <v>9208</v>
      </c>
      <c r="B1305" t="s">
        <v>9209</v>
      </c>
      <c r="C1305" t="s">
        <v>9210</v>
      </c>
      <c r="D1305" t="s">
        <v>9211</v>
      </c>
      <c r="E1305" t="s">
        <v>9212</v>
      </c>
      <c r="F1305" t="s">
        <v>9213</v>
      </c>
      <c r="G1305">
        <v>0</v>
      </c>
      <c r="H1305">
        <v>0</v>
      </c>
      <c r="I1305" t="s">
        <v>9214</v>
      </c>
      <c r="J1305">
        <v>9177910112</v>
      </c>
      <c r="K1305" t="s">
        <v>9215</v>
      </c>
      <c r="L1305">
        <v>1225</v>
      </c>
      <c r="M1305" t="s">
        <v>645</v>
      </c>
      <c r="N1305" t="s">
        <v>369</v>
      </c>
      <c r="O1305" t="s">
        <v>2181</v>
      </c>
      <c r="P1305">
        <v>3231</v>
      </c>
    </row>
    <row r="1306" spans="1:17" x14ac:dyDescent="0.3">
      <c r="A1306" t="s">
        <v>9216</v>
      </c>
      <c r="B1306" t="s">
        <v>9217</v>
      </c>
      <c r="C1306" t="s">
        <v>9218</v>
      </c>
      <c r="D1306" t="s">
        <v>539</v>
      </c>
      <c r="E1306" t="s">
        <v>9219</v>
      </c>
      <c r="F1306" t="s">
        <v>9220</v>
      </c>
      <c r="G1306">
        <v>0</v>
      </c>
      <c r="H1306">
        <v>0</v>
      </c>
      <c r="I1306" t="s">
        <v>9221</v>
      </c>
      <c r="J1306" t="s">
        <v>9222</v>
      </c>
      <c r="K1306" t="s">
        <v>9223</v>
      </c>
      <c r="L1306">
        <v>1234</v>
      </c>
      <c r="M1306" t="s">
        <v>645</v>
      </c>
      <c r="N1306" t="s">
        <v>16</v>
      </c>
      <c r="O1306" t="s">
        <v>421</v>
      </c>
      <c r="P1306">
        <v>3120</v>
      </c>
    </row>
    <row r="1307" spans="1:17" x14ac:dyDescent="0.3">
      <c r="A1307" t="s">
        <v>9224</v>
      </c>
      <c r="B1307" t="s">
        <v>326</v>
      </c>
      <c r="C1307" t="s">
        <v>9225</v>
      </c>
      <c r="D1307" t="s">
        <v>9226</v>
      </c>
      <c r="E1307" t="s">
        <v>477</v>
      </c>
      <c r="F1307" t="s">
        <v>9227</v>
      </c>
      <c r="G1307">
        <v>0</v>
      </c>
      <c r="H1307">
        <v>0</v>
      </c>
      <c r="I1307" t="s">
        <v>9228</v>
      </c>
      <c r="J1307">
        <f>-45- 499-3269</f>
        <v>-3813</v>
      </c>
      <c r="K1307" t="s">
        <v>9229</v>
      </c>
      <c r="L1307" t="s">
        <v>9230</v>
      </c>
      <c r="M1307" t="s">
        <v>9231</v>
      </c>
      <c r="N1307" t="s">
        <v>16</v>
      </c>
      <c r="O1307" t="s">
        <v>292</v>
      </c>
      <c r="P1307">
        <v>2214</v>
      </c>
    </row>
    <row r="1308" spans="1:17" x14ac:dyDescent="0.3">
      <c r="A1308" t="s">
        <v>9232</v>
      </c>
      <c r="B1308" t="s">
        <v>1273</v>
      </c>
      <c r="C1308" t="s">
        <v>8692</v>
      </c>
      <c r="D1308" t="s">
        <v>9233</v>
      </c>
      <c r="E1308" t="s">
        <v>9234</v>
      </c>
      <c r="F1308" t="s">
        <v>9235</v>
      </c>
      <c r="I1308" t="s">
        <v>9236</v>
      </c>
      <c r="J1308" t="s">
        <v>9237</v>
      </c>
      <c r="K1308" t="s">
        <v>9238</v>
      </c>
      <c r="L1308">
        <v>1234</v>
      </c>
      <c r="M1308" t="s">
        <v>9239</v>
      </c>
      <c r="N1308" t="s">
        <v>336</v>
      </c>
      <c r="O1308" t="s">
        <v>515</v>
      </c>
      <c r="P1308">
        <v>1061</v>
      </c>
    </row>
    <row r="1309" spans="1:17" x14ac:dyDescent="0.3">
      <c r="A1309" t="s">
        <v>9240</v>
      </c>
      <c r="B1309" t="s">
        <v>9241</v>
      </c>
      <c r="C1309" t="s">
        <v>3069</v>
      </c>
      <c r="D1309" t="s">
        <v>1555</v>
      </c>
      <c r="E1309" t="s">
        <v>9242</v>
      </c>
      <c r="F1309" t="s">
        <v>9243</v>
      </c>
      <c r="G1309">
        <v>3.2186508178737902E-4</v>
      </c>
      <c r="H1309">
        <v>-1.09648704528808E-2</v>
      </c>
      <c r="I1309" t="s">
        <v>9244</v>
      </c>
      <c r="J1309">
        <v>9171921163</v>
      </c>
      <c r="K1309" t="s">
        <v>9245</v>
      </c>
      <c r="L1309">
        <v>1234</v>
      </c>
      <c r="M1309" s="1">
        <v>42916</v>
      </c>
      <c r="N1309" t="s">
        <v>369</v>
      </c>
      <c r="O1309" t="s">
        <v>2181</v>
      </c>
      <c r="P1309">
        <v>2506</v>
      </c>
    </row>
    <row r="1310" spans="1:17" x14ac:dyDescent="0.3">
      <c r="A1310" t="s">
        <v>9246</v>
      </c>
      <c r="B1310" t="s">
        <v>1145</v>
      </c>
      <c r="C1310" t="s">
        <v>1975</v>
      </c>
      <c r="D1310" t="s">
        <v>1976</v>
      </c>
      <c r="E1310" t="s">
        <v>9247</v>
      </c>
      <c r="F1310" t="s">
        <v>9248</v>
      </c>
      <c r="I1310" t="s">
        <v>9249</v>
      </c>
      <c r="J1310" t="s">
        <v>9250</v>
      </c>
      <c r="K1310" t="s">
        <v>9251</v>
      </c>
      <c r="L1310">
        <v>1234</v>
      </c>
      <c r="M1310" t="s">
        <v>645</v>
      </c>
      <c r="N1310" t="s">
        <v>336</v>
      </c>
      <c r="O1310" t="s">
        <v>441</v>
      </c>
      <c r="P1310">
        <v>2565</v>
      </c>
    </row>
    <row r="1311" spans="1:17" x14ac:dyDescent="0.3">
      <c r="A1311" t="s">
        <v>9252</v>
      </c>
      <c r="B1311" t="s">
        <v>6129</v>
      </c>
      <c r="C1311" t="s">
        <v>9253</v>
      </c>
      <c r="D1311" t="s">
        <v>3694</v>
      </c>
      <c r="E1311" t="s">
        <v>4940</v>
      </c>
      <c r="F1311" t="s">
        <v>9254</v>
      </c>
      <c r="I1311" t="s">
        <v>9255</v>
      </c>
      <c r="J1311">
        <f>-45-499-3417</f>
        <v>-3961</v>
      </c>
      <c r="K1311" t="s">
        <v>9256</v>
      </c>
      <c r="L1311" t="s">
        <v>9257</v>
      </c>
      <c r="M1311" s="1">
        <v>43767</v>
      </c>
      <c r="N1311" t="s">
        <v>336</v>
      </c>
      <c r="O1311" t="s">
        <v>441</v>
      </c>
      <c r="P1311">
        <v>1708</v>
      </c>
      <c r="Q1311" t="s">
        <v>9258</v>
      </c>
    </row>
    <row r="1312" spans="1:17" x14ac:dyDescent="0.3">
      <c r="A1312" t="s">
        <v>9259</v>
      </c>
      <c r="B1312" t="s">
        <v>1968</v>
      </c>
      <c r="C1312" t="s">
        <v>9260</v>
      </c>
      <c r="D1312" t="s">
        <v>1571</v>
      </c>
      <c r="E1312" t="s">
        <v>635</v>
      </c>
      <c r="F1312" t="s">
        <v>9261</v>
      </c>
      <c r="G1312">
        <v>0</v>
      </c>
      <c r="H1312">
        <v>0</v>
      </c>
      <c r="I1312" t="s">
        <v>9262</v>
      </c>
      <c r="J1312" t="s">
        <v>9263</v>
      </c>
      <c r="K1312" t="s">
        <v>9264</v>
      </c>
      <c r="L1312">
        <v>1234</v>
      </c>
      <c r="M1312" t="s">
        <v>645</v>
      </c>
      <c r="N1312" t="s">
        <v>6144</v>
      </c>
      <c r="O1312" t="s">
        <v>458</v>
      </c>
      <c r="P1312">
        <v>411</v>
      </c>
    </row>
    <row r="1313" spans="1:16" x14ac:dyDescent="0.3">
      <c r="A1313" t="s">
        <v>9265</v>
      </c>
      <c r="B1313" t="s">
        <v>9266</v>
      </c>
      <c r="C1313" t="s">
        <v>9267</v>
      </c>
      <c r="D1313" t="s">
        <v>3642</v>
      </c>
      <c r="E1313" t="s">
        <v>2193</v>
      </c>
      <c r="F1313" t="s">
        <v>9268</v>
      </c>
      <c r="I1313" t="s">
        <v>9269</v>
      </c>
      <c r="J1313">
        <v>9228556442</v>
      </c>
      <c r="K1313" t="s">
        <v>9270</v>
      </c>
      <c r="L1313">
        <v>1234</v>
      </c>
      <c r="M1313" s="1">
        <v>43694</v>
      </c>
      <c r="N1313" t="s">
        <v>9271</v>
      </c>
      <c r="P1313">
        <v>204</v>
      </c>
    </row>
    <row r="1314" spans="1:16" x14ac:dyDescent="0.3">
      <c r="A1314" t="s">
        <v>9272</v>
      </c>
      <c r="B1314" t="s">
        <v>236</v>
      </c>
      <c r="C1314" t="s">
        <v>2976</v>
      </c>
      <c r="D1314" t="s">
        <v>9273</v>
      </c>
      <c r="E1314" t="s">
        <v>1146</v>
      </c>
      <c r="F1314" t="s">
        <v>9274</v>
      </c>
      <c r="I1314" t="s">
        <v>9275</v>
      </c>
      <c r="J1314">
        <v>9422660921</v>
      </c>
      <c r="K1314" t="s">
        <v>9276</v>
      </c>
      <c r="L1314">
        <v>1234</v>
      </c>
      <c r="M1314" t="s">
        <v>645</v>
      </c>
      <c r="N1314" t="s">
        <v>9271</v>
      </c>
      <c r="P1314">
        <v>179</v>
      </c>
    </row>
    <row r="1315" spans="1:16" x14ac:dyDescent="0.3">
      <c r="A1315" t="s">
        <v>9277</v>
      </c>
      <c r="B1315" t="s">
        <v>9278</v>
      </c>
      <c r="C1315" t="s">
        <v>9279</v>
      </c>
      <c r="D1315" t="s">
        <v>1555</v>
      </c>
      <c r="E1315" t="s">
        <v>9280</v>
      </c>
      <c r="F1315" t="s">
        <v>9281</v>
      </c>
      <c r="G1315">
        <v>0</v>
      </c>
      <c r="H1315">
        <v>0</v>
      </c>
      <c r="I1315" t="s">
        <v>9282</v>
      </c>
      <c r="J1315" t="s">
        <v>9283</v>
      </c>
      <c r="K1315" t="s">
        <v>9284</v>
      </c>
      <c r="L1315">
        <v>1234</v>
      </c>
      <c r="M1315" t="s">
        <v>645</v>
      </c>
      <c r="N1315" t="s">
        <v>6144</v>
      </c>
      <c r="O1315" t="s">
        <v>1115</v>
      </c>
      <c r="P1315">
        <v>1010</v>
      </c>
    </row>
    <row r="1316" spans="1:16" x14ac:dyDescent="0.3">
      <c r="A1316" t="s">
        <v>9285</v>
      </c>
      <c r="B1316" t="s">
        <v>6224</v>
      </c>
      <c r="C1316" t="s">
        <v>9286</v>
      </c>
      <c r="D1316" t="s">
        <v>954</v>
      </c>
      <c r="E1316" t="s">
        <v>477</v>
      </c>
      <c r="F1316" t="s">
        <v>9287</v>
      </c>
      <c r="G1316">
        <v>0</v>
      </c>
      <c r="H1316">
        <v>0</v>
      </c>
      <c r="I1316" t="s">
        <v>9288</v>
      </c>
      <c r="J1316">
        <v>9175009445</v>
      </c>
      <c r="K1316" t="s">
        <v>9289</v>
      </c>
      <c r="L1316">
        <v>1234</v>
      </c>
      <c r="M1316" t="s">
        <v>645</v>
      </c>
      <c r="N1316" t="s">
        <v>336</v>
      </c>
      <c r="O1316" t="s">
        <v>337</v>
      </c>
      <c r="P1316">
        <v>2642</v>
      </c>
    </row>
    <row r="1317" spans="1:16" x14ac:dyDescent="0.3">
      <c r="A1317" t="s">
        <v>9290</v>
      </c>
      <c r="B1317" t="s">
        <v>7714</v>
      </c>
      <c r="C1317" t="s">
        <v>2270</v>
      </c>
      <c r="D1317" t="s">
        <v>326</v>
      </c>
      <c r="E1317" t="s">
        <v>1062</v>
      </c>
      <c r="F1317" t="s">
        <v>9291</v>
      </c>
      <c r="I1317" t="s">
        <v>9292</v>
      </c>
      <c r="J1317" t="s">
        <v>9293</v>
      </c>
      <c r="K1317" t="s">
        <v>9294</v>
      </c>
      <c r="L1317" t="s">
        <v>9295</v>
      </c>
      <c r="M1317" t="s">
        <v>645</v>
      </c>
      <c r="N1317" t="s">
        <v>336</v>
      </c>
      <c r="O1317" t="s">
        <v>337</v>
      </c>
      <c r="P1317">
        <v>3374</v>
      </c>
    </row>
    <row r="1318" spans="1:16" x14ac:dyDescent="0.3">
      <c r="A1318" t="s">
        <v>9296</v>
      </c>
      <c r="B1318" t="s">
        <v>9297</v>
      </c>
      <c r="C1318" t="s">
        <v>9298</v>
      </c>
      <c r="D1318" t="s">
        <v>603</v>
      </c>
      <c r="E1318" t="s">
        <v>704</v>
      </c>
      <c r="F1318" t="s">
        <v>9299</v>
      </c>
      <c r="G1318">
        <v>0</v>
      </c>
      <c r="H1318">
        <v>0</v>
      </c>
      <c r="I1318" t="s">
        <v>9300</v>
      </c>
      <c r="J1318">
        <v>9500088039</v>
      </c>
      <c r="K1318" t="s">
        <v>9301</v>
      </c>
      <c r="L1318">
        <v>1234</v>
      </c>
      <c r="M1318" s="1">
        <v>43312</v>
      </c>
      <c r="N1318" t="s">
        <v>336</v>
      </c>
      <c r="O1318" t="s">
        <v>483</v>
      </c>
      <c r="P1318">
        <v>2840</v>
      </c>
    </row>
    <row r="1319" spans="1:16" x14ac:dyDescent="0.3">
      <c r="A1319" t="s">
        <v>9302</v>
      </c>
      <c r="B1319" t="s">
        <v>9303</v>
      </c>
      <c r="C1319" t="s">
        <v>7464</v>
      </c>
      <c r="D1319" t="s">
        <v>2087</v>
      </c>
      <c r="E1319" t="s">
        <v>9304</v>
      </c>
      <c r="F1319" t="s">
        <v>9302</v>
      </c>
      <c r="I1319" t="s">
        <v>9305</v>
      </c>
      <c r="J1319">
        <v>9223452289</v>
      </c>
      <c r="K1319" t="s">
        <v>9306</v>
      </c>
      <c r="L1319" t="s">
        <v>9307</v>
      </c>
      <c r="M1319" t="s">
        <v>645</v>
      </c>
      <c r="N1319" t="s">
        <v>16</v>
      </c>
      <c r="O1319" t="s">
        <v>292</v>
      </c>
      <c r="P1319">
        <v>2666</v>
      </c>
    </row>
    <row r="1320" spans="1:16" x14ac:dyDescent="0.3">
      <c r="A1320" t="s">
        <v>9308</v>
      </c>
      <c r="B1320" t="s">
        <v>1824</v>
      </c>
      <c r="C1320" t="s">
        <v>9309</v>
      </c>
      <c r="D1320" t="s">
        <v>9310</v>
      </c>
      <c r="E1320" t="s">
        <v>4344</v>
      </c>
      <c r="F1320" t="s">
        <v>9311</v>
      </c>
      <c r="G1320">
        <v>0</v>
      </c>
      <c r="H1320">
        <v>0</v>
      </c>
      <c r="I1320" t="s">
        <v>9312</v>
      </c>
      <c r="J1320" t="s">
        <v>9313</v>
      </c>
      <c r="K1320" t="s">
        <v>9314</v>
      </c>
      <c r="L1320" t="s">
        <v>9315</v>
      </c>
      <c r="M1320" t="s">
        <v>645</v>
      </c>
      <c r="N1320" t="s">
        <v>779</v>
      </c>
      <c r="O1320" t="s">
        <v>780</v>
      </c>
      <c r="P1320">
        <v>3258</v>
      </c>
    </row>
    <row r="1321" spans="1:16" x14ac:dyDescent="0.3">
      <c r="A1321" t="s">
        <v>9316</v>
      </c>
      <c r="B1321" t="s">
        <v>9317</v>
      </c>
      <c r="C1321" t="s">
        <v>9318</v>
      </c>
      <c r="D1321" t="s">
        <v>3578</v>
      </c>
      <c r="E1321" t="s">
        <v>7283</v>
      </c>
      <c r="F1321" t="s">
        <v>9319</v>
      </c>
      <c r="I1321" t="s">
        <v>4905</v>
      </c>
      <c r="J1321">
        <v>9053915742</v>
      </c>
      <c r="K1321" t="s">
        <v>9320</v>
      </c>
      <c r="L1321">
        <v>1234</v>
      </c>
      <c r="M1321" s="1">
        <v>43220</v>
      </c>
      <c r="N1321" t="s">
        <v>336</v>
      </c>
      <c r="O1321" t="s">
        <v>441</v>
      </c>
      <c r="P1321">
        <v>2993</v>
      </c>
    </row>
    <row r="1322" spans="1:16" x14ac:dyDescent="0.3">
      <c r="A1322" t="s">
        <v>9321</v>
      </c>
      <c r="F1322" t="s">
        <v>9322</v>
      </c>
      <c r="K1322" t="s">
        <v>9323</v>
      </c>
      <c r="L1322">
        <v>1234</v>
      </c>
      <c r="M1322" s="1">
        <v>43251</v>
      </c>
      <c r="N1322" t="s">
        <v>369</v>
      </c>
      <c r="O1322" t="s">
        <v>2181</v>
      </c>
      <c r="P1322">
        <v>2686</v>
      </c>
    </row>
    <row r="1323" spans="1:16" x14ac:dyDescent="0.3">
      <c r="A1323" t="s">
        <v>9324</v>
      </c>
      <c r="B1323" t="s">
        <v>9325</v>
      </c>
      <c r="C1323" t="s">
        <v>9326</v>
      </c>
      <c r="D1323" t="s">
        <v>703</v>
      </c>
      <c r="E1323" t="s">
        <v>2048</v>
      </c>
      <c r="F1323" t="s">
        <v>9327</v>
      </c>
      <c r="G1323">
        <v>0</v>
      </c>
      <c r="H1323">
        <v>0</v>
      </c>
      <c r="I1323" t="s">
        <v>9328</v>
      </c>
      <c r="J1323">
        <v>9123549517</v>
      </c>
      <c r="K1323" t="s">
        <v>9329</v>
      </c>
      <c r="L1323" t="s">
        <v>9330</v>
      </c>
      <c r="M1323" s="1">
        <v>43555</v>
      </c>
      <c r="N1323" t="s">
        <v>16</v>
      </c>
      <c r="O1323" t="s">
        <v>1326</v>
      </c>
      <c r="P1323">
        <v>1812</v>
      </c>
    </row>
    <row r="1324" spans="1:16" x14ac:dyDescent="0.3">
      <c r="A1324" t="s">
        <v>9331</v>
      </c>
      <c r="B1324" t="s">
        <v>9332</v>
      </c>
      <c r="C1324" t="s">
        <v>9333</v>
      </c>
      <c r="D1324" t="s">
        <v>9334</v>
      </c>
      <c r="E1324" t="s">
        <v>793</v>
      </c>
      <c r="F1324" t="s">
        <v>9335</v>
      </c>
      <c r="G1324">
        <v>0</v>
      </c>
      <c r="H1324">
        <v>0</v>
      </c>
      <c r="I1324" t="s">
        <v>9336</v>
      </c>
      <c r="J1324">
        <f>-45-499-5420</f>
        <v>-5964</v>
      </c>
      <c r="K1324" t="s">
        <v>9337</v>
      </c>
      <c r="L1324">
        <v>1234</v>
      </c>
      <c r="M1324" s="1">
        <v>43611</v>
      </c>
      <c r="N1324" t="s">
        <v>398</v>
      </c>
      <c r="O1324" t="s">
        <v>1228</v>
      </c>
      <c r="P1324">
        <v>1656</v>
      </c>
    </row>
    <row r="1325" spans="1:16" x14ac:dyDescent="0.3">
      <c r="A1325" t="s">
        <v>9338</v>
      </c>
      <c r="B1325" t="s">
        <v>272</v>
      </c>
      <c r="C1325" t="s">
        <v>9339</v>
      </c>
      <c r="D1325" t="s">
        <v>9340</v>
      </c>
      <c r="E1325" t="s">
        <v>9341</v>
      </c>
      <c r="F1325" t="s">
        <v>9342</v>
      </c>
      <c r="G1325">
        <v>0</v>
      </c>
      <c r="H1325">
        <v>0</v>
      </c>
      <c r="I1325" t="s">
        <v>9343</v>
      </c>
      <c r="J1325">
        <f>-45- 499-7020</f>
        <v>-7564</v>
      </c>
      <c r="K1325" t="s">
        <v>9344</v>
      </c>
      <c r="L1325">
        <v>1234</v>
      </c>
      <c r="M1325" s="1">
        <v>43131</v>
      </c>
      <c r="N1325" t="s">
        <v>16</v>
      </c>
      <c r="O1325" t="s">
        <v>292</v>
      </c>
      <c r="P1325">
        <v>724</v>
      </c>
    </row>
    <row r="1326" spans="1:16" x14ac:dyDescent="0.3">
      <c r="A1326" t="s">
        <v>9345</v>
      </c>
      <c r="B1326" t="s">
        <v>9346</v>
      </c>
      <c r="C1326" t="s">
        <v>9347</v>
      </c>
      <c r="D1326" t="s">
        <v>9348</v>
      </c>
      <c r="E1326" t="s">
        <v>9349</v>
      </c>
      <c r="F1326" t="s">
        <v>9350</v>
      </c>
      <c r="G1326">
        <v>0</v>
      </c>
      <c r="H1326">
        <v>0</v>
      </c>
      <c r="I1326" t="s">
        <v>9351</v>
      </c>
      <c r="J1326" t="s">
        <v>9352</v>
      </c>
      <c r="K1326" t="s">
        <v>9353</v>
      </c>
      <c r="L1326">
        <v>1234</v>
      </c>
      <c r="M1326" t="s">
        <v>9354</v>
      </c>
      <c r="N1326" t="s">
        <v>1326</v>
      </c>
      <c r="O1326" t="s">
        <v>421</v>
      </c>
      <c r="P1326">
        <v>1745</v>
      </c>
    </row>
    <row r="1327" spans="1:16" x14ac:dyDescent="0.3">
      <c r="A1327" t="s">
        <v>9355</v>
      </c>
      <c r="B1327" t="s">
        <v>4331</v>
      </c>
      <c r="C1327" t="s">
        <v>9356</v>
      </c>
      <c r="D1327" t="s">
        <v>9357</v>
      </c>
      <c r="E1327" t="s">
        <v>9358</v>
      </c>
      <c r="F1327" t="s">
        <v>9359</v>
      </c>
      <c r="G1327">
        <v>0</v>
      </c>
      <c r="H1327">
        <v>0</v>
      </c>
      <c r="I1327" t="s">
        <v>9360</v>
      </c>
      <c r="J1327" t="s">
        <v>9361</v>
      </c>
      <c r="K1327" t="s">
        <v>9362</v>
      </c>
      <c r="L1327">
        <v>1234</v>
      </c>
      <c r="M1327" s="1">
        <v>42978</v>
      </c>
      <c r="N1327" t="s">
        <v>710</v>
      </c>
      <c r="O1327" t="s">
        <v>1932</v>
      </c>
      <c r="P1327">
        <v>2038</v>
      </c>
    </row>
    <row r="1328" spans="1:16" x14ac:dyDescent="0.3">
      <c r="A1328" t="s">
        <v>9363</v>
      </c>
      <c r="B1328" t="s">
        <v>9364</v>
      </c>
      <c r="C1328" t="s">
        <v>9365</v>
      </c>
      <c r="D1328" t="s">
        <v>9366</v>
      </c>
      <c r="E1328" t="s">
        <v>9367</v>
      </c>
      <c r="F1328" t="s">
        <v>9368</v>
      </c>
      <c r="G1328">
        <v>0</v>
      </c>
      <c r="H1328">
        <v>0</v>
      </c>
      <c r="I1328" t="s">
        <v>9369</v>
      </c>
      <c r="J1328" t="s">
        <v>9370</v>
      </c>
      <c r="K1328" t="s">
        <v>9371</v>
      </c>
      <c r="L1328" t="s">
        <v>9372</v>
      </c>
      <c r="M1328" s="1">
        <v>43343</v>
      </c>
      <c r="N1328" t="s">
        <v>9373</v>
      </c>
      <c r="O1328" t="s">
        <v>9374</v>
      </c>
      <c r="P1328">
        <v>2437</v>
      </c>
    </row>
    <row r="1329" spans="1:16" x14ac:dyDescent="0.3">
      <c r="A1329" t="s">
        <v>9375</v>
      </c>
      <c r="B1329" t="s">
        <v>9376</v>
      </c>
      <c r="C1329" t="s">
        <v>9377</v>
      </c>
      <c r="D1329" t="s">
        <v>9378</v>
      </c>
      <c r="E1329" t="s">
        <v>9379</v>
      </c>
      <c r="F1329" t="s">
        <v>9380</v>
      </c>
      <c r="I1329" t="s">
        <v>9381</v>
      </c>
      <c r="J1329" t="s">
        <v>9382</v>
      </c>
      <c r="K1329" t="s">
        <v>9383</v>
      </c>
      <c r="L1329">
        <v>1234</v>
      </c>
      <c r="M1329" t="s">
        <v>645</v>
      </c>
      <c r="N1329" t="s">
        <v>398</v>
      </c>
      <c r="O1329" t="s">
        <v>399</v>
      </c>
      <c r="P1329">
        <v>2763</v>
      </c>
    </row>
    <row r="1330" spans="1:16" x14ac:dyDescent="0.3">
      <c r="A1330" t="s">
        <v>9384</v>
      </c>
      <c r="B1330" t="s">
        <v>9385</v>
      </c>
      <c r="C1330" t="s">
        <v>9386</v>
      </c>
      <c r="D1330" t="s">
        <v>236</v>
      </c>
      <c r="E1330" t="s">
        <v>9387</v>
      </c>
      <c r="F1330" t="s">
        <v>9388</v>
      </c>
      <c r="G1330">
        <v>0</v>
      </c>
      <c r="H1330">
        <v>0</v>
      </c>
      <c r="I1330" t="s">
        <v>9389</v>
      </c>
      <c r="J1330" t="s">
        <v>9390</v>
      </c>
      <c r="K1330" t="s">
        <v>9391</v>
      </c>
      <c r="L1330">
        <v>1234</v>
      </c>
      <c r="M1330" s="1">
        <v>43220</v>
      </c>
      <c r="N1330" t="s">
        <v>369</v>
      </c>
      <c r="O1330" t="s">
        <v>2181</v>
      </c>
      <c r="P1330">
        <v>1613</v>
      </c>
    </row>
    <row r="1331" spans="1:16" x14ac:dyDescent="0.3">
      <c r="A1331" t="s">
        <v>9392</v>
      </c>
      <c r="B1331" t="s">
        <v>5367</v>
      </c>
      <c r="C1331" t="s">
        <v>9393</v>
      </c>
      <c r="D1331" t="s">
        <v>9394</v>
      </c>
      <c r="E1331" t="s">
        <v>867</v>
      </c>
      <c r="F1331" t="s">
        <v>9395</v>
      </c>
      <c r="I1331" t="s">
        <v>9396</v>
      </c>
      <c r="J1331" t="s">
        <v>9397</v>
      </c>
      <c r="K1331" t="s">
        <v>9398</v>
      </c>
      <c r="L1331">
        <v>1234</v>
      </c>
      <c r="M1331" t="s">
        <v>645</v>
      </c>
      <c r="N1331" t="s">
        <v>336</v>
      </c>
      <c r="O1331" t="s">
        <v>441</v>
      </c>
      <c r="P1331">
        <v>1367</v>
      </c>
    </row>
    <row r="1332" spans="1:16" x14ac:dyDescent="0.3">
      <c r="A1332" t="s">
        <v>9399</v>
      </c>
      <c r="B1332" t="s">
        <v>9400</v>
      </c>
      <c r="C1332" t="s">
        <v>9401</v>
      </c>
      <c r="D1332" t="s">
        <v>9402</v>
      </c>
      <c r="E1332" t="s">
        <v>5031</v>
      </c>
      <c r="F1332" t="s">
        <v>9403</v>
      </c>
      <c r="G1332">
        <v>-27.059125784374</v>
      </c>
      <c r="H1332">
        <v>-315</v>
      </c>
      <c r="I1332" t="s">
        <v>9404</v>
      </c>
      <c r="J1332">
        <v>9216942886</v>
      </c>
      <c r="K1332" t="s">
        <v>9405</v>
      </c>
      <c r="L1332">
        <v>1234</v>
      </c>
      <c r="M1332" t="s">
        <v>645</v>
      </c>
      <c r="N1332" t="s">
        <v>710</v>
      </c>
      <c r="O1332" t="s">
        <v>1932</v>
      </c>
      <c r="P1332">
        <v>1499</v>
      </c>
    </row>
    <row r="1333" spans="1:16" x14ac:dyDescent="0.3">
      <c r="A1333" t="s">
        <v>9406</v>
      </c>
      <c r="B1333" t="s">
        <v>9407</v>
      </c>
      <c r="C1333" t="s">
        <v>9408</v>
      </c>
      <c r="D1333" t="s">
        <v>9409</v>
      </c>
      <c r="E1333" t="s">
        <v>9410</v>
      </c>
      <c r="F1333" t="s">
        <v>9411</v>
      </c>
      <c r="I1333" t="s">
        <v>9412</v>
      </c>
      <c r="J1333" t="s">
        <v>9413</v>
      </c>
      <c r="K1333" t="s">
        <v>9414</v>
      </c>
      <c r="L1333">
        <v>1234</v>
      </c>
      <c r="M1333" t="s">
        <v>4446</v>
      </c>
      <c r="N1333" t="s">
        <v>398</v>
      </c>
      <c r="O1333" t="s">
        <v>399</v>
      </c>
      <c r="P1333">
        <v>2162</v>
      </c>
    </row>
    <row r="1334" spans="1:16" x14ac:dyDescent="0.3">
      <c r="A1334" t="s">
        <v>9415</v>
      </c>
      <c r="B1334" t="s">
        <v>2701</v>
      </c>
      <c r="C1334" t="s">
        <v>4079</v>
      </c>
      <c r="D1334" t="s">
        <v>9416</v>
      </c>
      <c r="E1334" t="s">
        <v>793</v>
      </c>
      <c r="F1334" t="s">
        <v>9417</v>
      </c>
      <c r="G1334">
        <v>0</v>
      </c>
      <c r="H1334">
        <v>0</v>
      </c>
      <c r="I1334" t="s">
        <v>9418</v>
      </c>
      <c r="J1334">
        <v>9176312973</v>
      </c>
      <c r="K1334" t="s">
        <v>9419</v>
      </c>
      <c r="L1334" t="s">
        <v>9420</v>
      </c>
      <c r="M1334" t="s">
        <v>645</v>
      </c>
      <c r="N1334" t="s">
        <v>336</v>
      </c>
      <c r="O1334" t="s">
        <v>515</v>
      </c>
      <c r="P1334">
        <v>2490</v>
      </c>
    </row>
    <row r="1335" spans="1:16" x14ac:dyDescent="0.3">
      <c r="A1335" t="s">
        <v>9421</v>
      </c>
      <c r="B1335" t="s">
        <v>2080</v>
      </c>
      <c r="C1335" t="s">
        <v>3776</v>
      </c>
      <c r="D1335" t="s">
        <v>236</v>
      </c>
      <c r="E1335" t="s">
        <v>793</v>
      </c>
      <c r="F1335" t="s">
        <v>9422</v>
      </c>
      <c r="G1335">
        <v>0</v>
      </c>
      <c r="H1335">
        <v>0</v>
      </c>
      <c r="I1335" t="s">
        <v>9423</v>
      </c>
      <c r="J1335" t="s">
        <v>9424</v>
      </c>
      <c r="K1335" t="s">
        <v>9425</v>
      </c>
      <c r="L1335">
        <v>1234</v>
      </c>
      <c r="M1335" s="1">
        <v>43069</v>
      </c>
      <c r="N1335" t="s">
        <v>304</v>
      </c>
      <c r="O1335" t="s">
        <v>305</v>
      </c>
      <c r="P1335">
        <v>1284</v>
      </c>
    </row>
    <row r="1336" spans="1:16" x14ac:dyDescent="0.3">
      <c r="A1336" t="s">
        <v>9426</v>
      </c>
      <c r="B1336" t="s">
        <v>222</v>
      </c>
      <c r="C1336" t="s">
        <v>9427</v>
      </c>
      <c r="D1336" t="s">
        <v>2682</v>
      </c>
      <c r="E1336" t="s">
        <v>9428</v>
      </c>
      <c r="F1336" t="s">
        <v>9429</v>
      </c>
      <c r="G1336">
        <v>0</v>
      </c>
      <c r="H1336">
        <v>0</v>
      </c>
      <c r="I1336" t="s">
        <v>9430</v>
      </c>
      <c r="J1336" t="s">
        <v>9431</v>
      </c>
      <c r="K1336" t="s">
        <v>9432</v>
      </c>
      <c r="L1336">
        <v>1234</v>
      </c>
      <c r="M1336" t="s">
        <v>645</v>
      </c>
      <c r="N1336" t="s">
        <v>398</v>
      </c>
      <c r="O1336" t="s">
        <v>1161</v>
      </c>
      <c r="P1336">
        <v>1847</v>
      </c>
    </row>
    <row r="1337" spans="1:16" x14ac:dyDescent="0.3">
      <c r="A1337" t="s">
        <v>9433</v>
      </c>
      <c r="B1337" t="s">
        <v>426</v>
      </c>
      <c r="C1337" t="s">
        <v>9434</v>
      </c>
      <c r="D1337" t="s">
        <v>9435</v>
      </c>
      <c r="E1337" t="s">
        <v>2151</v>
      </c>
      <c r="F1337" t="s">
        <v>9436</v>
      </c>
      <c r="G1337">
        <v>0</v>
      </c>
      <c r="H1337">
        <v>0</v>
      </c>
      <c r="I1337" t="s">
        <v>9437</v>
      </c>
      <c r="J1337">
        <f>-45- 499-5594</f>
        <v>-6138</v>
      </c>
      <c r="K1337" t="s">
        <v>9438</v>
      </c>
      <c r="L1337" t="s">
        <v>9439</v>
      </c>
      <c r="M1337" s="1">
        <v>42681</v>
      </c>
      <c r="N1337" t="s">
        <v>710</v>
      </c>
      <c r="O1337" t="s">
        <v>1932</v>
      </c>
      <c r="P1337">
        <v>1246</v>
      </c>
    </row>
    <row r="1338" spans="1:16" x14ac:dyDescent="0.3">
      <c r="A1338" t="s">
        <v>9440</v>
      </c>
      <c r="B1338" t="s">
        <v>2589</v>
      </c>
      <c r="C1338" t="s">
        <v>9441</v>
      </c>
      <c r="D1338" t="s">
        <v>9442</v>
      </c>
      <c r="E1338" t="s">
        <v>9443</v>
      </c>
      <c r="F1338" t="s">
        <v>9444</v>
      </c>
      <c r="G1338">
        <v>0</v>
      </c>
      <c r="H1338">
        <v>0</v>
      </c>
      <c r="I1338" t="s">
        <v>645</v>
      </c>
      <c r="J1338" t="s">
        <v>9445</v>
      </c>
      <c r="K1338" t="s">
        <v>9446</v>
      </c>
      <c r="L1338">
        <v>1234</v>
      </c>
      <c r="M1338" t="s">
        <v>645</v>
      </c>
      <c r="N1338" t="s">
        <v>336</v>
      </c>
      <c r="O1338" t="s">
        <v>441</v>
      </c>
      <c r="P1338">
        <v>2712</v>
      </c>
    </row>
    <row r="1339" spans="1:16" x14ac:dyDescent="0.3">
      <c r="A1339" t="s">
        <v>9447</v>
      </c>
      <c r="B1339" t="s">
        <v>2804</v>
      </c>
      <c r="C1339" t="s">
        <v>9448</v>
      </c>
      <c r="D1339" t="s">
        <v>9449</v>
      </c>
      <c r="E1339" t="s">
        <v>77</v>
      </c>
      <c r="F1339" t="s">
        <v>9450</v>
      </c>
      <c r="G1339">
        <v>0</v>
      </c>
      <c r="H1339">
        <v>0</v>
      </c>
      <c r="I1339" t="s">
        <v>9451</v>
      </c>
      <c r="J1339" t="s">
        <v>9452</v>
      </c>
      <c r="K1339" t="s">
        <v>9453</v>
      </c>
      <c r="L1339">
        <v>1234</v>
      </c>
      <c r="M1339" t="s">
        <v>645</v>
      </c>
      <c r="N1339" t="s">
        <v>369</v>
      </c>
      <c r="O1339" t="s">
        <v>2181</v>
      </c>
      <c r="P1339">
        <v>3408</v>
      </c>
    </row>
    <row r="1340" spans="1:16" x14ac:dyDescent="0.3">
      <c r="A1340" t="s">
        <v>9454</v>
      </c>
      <c r="B1340" t="s">
        <v>1230</v>
      </c>
      <c r="C1340" t="s">
        <v>9455</v>
      </c>
      <c r="D1340" t="s">
        <v>9456</v>
      </c>
      <c r="E1340" t="s">
        <v>9457</v>
      </c>
      <c r="F1340" t="s">
        <v>9458</v>
      </c>
      <c r="G1340">
        <v>0</v>
      </c>
      <c r="H1340">
        <v>0</v>
      </c>
      <c r="I1340" t="s">
        <v>9459</v>
      </c>
      <c r="J1340">
        <v>9555646816</v>
      </c>
      <c r="K1340" t="s">
        <v>9460</v>
      </c>
      <c r="L1340">
        <v>3012021</v>
      </c>
      <c r="M1340" t="s">
        <v>645</v>
      </c>
      <c r="N1340" t="s">
        <v>16</v>
      </c>
      <c r="O1340" t="s">
        <v>292</v>
      </c>
      <c r="P1340">
        <v>3145</v>
      </c>
    </row>
    <row r="1341" spans="1:16" x14ac:dyDescent="0.3">
      <c r="A1341" t="s">
        <v>9461</v>
      </c>
      <c r="B1341" t="s">
        <v>603</v>
      </c>
      <c r="C1341" t="s">
        <v>1808</v>
      </c>
      <c r="D1341" t="s">
        <v>1483</v>
      </c>
      <c r="E1341" t="s">
        <v>9462</v>
      </c>
      <c r="F1341" t="s">
        <v>9463</v>
      </c>
      <c r="G1341">
        <v>0</v>
      </c>
      <c r="H1341">
        <v>0</v>
      </c>
      <c r="I1341" t="s">
        <v>9464</v>
      </c>
      <c r="J1341" t="s">
        <v>9465</v>
      </c>
      <c r="K1341" t="s">
        <v>9466</v>
      </c>
      <c r="L1341">
        <v>1234</v>
      </c>
      <c r="M1341" t="s">
        <v>645</v>
      </c>
      <c r="N1341" t="s">
        <v>16</v>
      </c>
      <c r="O1341" t="s">
        <v>292</v>
      </c>
      <c r="P1341">
        <v>970</v>
      </c>
    </row>
    <row r="1342" spans="1:16" x14ac:dyDescent="0.3">
      <c r="A1342" t="s">
        <v>9467</v>
      </c>
      <c r="B1342" t="s">
        <v>341</v>
      </c>
      <c r="C1342" t="s">
        <v>9468</v>
      </c>
      <c r="D1342" t="s">
        <v>2804</v>
      </c>
      <c r="E1342" t="s">
        <v>5153</v>
      </c>
      <c r="F1342" t="s">
        <v>9469</v>
      </c>
      <c r="G1342">
        <v>0</v>
      </c>
      <c r="H1342">
        <v>0</v>
      </c>
      <c r="I1342" t="s">
        <v>9470</v>
      </c>
      <c r="J1342">
        <v>9989311200</v>
      </c>
      <c r="K1342" t="s">
        <v>9471</v>
      </c>
      <c r="L1342">
        <v>1234</v>
      </c>
      <c r="M1342" t="s">
        <v>645</v>
      </c>
      <c r="N1342" t="s">
        <v>336</v>
      </c>
      <c r="O1342" t="s">
        <v>515</v>
      </c>
      <c r="P1342">
        <v>1574</v>
      </c>
    </row>
    <row r="1343" spans="1:16" x14ac:dyDescent="0.3">
      <c r="A1343" t="s">
        <v>9472</v>
      </c>
      <c r="B1343" t="s">
        <v>2336</v>
      </c>
      <c r="C1343" t="s">
        <v>9473</v>
      </c>
      <c r="D1343" t="s">
        <v>9474</v>
      </c>
      <c r="E1343" t="s">
        <v>2160</v>
      </c>
      <c r="F1343" t="s">
        <v>9475</v>
      </c>
      <c r="G1343">
        <v>0</v>
      </c>
      <c r="H1343">
        <v>0</v>
      </c>
      <c r="I1343" t="s">
        <v>9476</v>
      </c>
      <c r="J1343" t="s">
        <v>9477</v>
      </c>
      <c r="K1343" t="s">
        <v>9478</v>
      </c>
      <c r="L1343">
        <v>1234</v>
      </c>
      <c r="M1343" s="1">
        <v>42947</v>
      </c>
      <c r="N1343" t="s">
        <v>16</v>
      </c>
      <c r="O1343" t="s">
        <v>9479</v>
      </c>
      <c r="P1343">
        <v>1185</v>
      </c>
    </row>
    <row r="1344" spans="1:16" x14ac:dyDescent="0.3">
      <c r="A1344" t="s">
        <v>9480</v>
      </c>
      <c r="B1344" t="s">
        <v>9481</v>
      </c>
      <c r="C1344" t="s">
        <v>9482</v>
      </c>
      <c r="D1344" t="s">
        <v>9483</v>
      </c>
      <c r="E1344" t="s">
        <v>3153</v>
      </c>
      <c r="F1344" t="s">
        <v>9484</v>
      </c>
      <c r="G1344">
        <v>0</v>
      </c>
      <c r="H1344">
        <v>0</v>
      </c>
      <c r="I1344" t="s">
        <v>9485</v>
      </c>
      <c r="J1344">
        <v>639123582150</v>
      </c>
      <c r="K1344" t="s">
        <v>9486</v>
      </c>
      <c r="L1344">
        <v>1234</v>
      </c>
      <c r="M1344" t="s">
        <v>645</v>
      </c>
      <c r="N1344" t="s">
        <v>336</v>
      </c>
      <c r="O1344" t="s">
        <v>441</v>
      </c>
      <c r="P1344">
        <v>3456</v>
      </c>
    </row>
    <row r="1345" spans="1:16" x14ac:dyDescent="0.3">
      <c r="A1345" t="s">
        <v>9487</v>
      </c>
      <c r="B1345" t="s">
        <v>351</v>
      </c>
      <c r="C1345" t="s">
        <v>9488</v>
      </c>
      <c r="D1345" t="s">
        <v>9489</v>
      </c>
      <c r="E1345" t="s">
        <v>9490</v>
      </c>
      <c r="F1345" t="s">
        <v>9491</v>
      </c>
      <c r="G1345">
        <v>15.1798376709762</v>
      </c>
      <c r="H1345">
        <v>120.550746917724</v>
      </c>
      <c r="I1345" t="s">
        <v>9492</v>
      </c>
      <c r="J1345">
        <v>9158943438</v>
      </c>
      <c r="K1345" t="s">
        <v>9493</v>
      </c>
      <c r="L1345">
        <v>1234</v>
      </c>
      <c r="M1345" t="s">
        <v>645</v>
      </c>
      <c r="N1345" t="s">
        <v>6144</v>
      </c>
      <c r="O1345" t="s">
        <v>1628</v>
      </c>
      <c r="P1345">
        <v>2578</v>
      </c>
    </row>
    <row r="1346" spans="1:16" x14ac:dyDescent="0.3">
      <c r="A1346" t="s">
        <v>9494</v>
      </c>
      <c r="B1346" t="s">
        <v>974</v>
      </c>
      <c r="C1346" t="s">
        <v>9495</v>
      </c>
      <c r="D1346" t="s">
        <v>1152</v>
      </c>
      <c r="E1346" t="s">
        <v>9496</v>
      </c>
      <c r="F1346" t="s">
        <v>9497</v>
      </c>
      <c r="G1346">
        <v>15.197501696971001</v>
      </c>
      <c r="H1346">
        <v>120.559480190277</v>
      </c>
      <c r="I1346" t="s">
        <v>9498</v>
      </c>
      <c r="J1346">
        <f>-45-499-1665</f>
        <v>-2209</v>
      </c>
      <c r="K1346" t="s">
        <v>9499</v>
      </c>
      <c r="L1346">
        <v>1234</v>
      </c>
      <c r="M1346" s="1">
        <v>43069</v>
      </c>
      <c r="N1346" t="s">
        <v>9500</v>
      </c>
      <c r="O1346" t="s">
        <v>515</v>
      </c>
      <c r="P1346">
        <v>1332</v>
      </c>
    </row>
    <row r="1347" spans="1:16" x14ac:dyDescent="0.3">
      <c r="A1347" t="s">
        <v>9501</v>
      </c>
      <c r="B1347" t="s">
        <v>1145</v>
      </c>
      <c r="C1347" t="s">
        <v>1975</v>
      </c>
      <c r="D1347" t="s">
        <v>1976</v>
      </c>
      <c r="E1347" t="s">
        <v>1062</v>
      </c>
      <c r="F1347" t="s">
        <v>9502</v>
      </c>
      <c r="I1347" t="s">
        <v>9249</v>
      </c>
      <c r="J1347" t="s">
        <v>9503</v>
      </c>
      <c r="K1347" t="s">
        <v>9504</v>
      </c>
      <c r="L1347">
        <v>1004</v>
      </c>
      <c r="M1347" t="s">
        <v>645</v>
      </c>
      <c r="N1347" t="s">
        <v>398</v>
      </c>
      <c r="O1347" t="s">
        <v>582</v>
      </c>
      <c r="P1347">
        <v>2744</v>
      </c>
    </row>
    <row r="1348" spans="1:16" x14ac:dyDescent="0.3">
      <c r="A1348" t="s">
        <v>9505</v>
      </c>
      <c r="B1348" t="s">
        <v>4745</v>
      </c>
      <c r="C1348" t="s">
        <v>4746</v>
      </c>
      <c r="D1348" t="s">
        <v>1709</v>
      </c>
      <c r="E1348" t="s">
        <v>1985</v>
      </c>
      <c r="F1348" t="s">
        <v>9506</v>
      </c>
      <c r="G1348">
        <v>0</v>
      </c>
      <c r="H1348">
        <v>0</v>
      </c>
      <c r="I1348" t="s">
        <v>4748</v>
      </c>
      <c r="J1348" t="s">
        <v>9507</v>
      </c>
      <c r="K1348" t="s">
        <v>9508</v>
      </c>
      <c r="L1348">
        <v>1234</v>
      </c>
      <c r="M1348" s="1">
        <v>43114</v>
      </c>
      <c r="N1348" t="s">
        <v>16</v>
      </c>
      <c r="O1348" t="s">
        <v>421</v>
      </c>
      <c r="P1348">
        <v>2100</v>
      </c>
    </row>
    <row r="1349" spans="1:16" x14ac:dyDescent="0.3">
      <c r="A1349" t="s">
        <v>9509</v>
      </c>
      <c r="B1349" t="s">
        <v>8632</v>
      </c>
      <c r="C1349" t="s">
        <v>2735</v>
      </c>
      <c r="D1349" t="s">
        <v>2919</v>
      </c>
      <c r="E1349" t="s">
        <v>698</v>
      </c>
      <c r="F1349" t="s">
        <v>9510</v>
      </c>
      <c r="G1349">
        <v>0</v>
      </c>
      <c r="H1349">
        <v>0</v>
      </c>
      <c r="I1349" t="s">
        <v>9511</v>
      </c>
      <c r="J1349" t="s">
        <v>9512</v>
      </c>
      <c r="K1349" t="s">
        <v>9513</v>
      </c>
      <c r="L1349">
        <v>1234</v>
      </c>
      <c r="M1349" t="s">
        <v>645</v>
      </c>
      <c r="N1349" t="s">
        <v>336</v>
      </c>
      <c r="O1349" t="s">
        <v>515</v>
      </c>
      <c r="P1349">
        <v>2662</v>
      </c>
    </row>
    <row r="1350" spans="1:16" x14ac:dyDescent="0.3">
      <c r="A1350" t="s">
        <v>9514</v>
      </c>
      <c r="B1350" t="s">
        <v>9515</v>
      </c>
      <c r="C1350" t="s">
        <v>1908</v>
      </c>
      <c r="D1350" t="s">
        <v>2561</v>
      </c>
      <c r="E1350" t="s">
        <v>3197</v>
      </c>
      <c r="F1350" t="s">
        <v>9516</v>
      </c>
      <c r="G1350">
        <v>0</v>
      </c>
      <c r="H1350">
        <v>0</v>
      </c>
      <c r="I1350" t="s">
        <v>9517</v>
      </c>
      <c r="J1350">
        <f>-45- 499 - 3209</f>
        <v>-3753</v>
      </c>
      <c r="K1350" t="s">
        <v>9518</v>
      </c>
      <c r="L1350" t="s">
        <v>9519</v>
      </c>
      <c r="M1350" s="1">
        <v>42974</v>
      </c>
      <c r="N1350" t="s">
        <v>16</v>
      </c>
      <c r="O1350" t="s">
        <v>17</v>
      </c>
      <c r="P1350">
        <v>1950</v>
      </c>
    </row>
    <row r="1351" spans="1:16" x14ac:dyDescent="0.3">
      <c r="A1351" t="s">
        <v>9520</v>
      </c>
      <c r="B1351" t="s">
        <v>9521</v>
      </c>
      <c r="C1351" t="s">
        <v>9522</v>
      </c>
      <c r="D1351" t="s">
        <v>9523</v>
      </c>
      <c r="E1351" t="s">
        <v>9524</v>
      </c>
      <c r="F1351" t="s">
        <v>9525</v>
      </c>
      <c r="I1351" t="s">
        <v>9526</v>
      </c>
      <c r="J1351" t="s">
        <v>9527</v>
      </c>
      <c r="K1351" t="s">
        <v>9528</v>
      </c>
      <c r="L1351">
        <v>1234</v>
      </c>
      <c r="M1351" t="s">
        <v>645</v>
      </c>
      <c r="N1351" t="s">
        <v>336</v>
      </c>
      <c r="O1351" t="s">
        <v>337</v>
      </c>
      <c r="P1351">
        <v>2656</v>
      </c>
    </row>
    <row r="1352" spans="1:16" x14ac:dyDescent="0.3">
      <c r="A1352" t="s">
        <v>9529</v>
      </c>
      <c r="B1352" t="s">
        <v>9530</v>
      </c>
      <c r="C1352" t="s">
        <v>9531</v>
      </c>
      <c r="D1352" t="s">
        <v>7167</v>
      </c>
      <c r="E1352" t="s">
        <v>9532</v>
      </c>
      <c r="F1352" t="s">
        <v>9533</v>
      </c>
      <c r="I1352" t="s">
        <v>9534</v>
      </c>
      <c r="J1352" t="s">
        <v>9535</v>
      </c>
      <c r="K1352" t="s">
        <v>9536</v>
      </c>
      <c r="L1352">
        <v>1234</v>
      </c>
      <c r="M1352" t="s">
        <v>9537</v>
      </c>
      <c r="N1352" t="s">
        <v>779</v>
      </c>
      <c r="O1352" t="s">
        <v>780</v>
      </c>
      <c r="P1352">
        <v>2099</v>
      </c>
    </row>
    <row r="1353" spans="1:16" x14ac:dyDescent="0.3">
      <c r="A1353" t="s">
        <v>9538</v>
      </c>
      <c r="B1353" t="s">
        <v>9539</v>
      </c>
      <c r="C1353" t="s">
        <v>9540</v>
      </c>
      <c r="D1353" t="s">
        <v>6320</v>
      </c>
      <c r="E1353" t="s">
        <v>9541</v>
      </c>
      <c r="F1353" t="s">
        <v>9542</v>
      </c>
      <c r="I1353" t="s">
        <v>9543</v>
      </c>
      <c r="J1353" t="s">
        <v>9544</v>
      </c>
      <c r="K1353" t="s">
        <v>9545</v>
      </c>
      <c r="L1353">
        <v>1234</v>
      </c>
      <c r="M1353" s="1">
        <v>43538</v>
      </c>
      <c r="N1353" t="s">
        <v>763</v>
      </c>
      <c r="O1353" t="s">
        <v>9546</v>
      </c>
      <c r="P1353">
        <v>600</v>
      </c>
    </row>
    <row r="1354" spans="1:16" x14ac:dyDescent="0.3">
      <c r="A1354" t="s">
        <v>9547</v>
      </c>
      <c r="B1354" t="s">
        <v>9548</v>
      </c>
      <c r="C1354" t="s">
        <v>9549</v>
      </c>
      <c r="D1354" t="s">
        <v>703</v>
      </c>
      <c r="E1354" t="s">
        <v>262</v>
      </c>
      <c r="F1354" t="s">
        <v>9550</v>
      </c>
      <c r="I1354" t="s">
        <v>9551</v>
      </c>
      <c r="J1354" t="s">
        <v>9552</v>
      </c>
      <c r="K1354" t="s">
        <v>9553</v>
      </c>
      <c r="L1354">
        <v>1234</v>
      </c>
      <c r="M1354" t="s">
        <v>645</v>
      </c>
      <c r="N1354" t="s">
        <v>16</v>
      </c>
      <c r="O1354" t="s">
        <v>2641</v>
      </c>
      <c r="P1354">
        <v>2413</v>
      </c>
    </row>
    <row r="1355" spans="1:16" x14ac:dyDescent="0.3">
      <c r="A1355" t="s">
        <v>9554</v>
      </c>
      <c r="B1355" t="s">
        <v>9555</v>
      </c>
      <c r="C1355" t="s">
        <v>9556</v>
      </c>
      <c r="D1355" t="s">
        <v>622</v>
      </c>
      <c r="E1355" t="s">
        <v>5153</v>
      </c>
      <c r="F1355" t="s">
        <v>9557</v>
      </c>
      <c r="I1355" t="s">
        <v>9558</v>
      </c>
      <c r="J1355" t="s">
        <v>9559</v>
      </c>
      <c r="K1355" t="s">
        <v>9560</v>
      </c>
      <c r="L1355">
        <v>1234</v>
      </c>
      <c r="M1355" t="s">
        <v>645</v>
      </c>
      <c r="N1355" t="s">
        <v>398</v>
      </c>
      <c r="O1355" t="s">
        <v>582</v>
      </c>
      <c r="P1355">
        <v>2739</v>
      </c>
    </row>
    <row r="1356" spans="1:16" x14ac:dyDescent="0.3">
      <c r="A1356" t="s">
        <v>9561</v>
      </c>
      <c r="B1356" t="s">
        <v>723</v>
      </c>
      <c r="C1356" t="s">
        <v>123</v>
      </c>
      <c r="D1356" t="s">
        <v>2666</v>
      </c>
      <c r="E1356" t="s">
        <v>1276</v>
      </c>
      <c r="F1356" t="s">
        <v>9562</v>
      </c>
      <c r="I1356" t="s">
        <v>9563</v>
      </c>
      <c r="J1356" t="s">
        <v>9564</v>
      </c>
      <c r="K1356" t="s">
        <v>9565</v>
      </c>
      <c r="L1356">
        <v>1234</v>
      </c>
      <c r="M1356" t="s">
        <v>645</v>
      </c>
      <c r="N1356" t="s">
        <v>398</v>
      </c>
      <c r="O1356" t="s">
        <v>5839</v>
      </c>
      <c r="P1356">
        <v>3404</v>
      </c>
    </row>
    <row r="1357" spans="1:16" x14ac:dyDescent="0.3">
      <c r="A1357" t="s">
        <v>9566</v>
      </c>
      <c r="B1357" t="s">
        <v>2488</v>
      </c>
      <c r="C1357" t="s">
        <v>9567</v>
      </c>
      <c r="D1357" t="s">
        <v>9568</v>
      </c>
      <c r="E1357" t="s">
        <v>286</v>
      </c>
      <c r="F1357" t="s">
        <v>9569</v>
      </c>
      <c r="G1357">
        <v>1.28746032709862E-4</v>
      </c>
      <c r="H1357">
        <v>2.7894973754882802E-4</v>
      </c>
      <c r="I1357" t="s">
        <v>9570</v>
      </c>
      <c r="J1357" t="s">
        <v>9571</v>
      </c>
      <c r="K1357" t="s">
        <v>9572</v>
      </c>
      <c r="L1357">
        <v>1234</v>
      </c>
      <c r="M1357" t="s">
        <v>645</v>
      </c>
      <c r="N1357" t="s">
        <v>398</v>
      </c>
      <c r="O1357" t="s">
        <v>2952</v>
      </c>
      <c r="P1357">
        <v>3448</v>
      </c>
    </row>
    <row r="1358" spans="1:16" x14ac:dyDescent="0.3">
      <c r="A1358" t="s">
        <v>9573</v>
      </c>
      <c r="B1358" t="s">
        <v>9574</v>
      </c>
      <c r="C1358" t="s">
        <v>9575</v>
      </c>
      <c r="D1358" t="s">
        <v>9576</v>
      </c>
      <c r="E1358" t="s">
        <v>793</v>
      </c>
      <c r="F1358" t="s">
        <v>9577</v>
      </c>
      <c r="G1358">
        <v>0</v>
      </c>
      <c r="H1358">
        <v>0</v>
      </c>
      <c r="I1358" t="s">
        <v>9578</v>
      </c>
      <c r="J1358" t="s">
        <v>9579</v>
      </c>
      <c r="K1358" t="s">
        <v>9580</v>
      </c>
      <c r="L1358">
        <v>1234</v>
      </c>
      <c r="M1358" t="s">
        <v>645</v>
      </c>
      <c r="N1358" t="s">
        <v>398</v>
      </c>
      <c r="O1358" t="s">
        <v>1104</v>
      </c>
      <c r="P1358">
        <v>3496</v>
      </c>
    </row>
    <row r="1359" spans="1:16" x14ac:dyDescent="0.3">
      <c r="A1359" t="s">
        <v>9581</v>
      </c>
      <c r="B1359" t="s">
        <v>236</v>
      </c>
      <c r="C1359" t="s">
        <v>9582</v>
      </c>
      <c r="D1359" t="s">
        <v>9583</v>
      </c>
      <c r="E1359" t="s">
        <v>2601</v>
      </c>
      <c r="F1359" t="s">
        <v>9584</v>
      </c>
      <c r="K1359" t="s">
        <v>9585</v>
      </c>
      <c r="L1359" t="s">
        <v>9586</v>
      </c>
      <c r="M1359" t="s">
        <v>645</v>
      </c>
      <c r="N1359" t="s">
        <v>336</v>
      </c>
      <c r="O1359" t="s">
        <v>515</v>
      </c>
      <c r="P1359">
        <v>3429</v>
      </c>
    </row>
    <row r="1360" spans="1:16" x14ac:dyDescent="0.3">
      <c r="A1360" t="s">
        <v>9587</v>
      </c>
      <c r="B1360" t="s">
        <v>5740</v>
      </c>
      <c r="C1360" t="s">
        <v>7328</v>
      </c>
      <c r="D1360" t="s">
        <v>3354</v>
      </c>
      <c r="E1360" t="s">
        <v>1985</v>
      </c>
      <c r="F1360" t="s">
        <v>9588</v>
      </c>
      <c r="G1360">
        <v>0</v>
      </c>
      <c r="H1360">
        <v>0</v>
      </c>
      <c r="I1360" t="s">
        <v>9589</v>
      </c>
      <c r="J1360">
        <v>9499940194</v>
      </c>
      <c r="K1360" t="s">
        <v>9590</v>
      </c>
      <c r="L1360">
        <v>1234</v>
      </c>
      <c r="M1360" t="s">
        <v>645</v>
      </c>
      <c r="N1360" t="s">
        <v>398</v>
      </c>
      <c r="O1360" t="s">
        <v>853</v>
      </c>
      <c r="P1360">
        <v>3477</v>
      </c>
    </row>
    <row r="1361" spans="1:17" x14ac:dyDescent="0.3">
      <c r="A1361" t="s">
        <v>9591</v>
      </c>
      <c r="B1361" t="s">
        <v>8186</v>
      </c>
      <c r="C1361" t="s">
        <v>8187</v>
      </c>
      <c r="D1361" t="s">
        <v>8188</v>
      </c>
      <c r="E1361" t="s">
        <v>3792</v>
      </c>
      <c r="F1361" t="s">
        <v>7241</v>
      </c>
      <c r="I1361" t="s">
        <v>7370</v>
      </c>
      <c r="J1361" t="s">
        <v>8534</v>
      </c>
      <c r="K1361" t="s">
        <v>9592</v>
      </c>
      <c r="L1361">
        <v>1234</v>
      </c>
      <c r="M1361" t="s">
        <v>645</v>
      </c>
      <c r="N1361" t="s">
        <v>336</v>
      </c>
      <c r="O1361" t="s">
        <v>5134</v>
      </c>
      <c r="P1361">
        <v>3455</v>
      </c>
    </row>
    <row r="1362" spans="1:17" x14ac:dyDescent="0.3">
      <c r="A1362" t="s">
        <v>9593</v>
      </c>
      <c r="B1362" t="s">
        <v>9594</v>
      </c>
      <c r="C1362" t="s">
        <v>8240</v>
      </c>
      <c r="D1362" t="s">
        <v>1907</v>
      </c>
      <c r="E1362" t="s">
        <v>9595</v>
      </c>
      <c r="F1362" t="s">
        <v>9596</v>
      </c>
      <c r="G1362">
        <v>15.182126001532399</v>
      </c>
      <c r="H1362">
        <v>120.574693679809</v>
      </c>
      <c r="I1362" t="s">
        <v>9597</v>
      </c>
      <c r="J1362">
        <v>9338139263</v>
      </c>
      <c r="K1362" t="s">
        <v>9598</v>
      </c>
      <c r="L1362" t="s">
        <v>9599</v>
      </c>
      <c r="M1362" t="s">
        <v>645</v>
      </c>
      <c r="N1362" t="s">
        <v>398</v>
      </c>
      <c r="O1362" t="s">
        <v>1228</v>
      </c>
      <c r="P1362">
        <v>2812</v>
      </c>
      <c r="Q1362" t="s">
        <v>9600</v>
      </c>
    </row>
    <row r="1363" spans="1:17" x14ac:dyDescent="0.3">
      <c r="A1363" t="s">
        <v>9601</v>
      </c>
      <c r="B1363" t="s">
        <v>9515</v>
      </c>
      <c r="C1363" t="s">
        <v>9602</v>
      </c>
      <c r="E1363" t="s">
        <v>3723</v>
      </c>
      <c r="F1363" t="s">
        <v>9603</v>
      </c>
      <c r="I1363" t="s">
        <v>9604</v>
      </c>
      <c r="J1363" t="s">
        <v>9605</v>
      </c>
      <c r="K1363" t="s">
        <v>9606</v>
      </c>
      <c r="L1363">
        <v>1234</v>
      </c>
      <c r="M1363" t="s">
        <v>645</v>
      </c>
      <c r="N1363" t="s">
        <v>369</v>
      </c>
      <c r="P1363">
        <v>3492</v>
      </c>
    </row>
    <row r="1364" spans="1:17" x14ac:dyDescent="0.3">
      <c r="A1364" t="s">
        <v>9607</v>
      </c>
      <c r="B1364" t="s">
        <v>9608</v>
      </c>
      <c r="C1364" t="s">
        <v>9609</v>
      </c>
      <c r="D1364" t="s">
        <v>5818</v>
      </c>
      <c r="E1364" t="s">
        <v>1276</v>
      </c>
      <c r="F1364" t="s">
        <v>9610</v>
      </c>
      <c r="G1364">
        <v>0</v>
      </c>
      <c r="H1364">
        <v>0</v>
      </c>
      <c r="I1364" t="s">
        <v>9611</v>
      </c>
      <c r="J1364" t="s">
        <v>9612</v>
      </c>
      <c r="K1364" t="s">
        <v>9613</v>
      </c>
      <c r="L1364">
        <v>1234</v>
      </c>
      <c r="M1364" t="s">
        <v>645</v>
      </c>
      <c r="N1364" t="s">
        <v>398</v>
      </c>
      <c r="O1364" t="s">
        <v>685</v>
      </c>
      <c r="P1364">
        <v>3446</v>
      </c>
    </row>
    <row r="1365" spans="1:17" x14ac:dyDescent="0.3">
      <c r="A1365" t="s">
        <v>9614</v>
      </c>
      <c r="B1365" t="s">
        <v>9615</v>
      </c>
      <c r="C1365" t="s">
        <v>9616</v>
      </c>
      <c r="D1365" t="s">
        <v>622</v>
      </c>
      <c r="E1365" t="s">
        <v>1276</v>
      </c>
      <c r="F1365" t="s">
        <v>7207</v>
      </c>
      <c r="G1365">
        <v>15.172732999999999</v>
      </c>
      <c r="H1365">
        <v>120.535972</v>
      </c>
      <c r="I1365" t="s">
        <v>9617</v>
      </c>
      <c r="J1365" t="s">
        <v>9618</v>
      </c>
      <c r="K1365" t="s">
        <v>9619</v>
      </c>
      <c r="L1365" t="s">
        <v>9620</v>
      </c>
      <c r="M1365" t="s">
        <v>645</v>
      </c>
      <c r="N1365" t="s">
        <v>398</v>
      </c>
      <c r="O1365" t="s">
        <v>853</v>
      </c>
      <c r="P1365">
        <v>3498</v>
      </c>
    </row>
    <row r="1366" spans="1:17" x14ac:dyDescent="0.3">
      <c r="A1366" t="s">
        <v>1934</v>
      </c>
      <c r="B1366" t="s">
        <v>1935</v>
      </c>
      <c r="C1366" t="s">
        <v>1936</v>
      </c>
      <c r="E1366" t="s">
        <v>1937</v>
      </c>
      <c r="F1366" t="s">
        <v>1938</v>
      </c>
      <c r="G1366">
        <v>15.178578699999999</v>
      </c>
      <c r="H1366">
        <v>120.51842980000001</v>
      </c>
      <c r="I1366" t="s">
        <v>1939</v>
      </c>
      <c r="J1366">
        <v>9338236133</v>
      </c>
      <c r="K1366" t="s">
        <v>1940</v>
      </c>
      <c r="L1366">
        <v>1234</v>
      </c>
      <c r="M1366" s="1">
        <v>43360</v>
      </c>
      <c r="N1366" t="s">
        <v>779</v>
      </c>
      <c r="O1366" t="s">
        <v>780</v>
      </c>
      <c r="P1366">
        <v>2200</v>
      </c>
    </row>
    <row r="1367" spans="1:17" x14ac:dyDescent="0.3">
      <c r="A1367" t="s">
        <v>9621</v>
      </c>
      <c r="B1367" t="s">
        <v>8854</v>
      </c>
      <c r="C1367" t="s">
        <v>783</v>
      </c>
      <c r="D1367" t="s">
        <v>3095</v>
      </c>
      <c r="E1367" t="s">
        <v>9622</v>
      </c>
      <c r="F1367" t="s">
        <v>9623</v>
      </c>
      <c r="G1367">
        <v>15.177612</v>
      </c>
      <c r="H1367">
        <v>120.52834</v>
      </c>
      <c r="I1367" t="s">
        <v>8856</v>
      </c>
      <c r="J1367" t="s">
        <v>9624</v>
      </c>
      <c r="K1367" t="s">
        <v>9625</v>
      </c>
      <c r="L1367">
        <v>1234</v>
      </c>
      <c r="M1367" t="s">
        <v>645</v>
      </c>
      <c r="N1367" t="s">
        <v>9626</v>
      </c>
      <c r="O1367" t="s">
        <v>6705</v>
      </c>
      <c r="P1367">
        <v>3452</v>
      </c>
    </row>
    <row r="1368" spans="1:17" x14ac:dyDescent="0.3">
      <c r="A1368" t="s">
        <v>9627</v>
      </c>
      <c r="B1368" t="s">
        <v>9628</v>
      </c>
      <c r="C1368" t="s">
        <v>7857</v>
      </c>
      <c r="D1368" t="s">
        <v>9629</v>
      </c>
      <c r="E1368" t="s">
        <v>286</v>
      </c>
      <c r="F1368" t="s">
        <v>9630</v>
      </c>
      <c r="G1368">
        <v>15.177119599070201</v>
      </c>
      <c r="H1368">
        <v>120.52628517150799</v>
      </c>
      <c r="I1368" t="s">
        <v>9631</v>
      </c>
      <c r="J1368">
        <f>-45-499-8168</f>
        <v>-8712</v>
      </c>
      <c r="K1368" t="s">
        <v>9632</v>
      </c>
      <c r="L1368" t="s">
        <v>9633</v>
      </c>
      <c r="M1368" t="s">
        <v>645</v>
      </c>
      <c r="N1368" t="s">
        <v>336</v>
      </c>
      <c r="O1368" t="s">
        <v>515</v>
      </c>
      <c r="P1368">
        <v>3068</v>
      </c>
    </row>
    <row r="1369" spans="1:17" x14ac:dyDescent="0.3">
      <c r="A1369" t="s">
        <v>9634</v>
      </c>
      <c r="B1369" t="s">
        <v>2576</v>
      </c>
      <c r="C1369" t="s">
        <v>6999</v>
      </c>
      <c r="D1369" t="s">
        <v>7167</v>
      </c>
      <c r="E1369" t="s">
        <v>9635</v>
      </c>
      <c r="F1369" t="s">
        <v>9636</v>
      </c>
      <c r="G1369">
        <v>15.178012699558</v>
      </c>
      <c r="H1369">
        <v>120.528109096508</v>
      </c>
      <c r="I1369" t="s">
        <v>9637</v>
      </c>
      <c r="J1369">
        <v>9204873031</v>
      </c>
      <c r="K1369" t="s">
        <v>9638</v>
      </c>
      <c r="L1369">
        <v>1234</v>
      </c>
      <c r="M1369" t="s">
        <v>645</v>
      </c>
      <c r="N1369" t="s">
        <v>336</v>
      </c>
      <c r="O1369" t="s">
        <v>337</v>
      </c>
      <c r="P1369">
        <v>3458</v>
      </c>
      <c r="Q1369" t="s">
        <v>9639</v>
      </c>
    </row>
    <row r="1370" spans="1:17" x14ac:dyDescent="0.3">
      <c r="A1370" t="s">
        <v>9640</v>
      </c>
      <c r="B1370" t="s">
        <v>86</v>
      </c>
      <c r="C1370" t="s">
        <v>9641</v>
      </c>
      <c r="D1370" t="s">
        <v>3487</v>
      </c>
      <c r="E1370" t="s">
        <v>1276</v>
      </c>
      <c r="F1370" t="s">
        <v>9642</v>
      </c>
      <c r="I1370" t="s">
        <v>9643</v>
      </c>
      <c r="K1370" t="s">
        <v>9644</v>
      </c>
      <c r="L1370">
        <v>1234</v>
      </c>
      <c r="M1370" t="s">
        <v>645</v>
      </c>
      <c r="N1370" t="s">
        <v>398</v>
      </c>
      <c r="O1370" t="s">
        <v>582</v>
      </c>
      <c r="P1370">
        <v>3507</v>
      </c>
    </row>
    <row r="1371" spans="1:17" x14ac:dyDescent="0.3">
      <c r="A1371" t="s">
        <v>9645</v>
      </c>
      <c r="B1371" t="s">
        <v>9646</v>
      </c>
      <c r="C1371" t="s">
        <v>7337</v>
      </c>
      <c r="D1371" t="s">
        <v>756</v>
      </c>
      <c r="E1371" t="s">
        <v>3990</v>
      </c>
      <c r="F1371" t="s">
        <v>9647</v>
      </c>
      <c r="G1371">
        <v>15.205829</v>
      </c>
      <c r="H1371">
        <v>120.54924699999999</v>
      </c>
      <c r="I1371" t="s">
        <v>9648</v>
      </c>
      <c r="J1371">
        <v>9178749720</v>
      </c>
      <c r="K1371" t="s">
        <v>9649</v>
      </c>
      <c r="L1371" t="s">
        <v>9650</v>
      </c>
      <c r="M1371" t="s">
        <v>645</v>
      </c>
      <c r="N1371" t="s">
        <v>16</v>
      </c>
      <c r="O1371" t="s">
        <v>292</v>
      </c>
      <c r="P1371">
        <v>3500</v>
      </c>
      <c r="Q1371" t="s">
        <v>9651</v>
      </c>
    </row>
    <row r="1372" spans="1:17" x14ac:dyDescent="0.3">
      <c r="A1372" t="s">
        <v>9652</v>
      </c>
      <c r="B1372" t="s">
        <v>1907</v>
      </c>
      <c r="C1372" t="s">
        <v>9653</v>
      </c>
      <c r="D1372" t="s">
        <v>756</v>
      </c>
      <c r="E1372" t="s">
        <v>698</v>
      </c>
      <c r="F1372" t="s">
        <v>9654</v>
      </c>
      <c r="I1372" t="s">
        <v>9655</v>
      </c>
      <c r="J1372" t="s">
        <v>9656</v>
      </c>
      <c r="K1372" t="s">
        <v>9657</v>
      </c>
      <c r="L1372">
        <v>1234</v>
      </c>
      <c r="M1372" t="s">
        <v>645</v>
      </c>
      <c r="N1372" t="s">
        <v>336</v>
      </c>
      <c r="O1372" t="s">
        <v>515</v>
      </c>
      <c r="P1372">
        <v>3501</v>
      </c>
    </row>
    <row r="1373" spans="1:17" x14ac:dyDescent="0.3">
      <c r="A1373" t="s">
        <v>9658</v>
      </c>
      <c r="B1373" t="s">
        <v>9385</v>
      </c>
      <c r="C1373" t="s">
        <v>9386</v>
      </c>
      <c r="D1373" t="s">
        <v>236</v>
      </c>
      <c r="E1373" t="s">
        <v>9387</v>
      </c>
      <c r="F1373" t="s">
        <v>9659</v>
      </c>
      <c r="G1373">
        <v>0</v>
      </c>
      <c r="H1373">
        <v>0</v>
      </c>
      <c r="I1373" t="s">
        <v>9389</v>
      </c>
      <c r="J1373" t="s">
        <v>9660</v>
      </c>
      <c r="K1373" t="s">
        <v>9661</v>
      </c>
      <c r="L1373">
        <v>1234</v>
      </c>
      <c r="M1373" t="s">
        <v>645</v>
      </c>
      <c r="N1373" t="s">
        <v>304</v>
      </c>
      <c r="O1373" t="s">
        <v>323</v>
      </c>
      <c r="P1373">
        <v>3266</v>
      </c>
    </row>
    <row r="1374" spans="1:17" x14ac:dyDescent="0.3">
      <c r="A1374" t="s">
        <v>9662</v>
      </c>
      <c r="B1374" t="s">
        <v>2576</v>
      </c>
      <c r="C1374" t="s">
        <v>9663</v>
      </c>
      <c r="D1374" t="s">
        <v>2682</v>
      </c>
      <c r="E1374" t="s">
        <v>1470</v>
      </c>
      <c r="F1374" t="s">
        <v>9664</v>
      </c>
      <c r="I1374" t="s">
        <v>8871</v>
      </c>
      <c r="J1374">
        <v>9951479055</v>
      </c>
      <c r="K1374" t="s">
        <v>9665</v>
      </c>
      <c r="L1374">
        <v>1234</v>
      </c>
      <c r="M1374" t="s">
        <v>645</v>
      </c>
      <c r="N1374" t="s">
        <v>336</v>
      </c>
      <c r="O1374" t="s">
        <v>441</v>
      </c>
      <c r="P1374">
        <v>3387</v>
      </c>
    </row>
    <row r="1375" spans="1:17" x14ac:dyDescent="0.3">
      <c r="A1375" t="s">
        <v>9666</v>
      </c>
      <c r="B1375" t="s">
        <v>9667</v>
      </c>
      <c r="C1375" t="s">
        <v>9668</v>
      </c>
      <c r="D1375" t="s">
        <v>4867</v>
      </c>
      <c r="E1375" t="s">
        <v>1276</v>
      </c>
      <c r="F1375" t="s">
        <v>9669</v>
      </c>
      <c r="I1375" t="s">
        <v>9670</v>
      </c>
      <c r="K1375" t="s">
        <v>9671</v>
      </c>
      <c r="L1375">
        <v>1234</v>
      </c>
      <c r="M1375" t="s">
        <v>645</v>
      </c>
      <c r="N1375" t="s">
        <v>398</v>
      </c>
      <c r="O1375" t="s">
        <v>685</v>
      </c>
      <c r="P1375">
        <v>3369</v>
      </c>
    </row>
    <row r="1376" spans="1:17" x14ac:dyDescent="0.3">
      <c r="A1376" t="s">
        <v>9672</v>
      </c>
      <c r="B1376" t="s">
        <v>2200</v>
      </c>
      <c r="C1376" t="s">
        <v>791</v>
      </c>
      <c r="D1376" t="s">
        <v>2576</v>
      </c>
      <c r="E1376" t="s">
        <v>9673</v>
      </c>
      <c r="F1376" t="s">
        <v>9674</v>
      </c>
      <c r="I1376" t="s">
        <v>9675</v>
      </c>
      <c r="J1376" t="s">
        <v>9676</v>
      </c>
      <c r="K1376" t="s">
        <v>9677</v>
      </c>
      <c r="L1376">
        <v>1234</v>
      </c>
      <c r="M1376" t="s">
        <v>645</v>
      </c>
      <c r="N1376" t="s">
        <v>336</v>
      </c>
      <c r="O1376" t="s">
        <v>515</v>
      </c>
      <c r="P1376">
        <v>3355</v>
      </c>
    </row>
    <row r="1377" spans="1:17" x14ac:dyDescent="0.3">
      <c r="A1377" t="s">
        <v>9678</v>
      </c>
      <c r="B1377" t="s">
        <v>8964</v>
      </c>
      <c r="C1377" t="s">
        <v>902</v>
      </c>
      <c r="D1377" t="s">
        <v>2598</v>
      </c>
      <c r="E1377" t="s">
        <v>329</v>
      </c>
      <c r="F1377" t="s">
        <v>9679</v>
      </c>
      <c r="I1377" t="s">
        <v>8966</v>
      </c>
      <c r="K1377" t="s">
        <v>9680</v>
      </c>
      <c r="L1377">
        <v>1234</v>
      </c>
      <c r="M1377" t="s">
        <v>645</v>
      </c>
      <c r="N1377" t="s">
        <v>336</v>
      </c>
      <c r="O1377" t="s">
        <v>515</v>
      </c>
      <c r="P1377">
        <v>3517</v>
      </c>
    </row>
    <row r="1378" spans="1:17" x14ac:dyDescent="0.3">
      <c r="A1378" t="s">
        <v>9681</v>
      </c>
      <c r="B1378" t="s">
        <v>9682</v>
      </c>
      <c r="C1378" t="s">
        <v>913</v>
      </c>
      <c r="D1378" t="s">
        <v>7167</v>
      </c>
      <c r="E1378" t="s">
        <v>329</v>
      </c>
      <c r="F1378" t="s">
        <v>9683</v>
      </c>
      <c r="G1378">
        <v>0</v>
      </c>
      <c r="H1378">
        <v>0</v>
      </c>
      <c r="I1378" t="s">
        <v>9684</v>
      </c>
      <c r="J1378">
        <v>9777441973</v>
      </c>
      <c r="K1378" t="s">
        <v>9685</v>
      </c>
      <c r="L1378">
        <v>1234</v>
      </c>
      <c r="M1378" t="s">
        <v>645</v>
      </c>
      <c r="N1378" t="s">
        <v>398</v>
      </c>
      <c r="O1378" t="s">
        <v>853</v>
      </c>
      <c r="P1378">
        <v>3513</v>
      </c>
    </row>
    <row r="1379" spans="1:17" x14ac:dyDescent="0.3">
      <c r="A1379" t="s">
        <v>9686</v>
      </c>
      <c r="B1379" t="s">
        <v>5462</v>
      </c>
      <c r="C1379" t="s">
        <v>9687</v>
      </c>
      <c r="E1379" t="s">
        <v>1348</v>
      </c>
      <c r="F1379" t="s">
        <v>9688</v>
      </c>
      <c r="I1379" t="s">
        <v>9689</v>
      </c>
      <c r="J1379">
        <v>9352128939</v>
      </c>
      <c r="K1379" t="s">
        <v>9690</v>
      </c>
      <c r="L1379">
        <v>1234</v>
      </c>
      <c r="M1379" t="s">
        <v>645</v>
      </c>
      <c r="N1379" t="s">
        <v>5125</v>
      </c>
      <c r="O1379" t="s">
        <v>9691</v>
      </c>
      <c r="P1379" t="s">
        <v>9692</v>
      </c>
    </row>
    <row r="1380" spans="1:17" x14ac:dyDescent="0.3">
      <c r="A1380" t="s">
        <v>9686</v>
      </c>
      <c r="B1380" t="s">
        <v>5462</v>
      </c>
      <c r="C1380" t="s">
        <v>9687</v>
      </c>
      <c r="E1380" t="s">
        <v>1348</v>
      </c>
      <c r="F1380" t="s">
        <v>9688</v>
      </c>
      <c r="I1380" t="s">
        <v>9689</v>
      </c>
      <c r="J1380">
        <v>9352128939</v>
      </c>
      <c r="K1380" t="s">
        <v>9693</v>
      </c>
      <c r="L1380">
        <v>1234</v>
      </c>
      <c r="M1380" t="s">
        <v>645</v>
      </c>
      <c r="N1380" t="s">
        <v>5125</v>
      </c>
      <c r="O1380" t="s">
        <v>9691</v>
      </c>
      <c r="P1380">
        <v>0</v>
      </c>
    </row>
    <row r="1381" spans="1:17" x14ac:dyDescent="0.3">
      <c r="A1381" t="s">
        <v>9694</v>
      </c>
      <c r="B1381" t="s">
        <v>5462</v>
      </c>
      <c r="C1381" t="s">
        <v>9687</v>
      </c>
      <c r="E1381" t="s">
        <v>1348</v>
      </c>
      <c r="F1381" t="s">
        <v>9695</v>
      </c>
      <c r="I1381" t="s">
        <v>9689</v>
      </c>
      <c r="J1381">
        <v>9352128939</v>
      </c>
      <c r="K1381" t="s">
        <v>9696</v>
      </c>
      <c r="L1381">
        <v>1234</v>
      </c>
      <c r="M1381" t="s">
        <v>645</v>
      </c>
      <c r="N1381" t="s">
        <v>5125</v>
      </c>
      <c r="O1381" t="s">
        <v>9691</v>
      </c>
      <c r="P1381">
        <v>1234</v>
      </c>
    </row>
    <row r="1382" spans="1:17" x14ac:dyDescent="0.3">
      <c r="A1382" t="s">
        <v>9697</v>
      </c>
      <c r="B1382" t="s">
        <v>4660</v>
      </c>
      <c r="C1382" t="s">
        <v>9698</v>
      </c>
      <c r="D1382" t="s">
        <v>9699</v>
      </c>
      <c r="E1382" t="s">
        <v>9700</v>
      </c>
      <c r="F1382" t="s">
        <v>9701</v>
      </c>
      <c r="G1382">
        <v>15.196325</v>
      </c>
      <c r="H1382">
        <v>120.533329999999</v>
      </c>
      <c r="I1382" t="s">
        <v>9702</v>
      </c>
      <c r="J1382">
        <v>9065721108</v>
      </c>
      <c r="K1382" t="s">
        <v>9703</v>
      </c>
      <c r="L1382" t="s">
        <v>9704</v>
      </c>
      <c r="M1382" t="s">
        <v>645</v>
      </c>
      <c r="N1382" t="s">
        <v>398</v>
      </c>
      <c r="O1382" t="s">
        <v>582</v>
      </c>
      <c r="P1382">
        <v>3519</v>
      </c>
    </row>
    <row r="1383" spans="1:17" x14ac:dyDescent="0.3">
      <c r="A1383" t="s">
        <v>9705</v>
      </c>
      <c r="B1383" t="s">
        <v>9706</v>
      </c>
      <c r="C1383" t="s">
        <v>6106</v>
      </c>
      <c r="D1383" t="s">
        <v>792</v>
      </c>
      <c r="E1383" t="s">
        <v>1062</v>
      </c>
      <c r="F1383" t="s">
        <v>9707</v>
      </c>
      <c r="G1383">
        <v>15.178785</v>
      </c>
      <c r="H1383">
        <v>120.572997</v>
      </c>
      <c r="I1383" t="s">
        <v>9708</v>
      </c>
      <c r="J1383">
        <v>9994975542</v>
      </c>
      <c r="K1383" t="s">
        <v>9709</v>
      </c>
      <c r="L1383" t="s">
        <v>9710</v>
      </c>
      <c r="M1383" t="s">
        <v>645</v>
      </c>
      <c r="N1383" t="s">
        <v>398</v>
      </c>
      <c r="O1383" t="s">
        <v>1104</v>
      </c>
      <c r="P1383">
        <v>3499</v>
      </c>
    </row>
    <row r="1384" spans="1:17" x14ac:dyDescent="0.3">
      <c r="A1384" t="s">
        <v>9711</v>
      </c>
      <c r="B1384" t="s">
        <v>9712</v>
      </c>
      <c r="C1384" t="s">
        <v>9713</v>
      </c>
      <c r="D1384" t="s">
        <v>539</v>
      </c>
      <c r="E1384" t="s">
        <v>9714</v>
      </c>
      <c r="F1384" t="s">
        <v>9715</v>
      </c>
      <c r="I1384" t="s">
        <v>9716</v>
      </c>
      <c r="J1384">
        <v>9178136124</v>
      </c>
      <c r="K1384" t="s">
        <v>9717</v>
      </c>
      <c r="L1384">
        <v>1234</v>
      </c>
      <c r="M1384" t="s">
        <v>645</v>
      </c>
      <c r="N1384" t="s">
        <v>931</v>
      </c>
      <c r="P1384">
        <v>3110</v>
      </c>
    </row>
    <row r="1385" spans="1:17" x14ac:dyDescent="0.3">
      <c r="A1385" t="s">
        <v>9718</v>
      </c>
      <c r="B1385" t="s">
        <v>9719</v>
      </c>
      <c r="C1385" t="s">
        <v>9720</v>
      </c>
      <c r="E1385" t="s">
        <v>2022</v>
      </c>
      <c r="F1385" t="s">
        <v>9721</v>
      </c>
      <c r="G1385">
        <v>-8.0466270446844795E-5</v>
      </c>
      <c r="H1385">
        <v>-1.0728836059570301E-5</v>
      </c>
      <c r="I1385" t="s">
        <v>9722</v>
      </c>
      <c r="J1385">
        <v>9209802788</v>
      </c>
      <c r="K1385" t="s">
        <v>9723</v>
      </c>
      <c r="L1385" t="s">
        <v>9724</v>
      </c>
      <c r="M1385" t="s">
        <v>645</v>
      </c>
      <c r="N1385" t="s">
        <v>9725</v>
      </c>
      <c r="O1385" t="s">
        <v>515</v>
      </c>
      <c r="P1385">
        <v>3511</v>
      </c>
    </row>
    <row r="1386" spans="1:17" x14ac:dyDescent="0.3">
      <c r="A1386" t="s">
        <v>9726</v>
      </c>
      <c r="B1386" t="s">
        <v>1807</v>
      </c>
      <c r="C1386" t="s">
        <v>1808</v>
      </c>
      <c r="D1386" t="s">
        <v>1809</v>
      </c>
      <c r="E1386" t="s">
        <v>9727</v>
      </c>
      <c r="F1386" t="s">
        <v>9728</v>
      </c>
      <c r="I1386" t="s">
        <v>1811</v>
      </c>
      <c r="J1386" t="s">
        <v>9729</v>
      </c>
      <c r="K1386" t="s">
        <v>1812</v>
      </c>
      <c r="L1386">
        <v>1234</v>
      </c>
      <c r="M1386" s="1">
        <v>43524</v>
      </c>
      <c r="N1386" t="s">
        <v>16</v>
      </c>
      <c r="O1386" t="s">
        <v>292</v>
      </c>
      <c r="P1386">
        <v>1584</v>
      </c>
    </row>
    <row r="1387" spans="1:17" x14ac:dyDescent="0.3">
      <c r="A1387" t="s">
        <v>9730</v>
      </c>
      <c r="B1387" t="s">
        <v>723</v>
      </c>
      <c r="C1387" t="s">
        <v>724</v>
      </c>
      <c r="D1387" t="s">
        <v>725</v>
      </c>
      <c r="E1387" t="s">
        <v>726</v>
      </c>
      <c r="F1387" t="s">
        <v>9731</v>
      </c>
      <c r="I1387" t="s">
        <v>727</v>
      </c>
      <c r="J1387" t="s">
        <v>1761</v>
      </c>
      <c r="K1387" t="s">
        <v>1748</v>
      </c>
      <c r="L1387" t="s">
        <v>1749</v>
      </c>
      <c r="M1387" s="1">
        <v>43806</v>
      </c>
      <c r="N1387" t="s">
        <v>779</v>
      </c>
      <c r="O1387" t="s">
        <v>780</v>
      </c>
      <c r="P1387">
        <v>385</v>
      </c>
    </row>
    <row r="1388" spans="1:17" x14ac:dyDescent="0.3">
      <c r="A1388" t="s">
        <v>9732</v>
      </c>
      <c r="B1388" t="s">
        <v>9733</v>
      </c>
      <c r="C1388" t="s">
        <v>3010</v>
      </c>
      <c r="D1388" t="s">
        <v>1544</v>
      </c>
      <c r="E1388" t="s">
        <v>597</v>
      </c>
      <c r="F1388" t="s">
        <v>9734</v>
      </c>
      <c r="I1388" t="s">
        <v>9735</v>
      </c>
      <c r="K1388" t="s">
        <v>9736</v>
      </c>
      <c r="L1388">
        <v>1234</v>
      </c>
      <c r="M1388" t="s">
        <v>645</v>
      </c>
      <c r="N1388" t="s">
        <v>398</v>
      </c>
      <c r="O1388" t="s">
        <v>582</v>
      </c>
      <c r="P1388">
        <v>3512</v>
      </c>
    </row>
    <row r="1389" spans="1:17" x14ac:dyDescent="0.3">
      <c r="A1389" t="s">
        <v>1934</v>
      </c>
      <c r="B1389" t="s">
        <v>1935</v>
      </c>
      <c r="C1389" t="s">
        <v>1936</v>
      </c>
      <c r="E1389" t="s">
        <v>1937</v>
      </c>
      <c r="F1389" t="s">
        <v>1938</v>
      </c>
      <c r="G1389">
        <v>15.178578699999999</v>
      </c>
      <c r="H1389">
        <v>120.51842980000001</v>
      </c>
      <c r="I1389" t="s">
        <v>1939</v>
      </c>
      <c r="J1389">
        <v>9338236133</v>
      </c>
      <c r="K1389" t="s">
        <v>1940</v>
      </c>
      <c r="L1389">
        <v>1234</v>
      </c>
      <c r="M1389" s="1">
        <v>43360</v>
      </c>
      <c r="N1389" t="s">
        <v>779</v>
      </c>
      <c r="O1389" t="s">
        <v>780</v>
      </c>
      <c r="P1389">
        <v>2200</v>
      </c>
    </row>
    <row r="1390" spans="1:17" x14ac:dyDescent="0.3">
      <c r="A1390" t="s">
        <v>9737</v>
      </c>
      <c r="B1390" t="s">
        <v>9738</v>
      </c>
      <c r="C1390" t="s">
        <v>9739</v>
      </c>
      <c r="D1390" t="s">
        <v>1772</v>
      </c>
      <c r="E1390" t="s">
        <v>1276</v>
      </c>
      <c r="F1390" t="s">
        <v>9740</v>
      </c>
      <c r="I1390" t="s">
        <v>8781</v>
      </c>
      <c r="J1390" t="s">
        <v>9741</v>
      </c>
      <c r="K1390" t="s">
        <v>9742</v>
      </c>
      <c r="L1390">
        <v>1234</v>
      </c>
      <c r="M1390" t="s">
        <v>645</v>
      </c>
      <c r="N1390" t="s">
        <v>398</v>
      </c>
      <c r="O1390" t="s">
        <v>582</v>
      </c>
      <c r="P1390">
        <v>3515</v>
      </c>
    </row>
    <row r="1391" spans="1:17" x14ac:dyDescent="0.3">
      <c r="A1391" t="s">
        <v>9743</v>
      </c>
      <c r="B1391" t="s">
        <v>384</v>
      </c>
      <c r="C1391" t="s">
        <v>6397</v>
      </c>
      <c r="D1391" t="s">
        <v>9744</v>
      </c>
      <c r="E1391" t="s">
        <v>9745</v>
      </c>
      <c r="F1391" t="s">
        <v>9746</v>
      </c>
      <c r="G1391">
        <v>0</v>
      </c>
      <c r="H1391">
        <v>0</v>
      </c>
      <c r="I1391" t="s">
        <v>9747</v>
      </c>
      <c r="J1391">
        <v>9176521122</v>
      </c>
      <c r="K1391" t="s">
        <v>9748</v>
      </c>
      <c r="L1391" t="s">
        <v>9749</v>
      </c>
      <c r="M1391" t="s">
        <v>645</v>
      </c>
      <c r="N1391" t="s">
        <v>369</v>
      </c>
      <c r="O1391" t="s">
        <v>370</v>
      </c>
      <c r="P1391">
        <v>3497</v>
      </c>
    </row>
    <row r="1392" spans="1:17" x14ac:dyDescent="0.3">
      <c r="A1392" t="s">
        <v>9750</v>
      </c>
      <c r="B1392" t="s">
        <v>9751</v>
      </c>
      <c r="C1392" t="s">
        <v>9752</v>
      </c>
      <c r="D1392" t="s">
        <v>642</v>
      </c>
      <c r="E1392" t="s">
        <v>9753</v>
      </c>
      <c r="F1392" t="s">
        <v>9754</v>
      </c>
      <c r="G1392">
        <v>15.174808000000001</v>
      </c>
      <c r="H1392">
        <v>120.533061</v>
      </c>
      <c r="I1392" t="s">
        <v>9755</v>
      </c>
      <c r="J1392">
        <v>9153587449</v>
      </c>
      <c r="K1392" t="s">
        <v>9756</v>
      </c>
      <c r="L1392">
        <v>1234</v>
      </c>
      <c r="M1392" t="s">
        <v>645</v>
      </c>
      <c r="N1392" t="s">
        <v>336</v>
      </c>
      <c r="O1392" t="s">
        <v>337</v>
      </c>
      <c r="P1392">
        <v>3493</v>
      </c>
      <c r="Q1392" t="s">
        <v>9757</v>
      </c>
    </row>
    <row r="1393" spans="1:17" x14ac:dyDescent="0.3">
      <c r="A1393" t="s">
        <v>9758</v>
      </c>
      <c r="B1393" t="s">
        <v>620</v>
      </c>
      <c r="C1393" t="s">
        <v>1360</v>
      </c>
      <c r="D1393" t="s">
        <v>426</v>
      </c>
      <c r="E1393" t="s">
        <v>1240</v>
      </c>
      <c r="F1393" t="s">
        <v>9759</v>
      </c>
      <c r="G1393">
        <v>0</v>
      </c>
      <c r="H1393">
        <v>0</v>
      </c>
      <c r="I1393" t="s">
        <v>9760</v>
      </c>
      <c r="J1393" t="s">
        <v>9761</v>
      </c>
      <c r="K1393" t="s">
        <v>9762</v>
      </c>
      <c r="L1393">
        <v>1234</v>
      </c>
      <c r="M1393" t="s">
        <v>645</v>
      </c>
      <c r="N1393" t="s">
        <v>398</v>
      </c>
      <c r="O1393" t="s">
        <v>2435</v>
      </c>
      <c r="P1393">
        <v>3530</v>
      </c>
    </row>
    <row r="1394" spans="1:17" x14ac:dyDescent="0.3">
      <c r="A1394" t="s">
        <v>9763</v>
      </c>
      <c r="B1394" t="s">
        <v>9764</v>
      </c>
      <c r="C1394" t="s">
        <v>9765</v>
      </c>
      <c r="E1394" t="s">
        <v>2994</v>
      </c>
      <c r="F1394" t="s">
        <v>9766</v>
      </c>
      <c r="I1394" t="s">
        <v>9767</v>
      </c>
      <c r="J1394">
        <v>9168624854</v>
      </c>
      <c r="K1394" t="s">
        <v>9768</v>
      </c>
      <c r="L1394">
        <v>1234</v>
      </c>
      <c r="M1394" t="s">
        <v>645</v>
      </c>
      <c r="N1394" t="s">
        <v>398</v>
      </c>
      <c r="O1394" t="s">
        <v>582</v>
      </c>
      <c r="P1394">
        <v>3523</v>
      </c>
    </row>
    <row r="1395" spans="1:17" x14ac:dyDescent="0.3">
      <c r="A1395" t="s">
        <v>9769</v>
      </c>
      <c r="B1395" t="s">
        <v>9770</v>
      </c>
      <c r="C1395" t="s">
        <v>9771</v>
      </c>
      <c r="D1395" t="s">
        <v>9772</v>
      </c>
      <c r="E1395" t="s">
        <v>1194</v>
      </c>
      <c r="F1395" t="s">
        <v>9773</v>
      </c>
      <c r="G1395">
        <v>0</v>
      </c>
      <c r="H1395">
        <v>0</v>
      </c>
      <c r="I1395" t="s">
        <v>9774</v>
      </c>
      <c r="J1395">
        <v>9952388317</v>
      </c>
      <c r="K1395" t="s">
        <v>9775</v>
      </c>
      <c r="L1395" t="s">
        <v>9776</v>
      </c>
      <c r="M1395" t="s">
        <v>645</v>
      </c>
      <c r="N1395" t="s">
        <v>398</v>
      </c>
      <c r="O1395" t="s">
        <v>9777</v>
      </c>
      <c r="P1395">
        <v>3437</v>
      </c>
    </row>
    <row r="1396" spans="1:17" x14ac:dyDescent="0.3">
      <c r="A1396" t="s">
        <v>9778</v>
      </c>
      <c r="B1396" t="s">
        <v>6113</v>
      </c>
      <c r="C1396" t="s">
        <v>5487</v>
      </c>
      <c r="D1396" t="s">
        <v>9779</v>
      </c>
      <c r="E1396" t="s">
        <v>3222</v>
      </c>
      <c r="F1396" t="s">
        <v>9780</v>
      </c>
      <c r="G1396">
        <v>15.177471656070001</v>
      </c>
      <c r="H1396">
        <v>480.528597235679</v>
      </c>
      <c r="I1396" t="s">
        <v>9781</v>
      </c>
      <c r="J1396">
        <v>9179042730</v>
      </c>
      <c r="K1396" t="s">
        <v>9782</v>
      </c>
      <c r="L1396">
        <v>1234</v>
      </c>
      <c r="M1396" t="s">
        <v>645</v>
      </c>
      <c r="N1396" t="s">
        <v>398</v>
      </c>
      <c r="O1396" t="s">
        <v>582</v>
      </c>
      <c r="P1396">
        <v>3529</v>
      </c>
    </row>
    <row r="1397" spans="1:17" x14ac:dyDescent="0.3">
      <c r="A1397" t="s">
        <v>9783</v>
      </c>
      <c r="B1397" t="s">
        <v>426</v>
      </c>
      <c r="C1397" t="s">
        <v>9784</v>
      </c>
      <c r="D1397" t="s">
        <v>9785</v>
      </c>
      <c r="E1397" t="s">
        <v>477</v>
      </c>
      <c r="F1397" t="s">
        <v>9786</v>
      </c>
      <c r="G1397">
        <v>14.9713200173125</v>
      </c>
      <c r="H1397">
        <v>-239.36462402343699</v>
      </c>
      <c r="I1397" t="s">
        <v>9787</v>
      </c>
      <c r="J1397">
        <v>9270880939</v>
      </c>
      <c r="K1397" t="s">
        <v>9788</v>
      </c>
      <c r="L1397">
        <v>1234</v>
      </c>
      <c r="M1397" t="s">
        <v>645</v>
      </c>
      <c r="N1397" t="s">
        <v>336</v>
      </c>
      <c r="O1397" t="s">
        <v>337</v>
      </c>
      <c r="P1397">
        <v>3412</v>
      </c>
    </row>
    <row r="1398" spans="1:17" x14ac:dyDescent="0.3">
      <c r="A1398" t="s">
        <v>9789</v>
      </c>
      <c r="B1398" t="s">
        <v>1897</v>
      </c>
      <c r="C1398" t="s">
        <v>1898</v>
      </c>
      <c r="D1398" t="s">
        <v>9790</v>
      </c>
      <c r="E1398" t="s">
        <v>8013</v>
      </c>
      <c r="F1398" t="s">
        <v>9791</v>
      </c>
      <c r="G1398">
        <v>0</v>
      </c>
      <c r="H1398">
        <v>0</v>
      </c>
      <c r="I1398" t="s">
        <v>9792</v>
      </c>
      <c r="J1398" t="s">
        <v>9793</v>
      </c>
      <c r="K1398" t="s">
        <v>9794</v>
      </c>
      <c r="L1398">
        <v>1234</v>
      </c>
      <c r="M1398" t="s">
        <v>645</v>
      </c>
      <c r="N1398" t="s">
        <v>336</v>
      </c>
      <c r="O1398" t="s">
        <v>515</v>
      </c>
      <c r="P1398">
        <v>2702</v>
      </c>
      <c r="Q1398" t="s">
        <v>9795</v>
      </c>
    </row>
    <row r="1399" spans="1:17" x14ac:dyDescent="0.3">
      <c r="A1399" t="s">
        <v>1365</v>
      </c>
      <c r="B1399" t="s">
        <v>351</v>
      </c>
      <c r="C1399" t="s">
        <v>9796</v>
      </c>
      <c r="D1399" t="s">
        <v>1433</v>
      </c>
      <c r="E1399" t="s">
        <v>698</v>
      </c>
      <c r="F1399" t="s">
        <v>9797</v>
      </c>
      <c r="G1399">
        <v>-1.07288360591552E-4</v>
      </c>
      <c r="H1399">
        <v>-2.89678573608398E-3</v>
      </c>
      <c r="I1399" t="s">
        <v>9798</v>
      </c>
      <c r="J1399">
        <v>9636409860</v>
      </c>
      <c r="K1399" t="s">
        <v>9799</v>
      </c>
      <c r="L1399">
        <v>1234</v>
      </c>
      <c r="M1399" t="s">
        <v>645</v>
      </c>
      <c r="N1399" t="s">
        <v>398</v>
      </c>
      <c r="O1399" t="s">
        <v>582</v>
      </c>
      <c r="P1399">
        <v>1987</v>
      </c>
      <c r="Q1399" t="s">
        <v>9800</v>
      </c>
    </row>
    <row r="1400" spans="1:17" x14ac:dyDescent="0.3">
      <c r="A1400" t="s">
        <v>9801</v>
      </c>
      <c r="B1400" t="s">
        <v>2515</v>
      </c>
      <c r="C1400" t="s">
        <v>9802</v>
      </c>
      <c r="D1400" t="s">
        <v>2682</v>
      </c>
      <c r="E1400" t="s">
        <v>9622</v>
      </c>
      <c r="F1400" t="s">
        <v>9803</v>
      </c>
      <c r="G1400">
        <v>15.176586335144099</v>
      </c>
      <c r="H1400">
        <v>120.52469730377101</v>
      </c>
      <c r="I1400" t="s">
        <v>9804</v>
      </c>
      <c r="J1400">
        <v>9760104448</v>
      </c>
      <c r="K1400" t="s">
        <v>9805</v>
      </c>
      <c r="L1400">
        <v>1234</v>
      </c>
      <c r="M1400" t="s">
        <v>645</v>
      </c>
      <c r="N1400" t="s">
        <v>336</v>
      </c>
      <c r="O1400" t="s">
        <v>441</v>
      </c>
      <c r="P1400">
        <v>3525</v>
      </c>
    </row>
    <row r="1401" spans="1:17" x14ac:dyDescent="0.3">
      <c r="A1401" t="s">
        <v>9806</v>
      </c>
      <c r="B1401" t="s">
        <v>9807</v>
      </c>
      <c r="C1401" t="s">
        <v>9808</v>
      </c>
      <c r="D1401" t="s">
        <v>9809</v>
      </c>
      <c r="E1401" t="s">
        <v>329</v>
      </c>
      <c r="F1401" t="s">
        <v>9810</v>
      </c>
      <c r="G1401">
        <v>1.1426210402714001E-3</v>
      </c>
      <c r="H1401">
        <v>-2.6124715805053698E-3</v>
      </c>
      <c r="I1401" t="s">
        <v>9811</v>
      </c>
      <c r="J1401">
        <v>9556451670</v>
      </c>
      <c r="K1401" t="s">
        <v>9812</v>
      </c>
      <c r="L1401" t="s">
        <v>9813</v>
      </c>
      <c r="M1401" t="s">
        <v>645</v>
      </c>
      <c r="N1401" t="s">
        <v>336</v>
      </c>
      <c r="O1401" t="s">
        <v>515</v>
      </c>
      <c r="P1401">
        <v>3524</v>
      </c>
      <c r="Q1401" t="s">
        <v>9814</v>
      </c>
    </row>
    <row r="1402" spans="1:17" x14ac:dyDescent="0.3">
      <c r="A1402" t="s">
        <v>9815</v>
      </c>
      <c r="B1402" t="s">
        <v>1145</v>
      </c>
      <c r="C1402" t="s">
        <v>75</v>
      </c>
      <c r="D1402" t="s">
        <v>8475</v>
      </c>
      <c r="E1402" t="s">
        <v>9816</v>
      </c>
      <c r="F1402" t="s">
        <v>9817</v>
      </c>
      <c r="I1402" t="s">
        <v>9818</v>
      </c>
      <c r="J1402">
        <v>9361343782</v>
      </c>
      <c r="K1402" t="s">
        <v>9819</v>
      </c>
      <c r="L1402">
        <v>1234</v>
      </c>
      <c r="M1402" t="s">
        <v>645</v>
      </c>
      <c r="N1402" t="s">
        <v>336</v>
      </c>
      <c r="O1402" t="s">
        <v>515</v>
      </c>
      <c r="P1402">
        <v>3527</v>
      </c>
    </row>
    <row r="1403" spans="1:17" x14ac:dyDescent="0.3">
      <c r="A1403" t="s">
        <v>9820</v>
      </c>
      <c r="B1403" t="s">
        <v>4415</v>
      </c>
      <c r="C1403" t="s">
        <v>4079</v>
      </c>
      <c r="D1403" t="s">
        <v>177</v>
      </c>
      <c r="E1403" t="s">
        <v>9821</v>
      </c>
      <c r="F1403" t="s">
        <v>9822</v>
      </c>
      <c r="G1403">
        <v>15.181742889095201</v>
      </c>
      <c r="H1403">
        <v>120.527755022048</v>
      </c>
      <c r="I1403" t="s">
        <v>9823</v>
      </c>
      <c r="J1403" t="s">
        <v>9824</v>
      </c>
      <c r="K1403" t="s">
        <v>9825</v>
      </c>
      <c r="L1403">
        <v>1234</v>
      </c>
      <c r="M1403" t="s">
        <v>645</v>
      </c>
      <c r="N1403" t="s">
        <v>336</v>
      </c>
      <c r="O1403" t="s">
        <v>9826</v>
      </c>
      <c r="P1403">
        <v>3224</v>
      </c>
    </row>
    <row r="1404" spans="1:17" x14ac:dyDescent="0.3">
      <c r="A1404" t="s">
        <v>9827</v>
      </c>
      <c r="B1404" t="s">
        <v>7454</v>
      </c>
      <c r="C1404" t="s">
        <v>9828</v>
      </c>
      <c r="D1404" t="s">
        <v>2561</v>
      </c>
      <c r="E1404" t="s">
        <v>1276</v>
      </c>
      <c r="F1404" t="s">
        <v>9829</v>
      </c>
      <c r="G1404">
        <v>15.1908545640905</v>
      </c>
      <c r="H1404">
        <v>120.525566339492</v>
      </c>
      <c r="I1404" t="s">
        <v>9830</v>
      </c>
      <c r="J1404">
        <v>9677689951</v>
      </c>
      <c r="K1404" t="s">
        <v>9831</v>
      </c>
      <c r="L1404">
        <v>1234</v>
      </c>
      <c r="M1404" t="s">
        <v>645</v>
      </c>
      <c r="N1404" t="s">
        <v>336</v>
      </c>
      <c r="O1404" t="s">
        <v>441</v>
      </c>
      <c r="P1404">
        <v>3331</v>
      </c>
    </row>
    <row r="1405" spans="1:17" x14ac:dyDescent="0.3">
      <c r="A1405" t="s">
        <v>9832</v>
      </c>
      <c r="B1405" t="s">
        <v>9833</v>
      </c>
      <c r="C1405" t="s">
        <v>9834</v>
      </c>
      <c r="E1405" t="s">
        <v>3932</v>
      </c>
      <c r="F1405" t="s">
        <v>9835</v>
      </c>
      <c r="I1405" t="s">
        <v>9836</v>
      </c>
      <c r="J1405">
        <v>9692026722</v>
      </c>
      <c r="K1405" t="s">
        <v>9837</v>
      </c>
      <c r="L1405">
        <v>1234</v>
      </c>
      <c r="M1405" t="s">
        <v>645</v>
      </c>
      <c r="N1405" t="s">
        <v>336</v>
      </c>
      <c r="O1405" t="s">
        <v>515</v>
      </c>
      <c r="P1405">
        <v>3518</v>
      </c>
      <c r="Q1405" t="s">
        <v>9838</v>
      </c>
    </row>
    <row r="1406" spans="1:17" x14ac:dyDescent="0.3">
      <c r="A1406" t="s">
        <v>9839</v>
      </c>
      <c r="B1406" t="s">
        <v>486</v>
      </c>
      <c r="C1406" t="s">
        <v>4039</v>
      </c>
      <c r="D1406" t="s">
        <v>4040</v>
      </c>
      <c r="E1406" t="s">
        <v>4041</v>
      </c>
      <c r="F1406" t="s">
        <v>9840</v>
      </c>
      <c r="G1406">
        <v>0</v>
      </c>
      <c r="H1406">
        <v>0</v>
      </c>
      <c r="I1406" t="s">
        <v>9841</v>
      </c>
      <c r="J1406">
        <v>9171900483</v>
      </c>
      <c r="K1406" t="s">
        <v>9842</v>
      </c>
      <c r="L1406">
        <v>1234</v>
      </c>
      <c r="M1406" t="s">
        <v>645</v>
      </c>
      <c r="N1406" t="s">
        <v>779</v>
      </c>
      <c r="O1406" t="s">
        <v>1049</v>
      </c>
      <c r="P1406">
        <v>2363</v>
      </c>
    </row>
    <row r="1407" spans="1:17" x14ac:dyDescent="0.3">
      <c r="A1407" t="s">
        <v>9843</v>
      </c>
      <c r="B1407" t="s">
        <v>1281</v>
      </c>
      <c r="C1407" t="s">
        <v>9844</v>
      </c>
      <c r="D1407" t="s">
        <v>2561</v>
      </c>
      <c r="E1407" t="s">
        <v>1276</v>
      </c>
      <c r="F1407" t="s">
        <v>9845</v>
      </c>
      <c r="I1407" t="s">
        <v>9846</v>
      </c>
      <c r="J1407" t="s">
        <v>9847</v>
      </c>
      <c r="K1407" t="s">
        <v>9848</v>
      </c>
      <c r="L1407">
        <v>1234</v>
      </c>
      <c r="M1407" t="s">
        <v>645</v>
      </c>
      <c r="N1407" t="s">
        <v>398</v>
      </c>
      <c r="O1407" t="s">
        <v>685</v>
      </c>
      <c r="P1407">
        <v>3205</v>
      </c>
    </row>
    <row r="1408" spans="1:17" x14ac:dyDescent="0.3">
      <c r="A1408" t="s">
        <v>9849</v>
      </c>
      <c r="B1408" t="s">
        <v>9850</v>
      </c>
      <c r="C1408" t="s">
        <v>9851</v>
      </c>
      <c r="D1408" t="s">
        <v>1571</v>
      </c>
      <c r="E1408" t="s">
        <v>1110</v>
      </c>
      <c r="F1408" t="s">
        <v>9852</v>
      </c>
      <c r="G1408">
        <v>15.175690655811399</v>
      </c>
      <c r="H1408">
        <v>120.526993274688</v>
      </c>
      <c r="I1408" t="s">
        <v>9853</v>
      </c>
      <c r="J1408" t="s">
        <v>9854</v>
      </c>
      <c r="K1408" t="s">
        <v>9855</v>
      </c>
      <c r="L1408" t="s">
        <v>9856</v>
      </c>
      <c r="M1408" t="s">
        <v>645</v>
      </c>
      <c r="N1408" t="s">
        <v>304</v>
      </c>
      <c r="O1408" t="s">
        <v>323</v>
      </c>
      <c r="P1408">
        <v>3538</v>
      </c>
    </row>
    <row r="1409" spans="1:17" x14ac:dyDescent="0.3">
      <c r="A1409" t="s">
        <v>9857</v>
      </c>
      <c r="F1409" t="s">
        <v>9858</v>
      </c>
      <c r="K1409" t="s">
        <v>9859</v>
      </c>
      <c r="L1409">
        <v>1234</v>
      </c>
      <c r="M1409" t="s">
        <v>645</v>
      </c>
      <c r="N1409" t="s">
        <v>398</v>
      </c>
      <c r="O1409" t="s">
        <v>685</v>
      </c>
      <c r="P1409">
        <v>3356</v>
      </c>
    </row>
    <row r="1410" spans="1:17" x14ac:dyDescent="0.3">
      <c r="A1410" t="s">
        <v>9860</v>
      </c>
      <c r="B1410" t="s">
        <v>9861</v>
      </c>
      <c r="C1410" t="s">
        <v>9862</v>
      </c>
      <c r="D1410" t="s">
        <v>6113</v>
      </c>
      <c r="E1410" t="s">
        <v>477</v>
      </c>
      <c r="F1410" t="s">
        <v>9863</v>
      </c>
      <c r="G1410">
        <v>0</v>
      </c>
      <c r="H1410">
        <v>0</v>
      </c>
      <c r="I1410" t="s">
        <v>9864</v>
      </c>
      <c r="J1410">
        <v>9668097469</v>
      </c>
      <c r="K1410" t="s">
        <v>9865</v>
      </c>
      <c r="L1410">
        <v>1234</v>
      </c>
      <c r="M1410" t="s">
        <v>645</v>
      </c>
      <c r="N1410" t="s">
        <v>9866</v>
      </c>
      <c r="O1410" t="s">
        <v>2414</v>
      </c>
      <c r="P1410">
        <v>1048</v>
      </c>
    </row>
    <row r="1411" spans="1:17" x14ac:dyDescent="0.3">
      <c r="A1411" t="s">
        <v>9867</v>
      </c>
      <c r="B1411" t="s">
        <v>9868</v>
      </c>
      <c r="C1411" t="s">
        <v>9869</v>
      </c>
      <c r="D1411" t="s">
        <v>1909</v>
      </c>
      <c r="E1411" t="s">
        <v>3723</v>
      </c>
      <c r="F1411" t="s">
        <v>9870</v>
      </c>
      <c r="G1411">
        <v>0</v>
      </c>
      <c r="H1411">
        <v>0</v>
      </c>
      <c r="I1411" t="s">
        <v>9871</v>
      </c>
      <c r="J1411" t="s">
        <v>9872</v>
      </c>
      <c r="K1411" t="s">
        <v>9873</v>
      </c>
      <c r="L1411">
        <v>1234</v>
      </c>
      <c r="M1411" t="s">
        <v>645</v>
      </c>
      <c r="N1411" t="s">
        <v>871</v>
      </c>
      <c r="O1411" t="s">
        <v>1115</v>
      </c>
      <c r="P1411">
        <v>3545</v>
      </c>
    </row>
    <row r="1412" spans="1:17" x14ac:dyDescent="0.3">
      <c r="A1412" t="s">
        <v>9874</v>
      </c>
      <c r="B1412" t="s">
        <v>1976</v>
      </c>
      <c r="C1412" t="s">
        <v>9875</v>
      </c>
      <c r="D1412" t="s">
        <v>2104</v>
      </c>
      <c r="E1412" t="s">
        <v>1276</v>
      </c>
      <c r="F1412" t="s">
        <v>9876</v>
      </c>
      <c r="G1412">
        <v>0</v>
      </c>
      <c r="H1412">
        <v>0</v>
      </c>
      <c r="I1412" t="s">
        <v>9877</v>
      </c>
      <c r="J1412">
        <v>9171827065</v>
      </c>
      <c r="K1412" t="s">
        <v>9878</v>
      </c>
      <c r="L1412">
        <v>1234</v>
      </c>
      <c r="M1412" t="s">
        <v>645</v>
      </c>
      <c r="N1412" t="s">
        <v>398</v>
      </c>
      <c r="O1412" t="s">
        <v>582</v>
      </c>
      <c r="P1412">
        <v>3540</v>
      </c>
    </row>
    <row r="1413" spans="1:17" x14ac:dyDescent="0.3">
      <c r="A1413" t="s">
        <v>9879</v>
      </c>
      <c r="B1413" t="s">
        <v>5721</v>
      </c>
      <c r="C1413" t="s">
        <v>9116</v>
      </c>
      <c r="D1413" t="s">
        <v>3487</v>
      </c>
      <c r="E1413" t="s">
        <v>1062</v>
      </c>
      <c r="F1413" t="s">
        <v>9880</v>
      </c>
      <c r="G1413">
        <v>0</v>
      </c>
      <c r="H1413">
        <v>0</v>
      </c>
      <c r="I1413" t="s">
        <v>9881</v>
      </c>
      <c r="J1413" t="s">
        <v>9882</v>
      </c>
      <c r="K1413" t="s">
        <v>9883</v>
      </c>
      <c r="L1413">
        <v>1234</v>
      </c>
      <c r="M1413" t="s">
        <v>645</v>
      </c>
      <c r="N1413" t="s">
        <v>398</v>
      </c>
      <c r="O1413" t="s">
        <v>582</v>
      </c>
      <c r="P1413">
        <v>3486</v>
      </c>
    </row>
    <row r="1414" spans="1:17" x14ac:dyDescent="0.3">
      <c r="A1414" t="s">
        <v>9884</v>
      </c>
      <c r="B1414" t="s">
        <v>9885</v>
      </c>
      <c r="C1414" t="s">
        <v>9886</v>
      </c>
      <c r="D1414" t="s">
        <v>5398</v>
      </c>
      <c r="E1414" t="s">
        <v>698</v>
      </c>
      <c r="F1414" t="s">
        <v>9887</v>
      </c>
      <c r="G1414">
        <v>0</v>
      </c>
      <c r="H1414">
        <v>0</v>
      </c>
      <c r="I1414" t="s">
        <v>9888</v>
      </c>
      <c r="J1414">
        <v>9688524793</v>
      </c>
      <c r="K1414" t="s">
        <v>9889</v>
      </c>
      <c r="L1414">
        <v>1234</v>
      </c>
      <c r="M1414" t="s">
        <v>645</v>
      </c>
      <c r="N1414" t="s">
        <v>871</v>
      </c>
      <c r="O1414" t="s">
        <v>1628</v>
      </c>
      <c r="P1414">
        <v>2921</v>
      </c>
    </row>
    <row r="1415" spans="1:17" x14ac:dyDescent="0.3">
      <c r="A1415" t="s">
        <v>9890</v>
      </c>
      <c r="B1415" t="s">
        <v>1273</v>
      </c>
      <c r="C1415" t="s">
        <v>9891</v>
      </c>
      <c r="E1415" t="s">
        <v>477</v>
      </c>
      <c r="F1415" t="s">
        <v>9892</v>
      </c>
      <c r="I1415" t="s">
        <v>9893</v>
      </c>
      <c r="J1415">
        <v>9399387866</v>
      </c>
      <c r="K1415" t="s">
        <v>9894</v>
      </c>
      <c r="L1415">
        <v>1234</v>
      </c>
      <c r="M1415" t="s">
        <v>645</v>
      </c>
      <c r="N1415" t="s">
        <v>369</v>
      </c>
      <c r="O1415" t="s">
        <v>370</v>
      </c>
      <c r="P1415">
        <v>3534</v>
      </c>
    </row>
    <row r="1416" spans="1:17" x14ac:dyDescent="0.3">
      <c r="A1416" t="s">
        <v>9895</v>
      </c>
      <c r="B1416" t="s">
        <v>1265</v>
      </c>
      <c r="C1416" t="s">
        <v>1266</v>
      </c>
      <c r="D1416" t="s">
        <v>1267</v>
      </c>
      <c r="E1416" t="s">
        <v>477</v>
      </c>
      <c r="F1416" t="s">
        <v>9896</v>
      </c>
      <c r="I1416" t="s">
        <v>9897</v>
      </c>
      <c r="J1416">
        <v>9979932798</v>
      </c>
      <c r="K1416" t="s">
        <v>1270</v>
      </c>
      <c r="L1416">
        <v>1234</v>
      </c>
      <c r="M1416" s="1">
        <v>43196</v>
      </c>
      <c r="N1416" t="s">
        <v>16</v>
      </c>
      <c r="O1416" t="s">
        <v>292</v>
      </c>
      <c r="P1416">
        <v>36</v>
      </c>
    </row>
    <row r="1417" spans="1:17" x14ac:dyDescent="0.3">
      <c r="A1417" t="s">
        <v>9898</v>
      </c>
      <c r="B1417" t="s">
        <v>9899</v>
      </c>
      <c r="C1417" t="s">
        <v>9900</v>
      </c>
      <c r="D1417" t="s">
        <v>9901</v>
      </c>
      <c r="E1417" t="s">
        <v>6289</v>
      </c>
      <c r="F1417" t="s">
        <v>9902</v>
      </c>
      <c r="G1417">
        <v>0</v>
      </c>
      <c r="H1417">
        <v>0</v>
      </c>
      <c r="I1417" t="s">
        <v>9903</v>
      </c>
      <c r="J1417">
        <v>9065587377</v>
      </c>
      <c r="K1417" t="s">
        <v>9904</v>
      </c>
      <c r="L1417" t="s">
        <v>9905</v>
      </c>
      <c r="M1417" t="s">
        <v>645</v>
      </c>
      <c r="N1417" t="s">
        <v>398</v>
      </c>
      <c r="O1417" t="s">
        <v>1104</v>
      </c>
      <c r="P1417">
        <v>3457</v>
      </c>
    </row>
    <row r="1418" spans="1:17" x14ac:dyDescent="0.3">
      <c r="A1418" t="s">
        <v>9906</v>
      </c>
      <c r="B1418" t="s">
        <v>9907</v>
      </c>
      <c r="C1418" t="s">
        <v>6239</v>
      </c>
      <c r="D1418" t="s">
        <v>4756</v>
      </c>
      <c r="E1418" t="s">
        <v>9908</v>
      </c>
      <c r="F1418" t="s">
        <v>9909</v>
      </c>
      <c r="G1418">
        <v>0</v>
      </c>
      <c r="H1418">
        <v>0</v>
      </c>
      <c r="I1418" t="s">
        <v>9910</v>
      </c>
      <c r="J1418">
        <v>9165024634</v>
      </c>
      <c r="K1418" t="s">
        <v>9911</v>
      </c>
      <c r="L1418" t="s">
        <v>9912</v>
      </c>
      <c r="M1418" t="s">
        <v>645</v>
      </c>
      <c r="N1418" t="s">
        <v>710</v>
      </c>
      <c r="O1418" t="s">
        <v>711</v>
      </c>
      <c r="P1418">
        <v>3549</v>
      </c>
      <c r="Q1418" t="s">
        <v>9913</v>
      </c>
    </row>
    <row r="1419" spans="1:17" x14ac:dyDescent="0.3">
      <c r="A1419" t="s">
        <v>9914</v>
      </c>
      <c r="B1419" t="s">
        <v>9915</v>
      </c>
      <c r="C1419" t="s">
        <v>9916</v>
      </c>
      <c r="E1419" t="s">
        <v>1062</v>
      </c>
      <c r="F1419" t="s">
        <v>9917</v>
      </c>
      <c r="I1419" t="s">
        <v>9918</v>
      </c>
      <c r="J1419">
        <v>9177061440</v>
      </c>
      <c r="K1419" t="s">
        <v>9919</v>
      </c>
      <c r="L1419" t="s">
        <v>9920</v>
      </c>
      <c r="M1419" t="s">
        <v>645</v>
      </c>
      <c r="N1419" t="s">
        <v>369</v>
      </c>
      <c r="O1419" t="s">
        <v>370</v>
      </c>
      <c r="P1419">
        <v>3351</v>
      </c>
    </row>
    <row r="1420" spans="1:17" x14ac:dyDescent="0.3">
      <c r="A1420" t="s">
        <v>9921</v>
      </c>
      <c r="B1420" t="s">
        <v>9922</v>
      </c>
      <c r="C1420" t="s">
        <v>9923</v>
      </c>
      <c r="D1420" t="s">
        <v>9924</v>
      </c>
      <c r="E1420" t="s">
        <v>1062</v>
      </c>
      <c r="F1420" t="s">
        <v>9925</v>
      </c>
      <c r="G1420">
        <v>0</v>
      </c>
      <c r="H1420">
        <v>0</v>
      </c>
      <c r="I1420" t="s">
        <v>9926</v>
      </c>
      <c r="J1420">
        <v>9644607686</v>
      </c>
      <c r="K1420" t="s">
        <v>9927</v>
      </c>
      <c r="L1420">
        <v>10192022</v>
      </c>
      <c r="M1420" t="s">
        <v>645</v>
      </c>
      <c r="N1420" t="s">
        <v>398</v>
      </c>
      <c r="O1420" t="s">
        <v>1104</v>
      </c>
      <c r="P1420">
        <v>3547</v>
      </c>
      <c r="Q1420" t="s">
        <v>9928</v>
      </c>
    </row>
    <row r="1421" spans="1:17" x14ac:dyDescent="0.3">
      <c r="A1421" t="s">
        <v>9929</v>
      </c>
      <c r="B1421" t="s">
        <v>4010</v>
      </c>
      <c r="C1421" t="s">
        <v>9930</v>
      </c>
      <c r="D1421" t="s">
        <v>9376</v>
      </c>
      <c r="E1421" t="s">
        <v>1276</v>
      </c>
      <c r="F1421" t="s">
        <v>9931</v>
      </c>
      <c r="G1421">
        <v>15.188328184525099</v>
      </c>
      <c r="H1421">
        <v>480.525566339492</v>
      </c>
      <c r="I1421" t="s">
        <v>9932</v>
      </c>
      <c r="J1421">
        <v>9683740818</v>
      </c>
      <c r="K1421" t="s">
        <v>9933</v>
      </c>
      <c r="L1421">
        <v>1234</v>
      </c>
      <c r="M1421" t="s">
        <v>645</v>
      </c>
      <c r="N1421" t="s">
        <v>398</v>
      </c>
      <c r="O1421" t="s">
        <v>685</v>
      </c>
      <c r="P1421">
        <v>3471</v>
      </c>
    </row>
    <row r="1422" spans="1:17" x14ac:dyDescent="0.3">
      <c r="A1422" t="s">
        <v>9726</v>
      </c>
      <c r="B1422" t="s">
        <v>1807</v>
      </c>
      <c r="C1422" t="s">
        <v>1808</v>
      </c>
      <c r="D1422" t="s">
        <v>1809</v>
      </c>
      <c r="E1422" t="s">
        <v>9727</v>
      </c>
      <c r="F1422" t="s">
        <v>9934</v>
      </c>
      <c r="I1422" t="s">
        <v>1811</v>
      </c>
      <c r="J1422" t="s">
        <v>9729</v>
      </c>
      <c r="K1422" t="s">
        <v>1812</v>
      </c>
      <c r="L1422">
        <v>1234</v>
      </c>
      <c r="M1422" s="1">
        <v>43524</v>
      </c>
      <c r="N1422" t="s">
        <v>16</v>
      </c>
      <c r="O1422" t="s">
        <v>292</v>
      </c>
      <c r="P1422">
        <v>1584</v>
      </c>
    </row>
    <row r="1423" spans="1:17" x14ac:dyDescent="0.3">
      <c r="A1423" t="s">
        <v>9935</v>
      </c>
      <c r="B1423" t="s">
        <v>895</v>
      </c>
      <c r="C1423" t="s">
        <v>9936</v>
      </c>
      <c r="D1423" t="s">
        <v>9937</v>
      </c>
      <c r="E1423" t="s">
        <v>1276</v>
      </c>
      <c r="F1423" t="s">
        <v>9938</v>
      </c>
      <c r="G1423">
        <v>0</v>
      </c>
      <c r="H1423">
        <v>0</v>
      </c>
      <c r="I1423" t="s">
        <v>9939</v>
      </c>
      <c r="J1423" t="s">
        <v>9940</v>
      </c>
      <c r="K1423" t="s">
        <v>9941</v>
      </c>
      <c r="L1423">
        <v>1234</v>
      </c>
      <c r="M1423" t="s">
        <v>645</v>
      </c>
      <c r="N1423" t="s">
        <v>398</v>
      </c>
      <c r="O1423" t="s">
        <v>582</v>
      </c>
      <c r="P1423">
        <v>3541</v>
      </c>
    </row>
    <row r="1424" spans="1:17" x14ac:dyDescent="0.3">
      <c r="A1424" t="s">
        <v>9942</v>
      </c>
      <c r="B1424" t="s">
        <v>5648</v>
      </c>
      <c r="C1424" t="s">
        <v>5649</v>
      </c>
      <c r="D1424" t="s">
        <v>5650</v>
      </c>
      <c r="E1424" t="s">
        <v>986</v>
      </c>
      <c r="F1424" t="s">
        <v>9943</v>
      </c>
      <c r="G1424">
        <v>15.1780473705665</v>
      </c>
      <c r="H1424">
        <v>120.576456107049</v>
      </c>
      <c r="I1424" t="s">
        <v>5653</v>
      </c>
      <c r="J1424">
        <v>661925170</v>
      </c>
      <c r="K1424" t="s">
        <v>9944</v>
      </c>
      <c r="L1424">
        <v>1234</v>
      </c>
      <c r="M1424" t="s">
        <v>645</v>
      </c>
      <c r="N1424" t="s">
        <v>931</v>
      </c>
      <c r="O1424" t="s">
        <v>9945</v>
      </c>
      <c r="P1424">
        <v>3133</v>
      </c>
    </row>
    <row r="1425" spans="1:17" x14ac:dyDescent="0.3">
      <c r="A1425" t="s">
        <v>9946</v>
      </c>
      <c r="B1425" t="s">
        <v>9947</v>
      </c>
      <c r="C1425" t="s">
        <v>9948</v>
      </c>
      <c r="D1425" t="s">
        <v>1292</v>
      </c>
      <c r="E1425" t="s">
        <v>9949</v>
      </c>
      <c r="F1425" t="s">
        <v>9950</v>
      </c>
      <c r="G1425">
        <v>0</v>
      </c>
      <c r="H1425">
        <v>0</v>
      </c>
      <c r="I1425" t="s">
        <v>2819</v>
      </c>
      <c r="J1425" t="s">
        <v>6523</v>
      </c>
      <c r="K1425" t="s">
        <v>9951</v>
      </c>
      <c r="L1425">
        <v>1234</v>
      </c>
      <c r="M1425" t="s">
        <v>645</v>
      </c>
      <c r="N1425" t="s">
        <v>398</v>
      </c>
      <c r="O1425" t="s">
        <v>685</v>
      </c>
      <c r="P1425">
        <v>3551</v>
      </c>
    </row>
    <row r="1426" spans="1:17" x14ac:dyDescent="0.3">
      <c r="A1426" t="s">
        <v>9952</v>
      </c>
      <c r="B1426" t="s">
        <v>1273</v>
      </c>
      <c r="C1426" t="s">
        <v>9953</v>
      </c>
      <c r="D1426" t="s">
        <v>9954</v>
      </c>
      <c r="E1426" t="s">
        <v>3723</v>
      </c>
      <c r="F1426" t="s">
        <v>9955</v>
      </c>
      <c r="G1426">
        <v>3.6478042602399997E-4</v>
      </c>
      <c r="H1426">
        <v>-2.3174285888671801E-3</v>
      </c>
      <c r="I1426" t="s">
        <v>8757</v>
      </c>
      <c r="J1426">
        <v>9083338993</v>
      </c>
      <c r="K1426" t="s">
        <v>9956</v>
      </c>
      <c r="L1426">
        <v>1234</v>
      </c>
      <c r="M1426" t="s">
        <v>645</v>
      </c>
      <c r="N1426" t="s">
        <v>16</v>
      </c>
      <c r="O1426" t="s">
        <v>292</v>
      </c>
      <c r="P1426">
        <v>3559</v>
      </c>
    </row>
    <row r="1427" spans="1:17" x14ac:dyDescent="0.3">
      <c r="A1427" t="s">
        <v>9957</v>
      </c>
      <c r="B1427" t="s">
        <v>3085</v>
      </c>
      <c r="C1427" t="s">
        <v>9958</v>
      </c>
      <c r="D1427" t="s">
        <v>697</v>
      </c>
      <c r="E1427" t="s">
        <v>9024</v>
      </c>
      <c r="F1427" t="s">
        <v>9959</v>
      </c>
      <c r="G1427">
        <v>0</v>
      </c>
      <c r="H1427">
        <v>0</v>
      </c>
      <c r="I1427" t="s">
        <v>9960</v>
      </c>
      <c r="J1427" t="s">
        <v>9961</v>
      </c>
      <c r="K1427" t="s">
        <v>9962</v>
      </c>
      <c r="L1427">
        <v>1234</v>
      </c>
      <c r="M1427" t="s">
        <v>645</v>
      </c>
      <c r="N1427" t="s">
        <v>369</v>
      </c>
      <c r="O1427" t="s">
        <v>370</v>
      </c>
      <c r="P1427">
        <v>3521</v>
      </c>
    </row>
    <row r="1428" spans="1:17" x14ac:dyDescent="0.3">
      <c r="A1428" t="s">
        <v>9963</v>
      </c>
      <c r="B1428" t="s">
        <v>1983</v>
      </c>
      <c r="C1428" t="s">
        <v>9964</v>
      </c>
      <c r="D1428" t="s">
        <v>1976</v>
      </c>
      <c r="E1428" t="s">
        <v>3792</v>
      </c>
      <c r="F1428" t="s">
        <v>9965</v>
      </c>
      <c r="G1428">
        <v>0</v>
      </c>
      <c r="H1428">
        <v>0</v>
      </c>
      <c r="I1428" t="s">
        <v>9966</v>
      </c>
      <c r="J1428">
        <v>9772642617</v>
      </c>
      <c r="K1428" t="s">
        <v>9967</v>
      </c>
      <c r="L1428">
        <v>1234</v>
      </c>
      <c r="M1428" t="s">
        <v>645</v>
      </c>
      <c r="N1428" t="s">
        <v>398</v>
      </c>
      <c r="O1428" t="s">
        <v>582</v>
      </c>
      <c r="P1428">
        <v>3535</v>
      </c>
    </row>
    <row r="1429" spans="1:17" x14ac:dyDescent="0.3">
      <c r="A1429" t="s">
        <v>9968</v>
      </c>
      <c r="B1429" t="s">
        <v>1544</v>
      </c>
      <c r="C1429" t="s">
        <v>9969</v>
      </c>
      <c r="D1429" t="s">
        <v>1909</v>
      </c>
      <c r="E1429" t="s">
        <v>9970</v>
      </c>
      <c r="F1429" t="s">
        <v>9971</v>
      </c>
      <c r="G1429">
        <v>0</v>
      </c>
      <c r="H1429">
        <v>0</v>
      </c>
      <c r="I1429" t="s">
        <v>9972</v>
      </c>
      <c r="J1429">
        <v>9994009267</v>
      </c>
      <c r="K1429" t="s">
        <v>9973</v>
      </c>
      <c r="L1429">
        <v>1234</v>
      </c>
      <c r="M1429" t="s">
        <v>645</v>
      </c>
      <c r="N1429" t="s">
        <v>398</v>
      </c>
      <c r="O1429" t="s">
        <v>582</v>
      </c>
      <c r="P1429">
        <v>2731</v>
      </c>
    </row>
    <row r="1430" spans="1:17" x14ac:dyDescent="0.3">
      <c r="A1430" t="s">
        <v>9974</v>
      </c>
      <c r="B1430" t="s">
        <v>9975</v>
      </c>
      <c r="C1430" t="s">
        <v>9976</v>
      </c>
      <c r="D1430" t="s">
        <v>5543</v>
      </c>
      <c r="E1430" t="s">
        <v>1276</v>
      </c>
      <c r="F1430" t="s">
        <v>9463</v>
      </c>
      <c r="G1430">
        <v>15.2016016931764</v>
      </c>
      <c r="H1430">
        <v>840.540854930877</v>
      </c>
      <c r="I1430" t="s">
        <v>9977</v>
      </c>
      <c r="J1430">
        <v>9077277993</v>
      </c>
      <c r="K1430" t="s">
        <v>9978</v>
      </c>
      <c r="L1430">
        <v>1234</v>
      </c>
      <c r="M1430" t="s">
        <v>645</v>
      </c>
      <c r="N1430" t="s">
        <v>398</v>
      </c>
      <c r="O1430" t="s">
        <v>685</v>
      </c>
      <c r="P1430">
        <v>3550</v>
      </c>
    </row>
    <row r="1431" spans="1:17" x14ac:dyDescent="0.3">
      <c r="A1431" t="s">
        <v>9979</v>
      </c>
      <c r="B1431" t="s">
        <v>9980</v>
      </c>
      <c r="C1431" t="s">
        <v>9981</v>
      </c>
      <c r="D1431" t="s">
        <v>9982</v>
      </c>
      <c r="E1431" t="s">
        <v>1276</v>
      </c>
      <c r="F1431" t="s">
        <v>9983</v>
      </c>
      <c r="I1431" t="s">
        <v>9984</v>
      </c>
      <c r="J1431">
        <v>9165952511</v>
      </c>
      <c r="K1431" t="s">
        <v>9985</v>
      </c>
      <c r="L1431">
        <v>1234</v>
      </c>
      <c r="M1431" t="s">
        <v>645</v>
      </c>
      <c r="N1431" t="s">
        <v>336</v>
      </c>
      <c r="O1431" t="s">
        <v>441</v>
      </c>
      <c r="P1431">
        <v>3539</v>
      </c>
    </row>
    <row r="1432" spans="1:17" x14ac:dyDescent="0.3">
      <c r="A1432" t="s">
        <v>9986</v>
      </c>
      <c r="B1432" t="s">
        <v>9987</v>
      </c>
      <c r="C1432" t="s">
        <v>9988</v>
      </c>
      <c r="D1432" t="s">
        <v>1182</v>
      </c>
      <c r="E1432" t="s">
        <v>9989</v>
      </c>
      <c r="F1432" t="s">
        <v>9990</v>
      </c>
      <c r="G1432">
        <v>15.1777888</v>
      </c>
      <c r="H1432">
        <v>120.5269246</v>
      </c>
      <c r="I1432" t="s">
        <v>9991</v>
      </c>
      <c r="J1432">
        <v>9925827857</v>
      </c>
      <c r="K1432" t="s">
        <v>9992</v>
      </c>
      <c r="L1432" t="s">
        <v>9993</v>
      </c>
      <c r="M1432" t="s">
        <v>645</v>
      </c>
      <c r="N1432" t="s">
        <v>336</v>
      </c>
      <c r="O1432" t="s">
        <v>337</v>
      </c>
      <c r="P1432">
        <v>3556</v>
      </c>
    </row>
    <row r="1433" spans="1:17" x14ac:dyDescent="0.3">
      <c r="A1433" t="s">
        <v>9994</v>
      </c>
      <c r="B1433" t="s">
        <v>9995</v>
      </c>
      <c r="C1433" t="s">
        <v>9996</v>
      </c>
      <c r="D1433" t="s">
        <v>2039</v>
      </c>
      <c r="E1433" t="s">
        <v>1276</v>
      </c>
      <c r="F1433" t="s">
        <v>9997</v>
      </c>
      <c r="G1433">
        <v>15.1780515133787</v>
      </c>
      <c r="H1433">
        <v>480.57284295558901</v>
      </c>
      <c r="I1433" t="s">
        <v>9998</v>
      </c>
      <c r="J1433">
        <v>9335617698</v>
      </c>
      <c r="K1433" t="s">
        <v>9999</v>
      </c>
      <c r="L1433">
        <v>1234</v>
      </c>
      <c r="M1433" t="s">
        <v>645</v>
      </c>
      <c r="N1433" t="s">
        <v>398</v>
      </c>
      <c r="O1433" t="s">
        <v>685</v>
      </c>
      <c r="P1433">
        <v>3438</v>
      </c>
    </row>
    <row r="1434" spans="1:17" x14ac:dyDescent="0.3">
      <c r="A1434" t="s">
        <v>10000</v>
      </c>
      <c r="B1434" t="s">
        <v>2802</v>
      </c>
      <c r="C1434" t="s">
        <v>2803</v>
      </c>
      <c r="D1434" t="s">
        <v>2804</v>
      </c>
      <c r="E1434" t="s">
        <v>1110</v>
      </c>
      <c r="F1434" t="s">
        <v>10001</v>
      </c>
      <c r="G1434">
        <v>0</v>
      </c>
      <c r="H1434">
        <v>0</v>
      </c>
      <c r="I1434" t="s">
        <v>2806</v>
      </c>
      <c r="J1434">
        <v>9985683988</v>
      </c>
      <c r="K1434" t="s">
        <v>10002</v>
      </c>
      <c r="L1434" t="s">
        <v>2808</v>
      </c>
      <c r="M1434" t="s">
        <v>645</v>
      </c>
      <c r="N1434" t="s">
        <v>369</v>
      </c>
      <c r="O1434" t="s">
        <v>2809</v>
      </c>
      <c r="P1434">
        <v>3552</v>
      </c>
    </row>
    <row r="1435" spans="1:17" x14ac:dyDescent="0.3">
      <c r="A1435" t="s">
        <v>10003</v>
      </c>
      <c r="B1435" t="s">
        <v>1219</v>
      </c>
      <c r="C1435" t="s">
        <v>10004</v>
      </c>
      <c r="D1435" t="s">
        <v>7898</v>
      </c>
      <c r="E1435" t="s">
        <v>8786</v>
      </c>
      <c r="F1435" t="s">
        <v>10005</v>
      </c>
      <c r="I1435" t="s">
        <v>10006</v>
      </c>
      <c r="J1435">
        <v>9613537037</v>
      </c>
      <c r="K1435" t="s">
        <v>10007</v>
      </c>
      <c r="L1435" t="s">
        <v>6072</v>
      </c>
      <c r="M1435" t="s">
        <v>645</v>
      </c>
      <c r="N1435" t="s">
        <v>336</v>
      </c>
      <c r="O1435" t="s">
        <v>515</v>
      </c>
      <c r="P1435">
        <v>3548</v>
      </c>
    </row>
    <row r="1436" spans="1:17" x14ac:dyDescent="0.3">
      <c r="A1436" t="s">
        <v>10008</v>
      </c>
      <c r="B1436" t="s">
        <v>2892</v>
      </c>
      <c r="C1436" t="s">
        <v>10009</v>
      </c>
      <c r="D1436" t="s">
        <v>10010</v>
      </c>
      <c r="E1436" t="s">
        <v>10011</v>
      </c>
      <c r="F1436" t="s">
        <v>10012</v>
      </c>
      <c r="I1436" t="s">
        <v>10013</v>
      </c>
      <c r="J1436">
        <v>9171099288</v>
      </c>
      <c r="K1436" t="s">
        <v>10014</v>
      </c>
      <c r="L1436">
        <v>1234</v>
      </c>
      <c r="M1436" t="s">
        <v>645</v>
      </c>
      <c r="N1436" t="s">
        <v>931</v>
      </c>
      <c r="P1436">
        <v>3281</v>
      </c>
    </row>
    <row r="1437" spans="1:17" x14ac:dyDescent="0.3">
      <c r="A1437" t="s">
        <v>10015</v>
      </c>
      <c r="B1437" t="s">
        <v>10016</v>
      </c>
      <c r="C1437" t="s">
        <v>1604</v>
      </c>
      <c r="D1437" t="s">
        <v>1571</v>
      </c>
      <c r="E1437" t="s">
        <v>10017</v>
      </c>
      <c r="F1437" t="s">
        <v>10018</v>
      </c>
      <c r="G1437">
        <v>15.173034659508801</v>
      </c>
      <c r="H1437">
        <v>120.533452033996</v>
      </c>
      <c r="I1437" t="s">
        <v>10019</v>
      </c>
      <c r="J1437">
        <v>9999164062</v>
      </c>
      <c r="K1437" t="s">
        <v>10020</v>
      </c>
      <c r="L1437" t="s">
        <v>10021</v>
      </c>
      <c r="M1437" t="s">
        <v>645</v>
      </c>
      <c r="N1437" t="s">
        <v>369</v>
      </c>
      <c r="O1437" t="s">
        <v>83</v>
      </c>
      <c r="P1437">
        <v>3502</v>
      </c>
      <c r="Q1437" t="s">
        <v>10022</v>
      </c>
    </row>
    <row r="1438" spans="1:17" x14ac:dyDescent="0.3">
      <c r="A1438" t="s">
        <v>10023</v>
      </c>
      <c r="B1438" t="s">
        <v>326</v>
      </c>
      <c r="C1438" t="s">
        <v>10024</v>
      </c>
      <c r="E1438" t="s">
        <v>1276</v>
      </c>
      <c r="F1438" t="s">
        <v>10025</v>
      </c>
      <c r="I1438" t="s">
        <v>10026</v>
      </c>
      <c r="J1438">
        <v>9389229359</v>
      </c>
      <c r="K1438" t="s">
        <v>10027</v>
      </c>
      <c r="L1438">
        <v>1234</v>
      </c>
      <c r="M1438" t="s">
        <v>645</v>
      </c>
      <c r="N1438" t="s">
        <v>398</v>
      </c>
      <c r="O1438" t="s">
        <v>582</v>
      </c>
      <c r="P1438">
        <v>3555</v>
      </c>
    </row>
    <row r="1439" spans="1:17" x14ac:dyDescent="0.3">
      <c r="A1439" t="s">
        <v>10028</v>
      </c>
      <c r="B1439" t="s">
        <v>5070</v>
      </c>
      <c r="C1439" t="s">
        <v>10029</v>
      </c>
      <c r="D1439" t="s">
        <v>559</v>
      </c>
      <c r="E1439" t="s">
        <v>1539</v>
      </c>
      <c r="F1439" t="s">
        <v>10030</v>
      </c>
      <c r="G1439">
        <v>0</v>
      </c>
      <c r="H1439">
        <v>-1.40625</v>
      </c>
      <c r="I1439" t="s">
        <v>10031</v>
      </c>
      <c r="J1439">
        <v>9267370457</v>
      </c>
      <c r="K1439" t="s">
        <v>10032</v>
      </c>
      <c r="L1439">
        <v>1234</v>
      </c>
      <c r="M1439" t="s">
        <v>645</v>
      </c>
      <c r="N1439" t="s">
        <v>398</v>
      </c>
      <c r="O1439" t="s">
        <v>685</v>
      </c>
      <c r="P1439">
        <v>3557</v>
      </c>
    </row>
    <row r="1440" spans="1:17" x14ac:dyDescent="0.3">
      <c r="A1440" t="s">
        <v>10033</v>
      </c>
      <c r="B1440" t="s">
        <v>8854</v>
      </c>
      <c r="C1440" t="s">
        <v>783</v>
      </c>
      <c r="D1440" t="s">
        <v>10034</v>
      </c>
      <c r="E1440" t="s">
        <v>6015</v>
      </c>
      <c r="F1440" t="s">
        <v>10035</v>
      </c>
      <c r="G1440">
        <v>15.177924000000001</v>
      </c>
      <c r="H1440">
        <v>120.52693499999999</v>
      </c>
      <c r="I1440" t="s">
        <v>10036</v>
      </c>
      <c r="J1440" t="s">
        <v>9624</v>
      </c>
      <c r="K1440" t="s">
        <v>10037</v>
      </c>
      <c r="L1440">
        <v>1234</v>
      </c>
      <c r="M1440" t="s">
        <v>645</v>
      </c>
      <c r="N1440" t="s">
        <v>336</v>
      </c>
      <c r="O1440" t="s">
        <v>515</v>
      </c>
      <c r="P1440">
        <v>3564</v>
      </c>
    </row>
    <row r="1441" spans="1:17" x14ac:dyDescent="0.3">
      <c r="A1441" t="s">
        <v>10038</v>
      </c>
      <c r="B1441" t="s">
        <v>10039</v>
      </c>
      <c r="C1441" t="s">
        <v>10040</v>
      </c>
      <c r="D1441" t="s">
        <v>10041</v>
      </c>
      <c r="E1441" t="s">
        <v>477</v>
      </c>
      <c r="F1441" t="s">
        <v>10042</v>
      </c>
      <c r="G1441">
        <v>14.4702792254828</v>
      </c>
      <c r="H1441">
        <v>120.972626209259</v>
      </c>
      <c r="I1441" t="s">
        <v>10043</v>
      </c>
      <c r="J1441">
        <v>9289530465</v>
      </c>
      <c r="K1441" t="s">
        <v>10044</v>
      </c>
      <c r="L1441">
        <v>1234</v>
      </c>
      <c r="M1441" t="s">
        <v>645</v>
      </c>
      <c r="N1441" t="s">
        <v>243</v>
      </c>
      <c r="O1441" t="s">
        <v>853</v>
      </c>
      <c r="P1441">
        <v>3516</v>
      </c>
    </row>
    <row r="1442" spans="1:17" x14ac:dyDescent="0.3">
      <c r="A1442" t="s">
        <v>10045</v>
      </c>
      <c r="B1442" t="s">
        <v>10046</v>
      </c>
      <c r="C1442" t="s">
        <v>10047</v>
      </c>
      <c r="D1442" t="s">
        <v>10048</v>
      </c>
      <c r="E1442" t="s">
        <v>1276</v>
      </c>
      <c r="F1442" t="s">
        <v>10049</v>
      </c>
      <c r="G1442">
        <v>0</v>
      </c>
      <c r="H1442">
        <v>0</v>
      </c>
      <c r="I1442" t="s">
        <v>10050</v>
      </c>
      <c r="J1442" t="s">
        <v>10051</v>
      </c>
      <c r="K1442" t="s">
        <v>10052</v>
      </c>
      <c r="L1442">
        <v>1234</v>
      </c>
      <c r="M1442" t="s">
        <v>645</v>
      </c>
      <c r="N1442" t="s">
        <v>398</v>
      </c>
      <c r="O1442" t="s">
        <v>685</v>
      </c>
      <c r="P1442">
        <v>3563</v>
      </c>
    </row>
    <row r="1443" spans="1:17" x14ac:dyDescent="0.3">
      <c r="A1443" t="s">
        <v>10053</v>
      </c>
      <c r="B1443" t="s">
        <v>10054</v>
      </c>
      <c r="C1443" t="s">
        <v>10055</v>
      </c>
      <c r="D1443" t="s">
        <v>1571</v>
      </c>
      <c r="E1443" t="s">
        <v>10056</v>
      </c>
      <c r="F1443" t="s">
        <v>10057</v>
      </c>
      <c r="G1443">
        <v>15.1786158372666</v>
      </c>
      <c r="H1443">
        <v>120.52173614501901</v>
      </c>
      <c r="I1443" t="s">
        <v>10058</v>
      </c>
      <c r="J1443" t="s">
        <v>10059</v>
      </c>
      <c r="K1443" t="s">
        <v>10060</v>
      </c>
      <c r="L1443">
        <v>1111111</v>
      </c>
      <c r="M1443" t="s">
        <v>645</v>
      </c>
      <c r="N1443" t="s">
        <v>398</v>
      </c>
      <c r="O1443" t="s">
        <v>582</v>
      </c>
      <c r="P1443">
        <v>3571</v>
      </c>
    </row>
    <row r="1444" spans="1:17" x14ac:dyDescent="0.3">
      <c r="A1444" t="s">
        <v>10061</v>
      </c>
      <c r="B1444" t="s">
        <v>2576</v>
      </c>
      <c r="C1444" t="s">
        <v>9663</v>
      </c>
      <c r="D1444" t="s">
        <v>2682</v>
      </c>
      <c r="E1444" t="s">
        <v>3723</v>
      </c>
      <c r="F1444" t="s">
        <v>10062</v>
      </c>
      <c r="I1444" t="s">
        <v>8871</v>
      </c>
      <c r="J1444">
        <v>9951479055</v>
      </c>
      <c r="K1444" t="s">
        <v>10063</v>
      </c>
      <c r="L1444">
        <v>1234</v>
      </c>
      <c r="M1444" t="s">
        <v>645</v>
      </c>
      <c r="N1444" t="s">
        <v>398</v>
      </c>
      <c r="O1444" t="s">
        <v>1104</v>
      </c>
      <c r="P1444">
        <v>3561</v>
      </c>
    </row>
    <row r="1445" spans="1:17" x14ac:dyDescent="0.3">
      <c r="A1445" t="s">
        <v>10064</v>
      </c>
      <c r="B1445" t="s">
        <v>2701</v>
      </c>
      <c r="C1445" t="s">
        <v>6397</v>
      </c>
      <c r="D1445" t="s">
        <v>1108</v>
      </c>
      <c r="E1445" t="s">
        <v>2601</v>
      </c>
      <c r="F1445" t="s">
        <v>10065</v>
      </c>
      <c r="I1445" t="s">
        <v>10066</v>
      </c>
      <c r="J1445" t="s">
        <v>10067</v>
      </c>
      <c r="K1445" t="s">
        <v>10068</v>
      </c>
      <c r="L1445">
        <v>1234</v>
      </c>
      <c r="M1445" t="s">
        <v>645</v>
      </c>
      <c r="N1445" t="s">
        <v>369</v>
      </c>
      <c r="O1445" t="s">
        <v>370</v>
      </c>
      <c r="P1445">
        <v>3568</v>
      </c>
    </row>
    <row r="1446" spans="1:17" x14ac:dyDescent="0.3">
      <c r="A1446" t="s">
        <v>10069</v>
      </c>
      <c r="B1446" t="s">
        <v>10070</v>
      </c>
      <c r="C1446" t="s">
        <v>3079</v>
      </c>
      <c r="D1446" t="s">
        <v>10071</v>
      </c>
      <c r="E1446" t="s">
        <v>10072</v>
      </c>
      <c r="F1446" t="s">
        <v>10073</v>
      </c>
      <c r="I1446" t="s">
        <v>10074</v>
      </c>
      <c r="K1446" t="s">
        <v>10075</v>
      </c>
      <c r="L1446">
        <v>1234</v>
      </c>
      <c r="M1446" t="s">
        <v>645</v>
      </c>
      <c r="N1446" t="s">
        <v>336</v>
      </c>
      <c r="O1446" t="s">
        <v>515</v>
      </c>
      <c r="P1446">
        <v>3573</v>
      </c>
    </row>
    <row r="1447" spans="1:17" x14ac:dyDescent="0.3">
      <c r="A1447" t="s">
        <v>10076</v>
      </c>
      <c r="B1447" t="s">
        <v>10077</v>
      </c>
      <c r="C1447" t="s">
        <v>10078</v>
      </c>
      <c r="D1447" t="s">
        <v>2682</v>
      </c>
      <c r="E1447" t="s">
        <v>10079</v>
      </c>
      <c r="F1447" t="s">
        <v>10080</v>
      </c>
      <c r="G1447">
        <v>15.191424030717</v>
      </c>
      <c r="H1447">
        <v>-239.42497372627199</v>
      </c>
      <c r="I1447" t="s">
        <v>10081</v>
      </c>
      <c r="J1447">
        <v>9178603398</v>
      </c>
      <c r="K1447" t="s">
        <v>10082</v>
      </c>
      <c r="L1447" t="s">
        <v>10083</v>
      </c>
      <c r="M1447" t="s">
        <v>645</v>
      </c>
      <c r="N1447" t="s">
        <v>336</v>
      </c>
      <c r="O1447" t="s">
        <v>337</v>
      </c>
      <c r="P1447">
        <v>3554</v>
      </c>
    </row>
    <row r="1448" spans="1:17" x14ac:dyDescent="0.3">
      <c r="A1448" t="s">
        <v>10084</v>
      </c>
      <c r="B1448" t="s">
        <v>1983</v>
      </c>
      <c r="C1448" t="s">
        <v>4156</v>
      </c>
      <c r="D1448" t="s">
        <v>539</v>
      </c>
      <c r="E1448" t="s">
        <v>10085</v>
      </c>
      <c r="F1448" t="s">
        <v>10086</v>
      </c>
      <c r="G1448">
        <v>0</v>
      </c>
      <c r="H1448">
        <v>0</v>
      </c>
      <c r="I1448" t="s">
        <v>10087</v>
      </c>
      <c r="J1448">
        <v>9053161210</v>
      </c>
      <c r="K1448" t="s">
        <v>10088</v>
      </c>
      <c r="L1448">
        <v>1234</v>
      </c>
      <c r="M1448" t="s">
        <v>645</v>
      </c>
      <c r="N1448" t="s">
        <v>336</v>
      </c>
      <c r="O1448" t="s">
        <v>5134</v>
      </c>
      <c r="P1448">
        <v>3580</v>
      </c>
      <c r="Q1448" t="s">
        <v>10089</v>
      </c>
    </row>
    <row r="1449" spans="1:17" x14ac:dyDescent="0.3">
      <c r="A1449" t="s">
        <v>10090</v>
      </c>
      <c r="B1449" t="s">
        <v>2039</v>
      </c>
      <c r="C1449" t="s">
        <v>934</v>
      </c>
      <c r="D1449" t="s">
        <v>3117</v>
      </c>
      <c r="E1449" t="s">
        <v>10091</v>
      </c>
      <c r="F1449" t="s">
        <v>10092</v>
      </c>
      <c r="G1449">
        <v>15.175696</v>
      </c>
      <c r="H1449">
        <v>120.577034</v>
      </c>
      <c r="I1449" t="s">
        <v>10093</v>
      </c>
      <c r="J1449">
        <v>9912053608</v>
      </c>
      <c r="K1449" t="s">
        <v>10094</v>
      </c>
      <c r="L1449">
        <v>1234</v>
      </c>
      <c r="M1449" t="s">
        <v>645</v>
      </c>
      <c r="N1449" t="s">
        <v>763</v>
      </c>
      <c r="O1449" t="s">
        <v>1288</v>
      </c>
      <c r="P1449">
        <v>3069</v>
      </c>
      <c r="Q1449" t="s">
        <v>10095</v>
      </c>
    </row>
    <row r="1450" spans="1:17" x14ac:dyDescent="0.3">
      <c r="A1450" t="s">
        <v>10096</v>
      </c>
      <c r="K1450" t="s">
        <v>10097</v>
      </c>
      <c r="L1450">
        <v>1234</v>
      </c>
      <c r="M1450" t="s">
        <v>645</v>
      </c>
      <c r="P1450">
        <v>8888</v>
      </c>
    </row>
    <row r="1451" spans="1:17" x14ac:dyDescent="0.3">
      <c r="A1451" t="s">
        <v>10098</v>
      </c>
      <c r="B1451" t="s">
        <v>792</v>
      </c>
      <c r="C1451" t="s">
        <v>8537</v>
      </c>
      <c r="D1451" t="s">
        <v>2561</v>
      </c>
      <c r="E1451" t="s">
        <v>10099</v>
      </c>
      <c r="F1451" t="s">
        <v>10100</v>
      </c>
      <c r="I1451" t="s">
        <v>10101</v>
      </c>
      <c r="K1451" t="s">
        <v>10102</v>
      </c>
      <c r="L1451">
        <v>1234</v>
      </c>
      <c r="M1451" t="s">
        <v>645</v>
      </c>
      <c r="N1451" t="s">
        <v>336</v>
      </c>
      <c r="O1451" t="s">
        <v>515</v>
      </c>
      <c r="P1451">
        <v>3566</v>
      </c>
    </row>
    <row r="1452" spans="1:17" x14ac:dyDescent="0.3">
      <c r="A1452" t="s">
        <v>10103</v>
      </c>
      <c r="B1452" t="s">
        <v>1976</v>
      </c>
      <c r="C1452" t="s">
        <v>4118</v>
      </c>
      <c r="D1452" t="s">
        <v>8214</v>
      </c>
      <c r="E1452" t="s">
        <v>1062</v>
      </c>
      <c r="F1452" t="s">
        <v>10104</v>
      </c>
      <c r="G1452">
        <v>15.177832244658999</v>
      </c>
      <c r="H1452">
        <v>120.52781482216</v>
      </c>
      <c r="I1452" t="s">
        <v>10105</v>
      </c>
      <c r="J1452">
        <v>9190833646</v>
      </c>
      <c r="K1452" t="s">
        <v>10106</v>
      </c>
      <c r="L1452" t="s">
        <v>10107</v>
      </c>
      <c r="M1452" t="s">
        <v>645</v>
      </c>
      <c r="N1452" t="s">
        <v>369</v>
      </c>
      <c r="O1452" t="s">
        <v>370</v>
      </c>
      <c r="P1452">
        <v>3560</v>
      </c>
      <c r="Q1452" t="s">
        <v>10108</v>
      </c>
    </row>
    <row r="1453" spans="1:17" x14ac:dyDescent="0.3">
      <c r="A1453" t="s">
        <v>10109</v>
      </c>
      <c r="B1453" t="s">
        <v>6802</v>
      </c>
      <c r="C1453" t="s">
        <v>10110</v>
      </c>
      <c r="D1453" t="s">
        <v>2682</v>
      </c>
      <c r="E1453" t="s">
        <v>1146</v>
      </c>
      <c r="F1453" t="s">
        <v>10111</v>
      </c>
      <c r="G1453">
        <v>0</v>
      </c>
      <c r="H1453">
        <v>0</v>
      </c>
      <c r="I1453" t="s">
        <v>10112</v>
      </c>
      <c r="J1453">
        <v>9457760610</v>
      </c>
      <c r="K1453" t="s">
        <v>10113</v>
      </c>
      <c r="L1453" t="s">
        <v>10114</v>
      </c>
      <c r="M1453" t="s">
        <v>645</v>
      </c>
      <c r="N1453" t="s">
        <v>336</v>
      </c>
      <c r="O1453" t="s">
        <v>515</v>
      </c>
      <c r="P1453">
        <v>3531</v>
      </c>
    </row>
    <row r="1454" spans="1:17" x14ac:dyDescent="0.3">
      <c r="A1454" t="s">
        <v>10115</v>
      </c>
      <c r="B1454" t="s">
        <v>10116</v>
      </c>
      <c r="C1454" t="s">
        <v>10117</v>
      </c>
      <c r="D1454" t="s">
        <v>5185</v>
      </c>
      <c r="E1454" t="s">
        <v>1276</v>
      </c>
      <c r="F1454" t="s">
        <v>10118</v>
      </c>
      <c r="G1454">
        <v>15.177504000000001</v>
      </c>
      <c r="H1454">
        <v>120.52933</v>
      </c>
      <c r="I1454" t="s">
        <v>10119</v>
      </c>
      <c r="J1454" t="s">
        <v>10120</v>
      </c>
      <c r="K1454" t="s">
        <v>10121</v>
      </c>
      <c r="L1454" t="s">
        <v>10122</v>
      </c>
      <c r="M1454" t="s">
        <v>645</v>
      </c>
      <c r="N1454" t="s">
        <v>10123</v>
      </c>
      <c r="O1454" t="s">
        <v>515</v>
      </c>
      <c r="P1454">
        <v>3494</v>
      </c>
      <c r="Q1454" t="s">
        <v>10124</v>
      </c>
    </row>
    <row r="1455" spans="1:17" x14ac:dyDescent="0.3">
      <c r="A1455" t="s">
        <v>10125</v>
      </c>
      <c r="B1455" t="s">
        <v>585</v>
      </c>
      <c r="C1455" t="s">
        <v>10126</v>
      </c>
      <c r="D1455" t="s">
        <v>539</v>
      </c>
      <c r="E1455" t="s">
        <v>1766</v>
      </c>
      <c r="F1455" t="s">
        <v>10127</v>
      </c>
      <c r="G1455">
        <v>0</v>
      </c>
      <c r="H1455">
        <v>0</v>
      </c>
      <c r="I1455" t="s">
        <v>8935</v>
      </c>
      <c r="J1455">
        <v>9688855203</v>
      </c>
      <c r="K1455" t="s">
        <v>10128</v>
      </c>
      <c r="L1455">
        <v>1234</v>
      </c>
      <c r="M1455" t="s">
        <v>645</v>
      </c>
      <c r="N1455" t="s">
        <v>398</v>
      </c>
      <c r="O1455" t="s">
        <v>582</v>
      </c>
      <c r="P1455">
        <v>3562</v>
      </c>
      <c r="Q1455" t="s">
        <v>10129</v>
      </c>
    </row>
    <row r="1456" spans="1:17" x14ac:dyDescent="0.3">
      <c r="A1456" t="s">
        <v>10130</v>
      </c>
      <c r="B1456" t="s">
        <v>10131</v>
      </c>
      <c r="C1456" t="s">
        <v>10132</v>
      </c>
      <c r="D1456" t="s">
        <v>10133</v>
      </c>
      <c r="E1456" t="s">
        <v>3723</v>
      </c>
      <c r="F1456" t="s">
        <v>10134</v>
      </c>
      <c r="G1456">
        <v>15.1870218</v>
      </c>
      <c r="H1456">
        <v>120.54237860000001</v>
      </c>
      <c r="I1456" t="s">
        <v>10135</v>
      </c>
      <c r="J1456">
        <v>9971467641</v>
      </c>
      <c r="K1456" t="s">
        <v>10136</v>
      </c>
      <c r="L1456">
        <v>1234</v>
      </c>
      <c r="M1456" t="s">
        <v>645</v>
      </c>
      <c r="N1456" t="s">
        <v>10137</v>
      </c>
      <c r="O1456" t="s">
        <v>441</v>
      </c>
      <c r="P1456">
        <v>3537</v>
      </c>
    </row>
    <row r="1457" spans="1:17" x14ac:dyDescent="0.3">
      <c r="A1457" t="s">
        <v>10138</v>
      </c>
      <c r="B1457" t="s">
        <v>6247</v>
      </c>
      <c r="C1457" t="s">
        <v>10139</v>
      </c>
      <c r="E1457" t="s">
        <v>10140</v>
      </c>
      <c r="F1457" t="s">
        <v>10141</v>
      </c>
      <c r="I1457" t="s">
        <v>10142</v>
      </c>
      <c r="J1457">
        <v>9178750993</v>
      </c>
      <c r="K1457" t="s">
        <v>10143</v>
      </c>
      <c r="L1457">
        <v>1234</v>
      </c>
      <c r="M1457" t="s">
        <v>645</v>
      </c>
      <c r="N1457" t="s">
        <v>336</v>
      </c>
      <c r="O1457" t="s">
        <v>441</v>
      </c>
      <c r="P1457">
        <v>3359</v>
      </c>
    </row>
    <row r="1458" spans="1:17" x14ac:dyDescent="0.3">
      <c r="A1458" t="s">
        <v>10144</v>
      </c>
      <c r="B1458" t="s">
        <v>10145</v>
      </c>
      <c r="C1458" t="s">
        <v>10146</v>
      </c>
      <c r="D1458" t="s">
        <v>1180</v>
      </c>
      <c r="E1458" t="s">
        <v>10147</v>
      </c>
      <c r="F1458" t="s">
        <v>10148</v>
      </c>
      <c r="G1458">
        <v>15.173034659508801</v>
      </c>
      <c r="H1458">
        <v>120.53337693214399</v>
      </c>
      <c r="I1458" t="s">
        <v>10149</v>
      </c>
      <c r="J1458">
        <v>9163374929</v>
      </c>
      <c r="K1458" t="s">
        <v>10150</v>
      </c>
      <c r="L1458">
        <v>1234</v>
      </c>
      <c r="M1458" t="s">
        <v>645</v>
      </c>
      <c r="N1458" t="s">
        <v>369</v>
      </c>
      <c r="O1458" t="s">
        <v>370</v>
      </c>
      <c r="P1458">
        <v>3503</v>
      </c>
    </row>
    <row r="1459" spans="1:17" x14ac:dyDescent="0.3">
      <c r="A1459" t="s">
        <v>10151</v>
      </c>
      <c r="B1459" t="s">
        <v>5740</v>
      </c>
      <c r="C1459" t="s">
        <v>10152</v>
      </c>
      <c r="D1459" t="s">
        <v>10153</v>
      </c>
      <c r="E1459" t="s">
        <v>10154</v>
      </c>
      <c r="F1459" t="s">
        <v>10155</v>
      </c>
      <c r="G1459">
        <v>15.1790025362734</v>
      </c>
      <c r="H1459">
        <v>120.573082853936</v>
      </c>
      <c r="I1459" t="s">
        <v>10156</v>
      </c>
      <c r="J1459">
        <v>9958656543</v>
      </c>
      <c r="K1459" t="s">
        <v>10157</v>
      </c>
      <c r="L1459">
        <v>1234</v>
      </c>
      <c r="M1459" t="s">
        <v>645</v>
      </c>
      <c r="N1459" t="s">
        <v>1904</v>
      </c>
      <c r="O1459" t="s">
        <v>515</v>
      </c>
      <c r="P1459">
        <v>3362</v>
      </c>
    </row>
    <row r="1460" spans="1:17" x14ac:dyDescent="0.3">
      <c r="A1460" t="s">
        <v>10158</v>
      </c>
      <c r="B1460" t="s">
        <v>10159</v>
      </c>
      <c r="C1460" t="s">
        <v>3016</v>
      </c>
      <c r="D1460" t="s">
        <v>10160</v>
      </c>
      <c r="E1460" t="s">
        <v>10161</v>
      </c>
      <c r="F1460" t="s">
        <v>10162</v>
      </c>
      <c r="G1460">
        <v>0</v>
      </c>
      <c r="H1460">
        <v>0</v>
      </c>
      <c r="I1460" t="s">
        <v>10163</v>
      </c>
      <c r="J1460">
        <v>9267246295</v>
      </c>
      <c r="K1460" t="s">
        <v>10164</v>
      </c>
      <c r="L1460" t="s">
        <v>10165</v>
      </c>
      <c r="M1460" t="s">
        <v>645</v>
      </c>
      <c r="N1460" t="s">
        <v>336</v>
      </c>
      <c r="O1460" t="s">
        <v>441</v>
      </c>
      <c r="P1460">
        <v>3575</v>
      </c>
    </row>
    <row r="1461" spans="1:17" x14ac:dyDescent="0.3">
      <c r="A1461" t="s">
        <v>10166</v>
      </c>
      <c r="B1461" t="s">
        <v>10167</v>
      </c>
      <c r="C1461" t="s">
        <v>10168</v>
      </c>
      <c r="E1461" t="s">
        <v>10169</v>
      </c>
      <c r="F1461" t="s">
        <v>10170</v>
      </c>
      <c r="I1461" t="s">
        <v>10171</v>
      </c>
      <c r="J1461">
        <v>9171523766</v>
      </c>
      <c r="K1461" t="s">
        <v>10172</v>
      </c>
      <c r="L1461">
        <v>1234</v>
      </c>
      <c r="M1461" t="s">
        <v>645</v>
      </c>
      <c r="N1461" t="s">
        <v>336</v>
      </c>
      <c r="O1461" t="s">
        <v>515</v>
      </c>
      <c r="P1461">
        <v>3596</v>
      </c>
      <c r="Q1461" t="s">
        <v>10173</v>
      </c>
    </row>
    <row r="1462" spans="1:17" x14ac:dyDescent="0.3">
      <c r="A1462" t="s">
        <v>10174</v>
      </c>
      <c r="B1462" t="s">
        <v>10175</v>
      </c>
      <c r="C1462" t="s">
        <v>10176</v>
      </c>
      <c r="D1462" t="s">
        <v>10177</v>
      </c>
      <c r="E1462" t="s">
        <v>5153</v>
      </c>
      <c r="F1462" t="s">
        <v>10178</v>
      </c>
      <c r="G1462">
        <v>0</v>
      </c>
      <c r="H1462">
        <v>0</v>
      </c>
      <c r="I1462" t="s">
        <v>10179</v>
      </c>
      <c r="J1462">
        <v>9477801161</v>
      </c>
      <c r="K1462" t="s">
        <v>10180</v>
      </c>
      <c r="L1462">
        <v>1234</v>
      </c>
      <c r="M1462" t="s">
        <v>645</v>
      </c>
      <c r="N1462" t="s">
        <v>336</v>
      </c>
      <c r="O1462" t="s">
        <v>515</v>
      </c>
      <c r="P1462">
        <v>3587</v>
      </c>
    </row>
    <row r="1463" spans="1:17" x14ac:dyDescent="0.3">
      <c r="A1463" t="s">
        <v>10181</v>
      </c>
      <c r="B1463" t="s">
        <v>3578</v>
      </c>
      <c r="C1463" t="s">
        <v>10182</v>
      </c>
      <c r="D1463" t="s">
        <v>4313</v>
      </c>
      <c r="E1463" t="s">
        <v>704</v>
      </c>
      <c r="F1463" t="s">
        <v>10183</v>
      </c>
      <c r="G1463">
        <v>15.1729000467214</v>
      </c>
      <c r="H1463">
        <v>120.536584854125</v>
      </c>
      <c r="I1463" t="s">
        <v>10184</v>
      </c>
      <c r="J1463" t="s">
        <v>10185</v>
      </c>
      <c r="K1463" t="s">
        <v>10186</v>
      </c>
      <c r="L1463">
        <v>1234</v>
      </c>
      <c r="M1463" t="s">
        <v>645</v>
      </c>
      <c r="N1463" t="s">
        <v>336</v>
      </c>
      <c r="O1463" t="s">
        <v>10187</v>
      </c>
      <c r="P1463">
        <v>3606</v>
      </c>
    </row>
    <row r="1464" spans="1:17" x14ac:dyDescent="0.3">
      <c r="A1464" t="s">
        <v>10188</v>
      </c>
      <c r="B1464" t="s">
        <v>1976</v>
      </c>
      <c r="C1464" t="s">
        <v>10189</v>
      </c>
      <c r="D1464" t="s">
        <v>10190</v>
      </c>
      <c r="E1464" t="s">
        <v>10191</v>
      </c>
      <c r="F1464" t="s">
        <v>10192</v>
      </c>
      <c r="G1464">
        <v>0</v>
      </c>
      <c r="H1464">
        <v>0</v>
      </c>
      <c r="I1464" t="s">
        <v>10193</v>
      </c>
      <c r="J1464">
        <v>9485063180</v>
      </c>
      <c r="K1464" t="s">
        <v>10194</v>
      </c>
      <c r="L1464" t="s">
        <v>10195</v>
      </c>
      <c r="M1464" t="s">
        <v>645</v>
      </c>
      <c r="N1464" t="s">
        <v>336</v>
      </c>
      <c r="O1464" t="s">
        <v>441</v>
      </c>
      <c r="P1464">
        <v>3584</v>
      </c>
    </row>
    <row r="1465" spans="1:17" x14ac:dyDescent="0.3">
      <c r="A1465" t="s">
        <v>10196</v>
      </c>
      <c r="B1465" t="s">
        <v>6781</v>
      </c>
      <c r="C1465" t="s">
        <v>10197</v>
      </c>
      <c r="D1465" t="s">
        <v>2461</v>
      </c>
      <c r="E1465" t="s">
        <v>477</v>
      </c>
      <c r="F1465" t="s">
        <v>10198</v>
      </c>
      <c r="G1465">
        <v>0</v>
      </c>
      <c r="H1465">
        <v>0</v>
      </c>
      <c r="I1465" t="s">
        <v>10199</v>
      </c>
      <c r="J1465" t="s">
        <v>10200</v>
      </c>
      <c r="K1465" t="s">
        <v>10201</v>
      </c>
      <c r="L1465">
        <v>1234</v>
      </c>
      <c r="M1465" t="s">
        <v>645</v>
      </c>
      <c r="N1465" t="s">
        <v>398</v>
      </c>
      <c r="O1465" t="s">
        <v>582</v>
      </c>
      <c r="P1465">
        <v>3601</v>
      </c>
    </row>
    <row r="1466" spans="1:17" x14ac:dyDescent="0.3">
      <c r="A1466" t="s">
        <v>10202</v>
      </c>
      <c r="B1466" t="s">
        <v>1163</v>
      </c>
      <c r="C1466" t="s">
        <v>10203</v>
      </c>
      <c r="D1466" t="s">
        <v>2659</v>
      </c>
      <c r="E1466" t="s">
        <v>3222</v>
      </c>
      <c r="F1466" t="s">
        <v>10204</v>
      </c>
      <c r="G1466">
        <v>15.1853876062906</v>
      </c>
      <c r="H1466">
        <v>-239.44281578063899</v>
      </c>
      <c r="I1466" t="s">
        <v>10205</v>
      </c>
      <c r="J1466">
        <v>9619031643</v>
      </c>
      <c r="K1466" t="s">
        <v>10206</v>
      </c>
      <c r="L1466">
        <v>1234</v>
      </c>
      <c r="M1466" t="s">
        <v>645</v>
      </c>
      <c r="N1466" t="s">
        <v>398</v>
      </c>
      <c r="O1466" t="s">
        <v>582</v>
      </c>
      <c r="P1466">
        <v>3588</v>
      </c>
    </row>
    <row r="1467" spans="1:17" x14ac:dyDescent="0.3">
      <c r="A1467" t="s">
        <v>10207</v>
      </c>
      <c r="B1467" t="s">
        <v>351</v>
      </c>
      <c r="C1467" t="s">
        <v>10208</v>
      </c>
      <c r="D1467" t="s">
        <v>10209</v>
      </c>
      <c r="E1467" t="s">
        <v>77</v>
      </c>
      <c r="F1467" t="s">
        <v>10210</v>
      </c>
      <c r="G1467">
        <v>0</v>
      </c>
      <c r="H1467">
        <v>0</v>
      </c>
      <c r="I1467" t="s">
        <v>10211</v>
      </c>
      <c r="J1467" t="s">
        <v>10212</v>
      </c>
      <c r="K1467" t="s">
        <v>10213</v>
      </c>
      <c r="L1467">
        <v>1234</v>
      </c>
      <c r="M1467" t="s">
        <v>645</v>
      </c>
      <c r="N1467" t="s">
        <v>16</v>
      </c>
      <c r="O1467" t="s">
        <v>292</v>
      </c>
      <c r="P1467">
        <v>3594</v>
      </c>
    </row>
    <row r="1468" spans="1:17" x14ac:dyDescent="0.3">
      <c r="A1468" t="s">
        <v>10214</v>
      </c>
      <c r="B1468" t="s">
        <v>2488</v>
      </c>
      <c r="C1468" t="s">
        <v>123</v>
      </c>
      <c r="D1468" t="s">
        <v>10215</v>
      </c>
      <c r="E1468" t="s">
        <v>10216</v>
      </c>
      <c r="F1468" t="s">
        <v>6909</v>
      </c>
      <c r="G1468">
        <v>0</v>
      </c>
      <c r="H1468">
        <v>0</v>
      </c>
      <c r="I1468" t="s">
        <v>10217</v>
      </c>
      <c r="J1468">
        <v>9053464356</v>
      </c>
      <c r="K1468" t="s">
        <v>10218</v>
      </c>
      <c r="L1468" t="s">
        <v>10219</v>
      </c>
      <c r="M1468" t="s">
        <v>645</v>
      </c>
      <c r="N1468" t="s">
        <v>336</v>
      </c>
      <c r="O1468" t="s">
        <v>515</v>
      </c>
      <c r="P1468">
        <v>3579</v>
      </c>
    </row>
    <row r="1469" spans="1:17" x14ac:dyDescent="0.3">
      <c r="A1469" t="s">
        <v>10220</v>
      </c>
      <c r="B1469" t="s">
        <v>10221</v>
      </c>
      <c r="C1469" t="s">
        <v>3776</v>
      </c>
      <c r="E1469" t="s">
        <v>10222</v>
      </c>
      <c r="F1469" t="s">
        <v>10223</v>
      </c>
      <c r="I1469" t="s">
        <v>10224</v>
      </c>
      <c r="J1469">
        <v>9177093457</v>
      </c>
      <c r="K1469" t="s">
        <v>10225</v>
      </c>
      <c r="L1469">
        <v>1234</v>
      </c>
      <c r="M1469" t="s">
        <v>645</v>
      </c>
      <c r="N1469" t="s">
        <v>369</v>
      </c>
      <c r="O1469" t="s">
        <v>370</v>
      </c>
      <c r="P1469">
        <v>3576</v>
      </c>
    </row>
    <row r="1470" spans="1:17" x14ac:dyDescent="0.3">
      <c r="A1470" t="s">
        <v>10226</v>
      </c>
      <c r="B1470" t="s">
        <v>10227</v>
      </c>
      <c r="C1470" t="s">
        <v>10228</v>
      </c>
      <c r="D1470" t="s">
        <v>10229</v>
      </c>
      <c r="E1470" t="s">
        <v>1276</v>
      </c>
      <c r="F1470" t="s">
        <v>10230</v>
      </c>
      <c r="I1470" t="s">
        <v>10231</v>
      </c>
      <c r="J1470" t="s">
        <v>10232</v>
      </c>
      <c r="K1470" t="s">
        <v>10233</v>
      </c>
      <c r="L1470">
        <v>1234</v>
      </c>
      <c r="M1470" t="s">
        <v>645</v>
      </c>
      <c r="N1470" t="s">
        <v>398</v>
      </c>
      <c r="O1470" t="s">
        <v>582</v>
      </c>
      <c r="P1470">
        <v>3602</v>
      </c>
    </row>
    <row r="1471" spans="1:17" x14ac:dyDescent="0.3">
      <c r="A1471" t="s">
        <v>10234</v>
      </c>
      <c r="B1471" t="s">
        <v>10235</v>
      </c>
      <c r="C1471" t="s">
        <v>10236</v>
      </c>
      <c r="E1471" t="s">
        <v>1146</v>
      </c>
      <c r="F1471" t="s">
        <v>10237</v>
      </c>
      <c r="I1471" t="s">
        <v>4308</v>
      </c>
      <c r="J1471">
        <v>9176213082</v>
      </c>
      <c r="K1471" t="s">
        <v>10238</v>
      </c>
      <c r="L1471">
        <v>1234</v>
      </c>
      <c r="M1471" t="s">
        <v>645</v>
      </c>
      <c r="N1471" t="s">
        <v>779</v>
      </c>
      <c r="O1471" t="s">
        <v>780</v>
      </c>
      <c r="P1471">
        <v>404</v>
      </c>
    </row>
    <row r="1472" spans="1:17" x14ac:dyDescent="0.3">
      <c r="A1472" t="s">
        <v>10239</v>
      </c>
      <c r="B1472" t="s">
        <v>5740</v>
      </c>
      <c r="C1472" t="s">
        <v>7328</v>
      </c>
      <c r="D1472" t="s">
        <v>3354</v>
      </c>
      <c r="E1472" t="s">
        <v>7329</v>
      </c>
      <c r="F1472" t="s">
        <v>10240</v>
      </c>
      <c r="I1472" t="s">
        <v>10241</v>
      </c>
      <c r="J1472">
        <v>9499940194</v>
      </c>
      <c r="K1472" t="s">
        <v>10242</v>
      </c>
      <c r="L1472">
        <v>2106</v>
      </c>
      <c r="M1472" t="s">
        <v>645</v>
      </c>
      <c r="N1472" t="s">
        <v>398</v>
      </c>
      <c r="O1472" t="s">
        <v>685</v>
      </c>
      <c r="P1472">
        <v>3615</v>
      </c>
    </row>
    <row r="1473" spans="1:17" x14ac:dyDescent="0.3">
      <c r="A1473" t="s">
        <v>10243</v>
      </c>
      <c r="B1473" t="s">
        <v>10244</v>
      </c>
      <c r="C1473" t="s">
        <v>10244</v>
      </c>
      <c r="D1473" t="s">
        <v>10244</v>
      </c>
      <c r="E1473" t="s">
        <v>10244</v>
      </c>
      <c r="F1473" t="s">
        <v>10245</v>
      </c>
      <c r="G1473">
        <v>0</v>
      </c>
      <c r="H1473">
        <v>0</v>
      </c>
      <c r="I1473" t="s">
        <v>645</v>
      </c>
      <c r="J1473" t="s">
        <v>10244</v>
      </c>
      <c r="K1473" t="s">
        <v>10246</v>
      </c>
      <c r="L1473">
        <v>1234</v>
      </c>
      <c r="M1473" t="s">
        <v>645</v>
      </c>
      <c r="N1473" t="s">
        <v>763</v>
      </c>
      <c r="O1473" t="s">
        <v>1288</v>
      </c>
      <c r="P1473">
        <v>2525</v>
      </c>
    </row>
    <row r="1474" spans="1:17" x14ac:dyDescent="0.3">
      <c r="A1474" t="s">
        <v>7940</v>
      </c>
      <c r="B1474" t="s">
        <v>559</v>
      </c>
      <c r="C1474" t="s">
        <v>7941</v>
      </c>
      <c r="D1474" t="s">
        <v>1951</v>
      </c>
      <c r="E1474" t="s">
        <v>7942</v>
      </c>
      <c r="F1474" t="s">
        <v>10247</v>
      </c>
      <c r="G1474">
        <v>0</v>
      </c>
      <c r="H1474">
        <v>0</v>
      </c>
      <c r="I1474" t="s">
        <v>10248</v>
      </c>
      <c r="J1474">
        <v>9923760199</v>
      </c>
      <c r="K1474" t="s">
        <v>10249</v>
      </c>
      <c r="L1474" t="s">
        <v>10250</v>
      </c>
      <c r="M1474" t="s">
        <v>645</v>
      </c>
      <c r="N1474" t="s">
        <v>10251</v>
      </c>
      <c r="O1474" t="s">
        <v>515</v>
      </c>
      <c r="P1474">
        <v>3207</v>
      </c>
    </row>
    <row r="1475" spans="1:17" x14ac:dyDescent="0.3">
      <c r="A1475" t="s">
        <v>10252</v>
      </c>
      <c r="B1475" t="s">
        <v>1219</v>
      </c>
      <c r="C1475" t="s">
        <v>10253</v>
      </c>
      <c r="D1475" t="s">
        <v>5398</v>
      </c>
      <c r="E1475" t="s">
        <v>3723</v>
      </c>
      <c r="F1475" t="s">
        <v>10254</v>
      </c>
      <c r="G1475">
        <v>0</v>
      </c>
      <c r="H1475">
        <v>0</v>
      </c>
      <c r="I1475" t="s">
        <v>10255</v>
      </c>
      <c r="J1475">
        <v>9694906560</v>
      </c>
      <c r="K1475" t="s">
        <v>10256</v>
      </c>
      <c r="L1475" t="s">
        <v>10257</v>
      </c>
      <c r="M1475" t="s">
        <v>645</v>
      </c>
      <c r="N1475" t="s">
        <v>398</v>
      </c>
      <c r="O1475" t="s">
        <v>582</v>
      </c>
      <c r="P1475">
        <v>3620</v>
      </c>
    </row>
    <row r="1476" spans="1:17" x14ac:dyDescent="0.3">
      <c r="A1476" t="s">
        <v>10258</v>
      </c>
      <c r="B1476" t="s">
        <v>1689</v>
      </c>
      <c r="C1476" t="s">
        <v>10259</v>
      </c>
      <c r="D1476" t="s">
        <v>2701</v>
      </c>
      <c r="E1476" t="s">
        <v>1276</v>
      </c>
      <c r="F1476" t="s">
        <v>10260</v>
      </c>
      <c r="G1476">
        <v>15.176824</v>
      </c>
      <c r="H1476">
        <v>120.521659</v>
      </c>
      <c r="I1476" t="s">
        <v>10261</v>
      </c>
      <c r="J1476">
        <v>9053449421</v>
      </c>
      <c r="K1476" t="s">
        <v>10262</v>
      </c>
      <c r="L1476">
        <v>1234</v>
      </c>
      <c r="M1476" t="s">
        <v>645</v>
      </c>
      <c r="N1476" t="s">
        <v>398</v>
      </c>
      <c r="O1476" t="s">
        <v>582</v>
      </c>
      <c r="P1476">
        <v>3570</v>
      </c>
      <c r="Q1476" t="s">
        <v>10263</v>
      </c>
    </row>
    <row r="1477" spans="1:17" x14ac:dyDescent="0.3">
      <c r="A1477" t="s">
        <v>10264</v>
      </c>
      <c r="B1477" t="s">
        <v>10265</v>
      </c>
      <c r="C1477" t="s">
        <v>10266</v>
      </c>
      <c r="D1477" t="s">
        <v>7898</v>
      </c>
      <c r="E1477" t="s">
        <v>1062</v>
      </c>
      <c r="F1477" t="s">
        <v>10267</v>
      </c>
      <c r="G1477">
        <v>15.175343773199801</v>
      </c>
      <c r="H1477">
        <v>120.528854727745</v>
      </c>
      <c r="I1477" t="s">
        <v>10268</v>
      </c>
      <c r="J1477">
        <v>9255675940</v>
      </c>
      <c r="K1477" t="s">
        <v>10269</v>
      </c>
      <c r="L1477">
        <v>2024</v>
      </c>
      <c r="M1477" t="s">
        <v>645</v>
      </c>
      <c r="N1477" t="s">
        <v>398</v>
      </c>
      <c r="O1477" t="s">
        <v>399</v>
      </c>
      <c r="P1477">
        <v>3623</v>
      </c>
    </row>
    <row r="1478" spans="1:17" x14ac:dyDescent="0.3">
      <c r="A1478" t="s">
        <v>10270</v>
      </c>
      <c r="B1478" t="s">
        <v>3003</v>
      </c>
      <c r="C1478" t="s">
        <v>10271</v>
      </c>
      <c r="D1478" t="s">
        <v>4756</v>
      </c>
      <c r="E1478" t="s">
        <v>1276</v>
      </c>
      <c r="F1478" t="s">
        <v>10272</v>
      </c>
      <c r="G1478">
        <v>0</v>
      </c>
      <c r="H1478">
        <v>0</v>
      </c>
      <c r="I1478" t="s">
        <v>10273</v>
      </c>
      <c r="J1478">
        <v>9173932455</v>
      </c>
      <c r="K1478" t="s">
        <v>10274</v>
      </c>
      <c r="L1478">
        <v>1234</v>
      </c>
      <c r="M1478" t="s">
        <v>645</v>
      </c>
      <c r="N1478" t="s">
        <v>336</v>
      </c>
      <c r="O1478" t="s">
        <v>5134</v>
      </c>
      <c r="P1478">
        <v>3595</v>
      </c>
    </row>
    <row r="1479" spans="1:17" x14ac:dyDescent="0.3">
      <c r="A1479" t="s">
        <v>7237</v>
      </c>
      <c r="B1479" t="s">
        <v>10275</v>
      </c>
      <c r="C1479" t="s">
        <v>10276</v>
      </c>
      <c r="D1479" t="s">
        <v>4867</v>
      </c>
      <c r="E1479" t="s">
        <v>5765</v>
      </c>
      <c r="F1479" t="s">
        <v>7241</v>
      </c>
      <c r="G1479">
        <v>0</v>
      </c>
      <c r="H1479">
        <v>0</v>
      </c>
      <c r="I1479" t="s">
        <v>7242</v>
      </c>
      <c r="J1479">
        <v>9209814625</v>
      </c>
      <c r="K1479" t="s">
        <v>10277</v>
      </c>
      <c r="L1479" t="s">
        <v>10278</v>
      </c>
      <c r="M1479" t="s">
        <v>645</v>
      </c>
      <c r="N1479" t="s">
        <v>398</v>
      </c>
      <c r="O1479" t="s">
        <v>582</v>
      </c>
      <c r="P1479">
        <v>246</v>
      </c>
    </row>
    <row r="1480" spans="1:17" x14ac:dyDescent="0.3">
      <c r="A1480" t="s">
        <v>10279</v>
      </c>
      <c r="B1480" t="s">
        <v>2701</v>
      </c>
      <c r="C1480" t="s">
        <v>7312</v>
      </c>
      <c r="D1480" t="s">
        <v>88</v>
      </c>
      <c r="E1480" t="s">
        <v>1276</v>
      </c>
      <c r="F1480" t="s">
        <v>10280</v>
      </c>
      <c r="I1480" t="s">
        <v>10281</v>
      </c>
      <c r="K1480" t="s">
        <v>10282</v>
      </c>
      <c r="L1480" t="s">
        <v>10283</v>
      </c>
      <c r="M1480" t="s">
        <v>645</v>
      </c>
      <c r="N1480" t="s">
        <v>398</v>
      </c>
      <c r="O1480" t="s">
        <v>582</v>
      </c>
      <c r="P1480">
        <v>3617</v>
      </c>
    </row>
    <row r="1481" spans="1:17" x14ac:dyDescent="0.3">
      <c r="A1481" t="s">
        <v>10284</v>
      </c>
      <c r="B1481" t="s">
        <v>8239</v>
      </c>
      <c r="C1481" t="s">
        <v>8240</v>
      </c>
      <c r="D1481" t="s">
        <v>236</v>
      </c>
      <c r="E1481" t="s">
        <v>1276</v>
      </c>
      <c r="F1481" t="s">
        <v>10285</v>
      </c>
      <c r="G1481">
        <v>15.1873341908321</v>
      </c>
      <c r="H1481">
        <v>120.510921478271</v>
      </c>
      <c r="I1481" t="s">
        <v>8242</v>
      </c>
      <c r="J1481">
        <v>9171286941</v>
      </c>
      <c r="K1481" t="s">
        <v>10286</v>
      </c>
      <c r="L1481">
        <v>1234</v>
      </c>
      <c r="M1481" t="s">
        <v>645</v>
      </c>
      <c r="N1481" t="s">
        <v>398</v>
      </c>
      <c r="O1481" t="s">
        <v>10287</v>
      </c>
      <c r="P1481">
        <v>3632</v>
      </c>
    </row>
    <row r="1482" spans="1:17" x14ac:dyDescent="0.3">
      <c r="A1482" t="s">
        <v>10288</v>
      </c>
      <c r="B1482" t="s">
        <v>10289</v>
      </c>
      <c r="C1482" t="s">
        <v>3382</v>
      </c>
      <c r="D1482" t="s">
        <v>1469</v>
      </c>
      <c r="E1482" t="s">
        <v>10290</v>
      </c>
      <c r="F1482" t="s">
        <v>10291</v>
      </c>
      <c r="G1482">
        <v>0</v>
      </c>
      <c r="H1482">
        <v>0</v>
      </c>
      <c r="I1482" t="s">
        <v>10292</v>
      </c>
      <c r="J1482">
        <v>9489081077</v>
      </c>
      <c r="K1482" t="s">
        <v>10293</v>
      </c>
      <c r="L1482" t="s">
        <v>10294</v>
      </c>
      <c r="M1482" t="s">
        <v>645</v>
      </c>
      <c r="N1482" t="s">
        <v>336</v>
      </c>
      <c r="O1482" t="s">
        <v>515</v>
      </c>
      <c r="P1482">
        <v>3613</v>
      </c>
      <c r="Q1482" t="s">
        <v>10295</v>
      </c>
    </row>
    <row r="1483" spans="1:17" x14ac:dyDescent="0.3">
      <c r="A1483" t="s">
        <v>10296</v>
      </c>
      <c r="B1483" t="s">
        <v>5070</v>
      </c>
      <c r="C1483" t="s">
        <v>5071</v>
      </c>
      <c r="D1483" t="s">
        <v>4427</v>
      </c>
      <c r="E1483" t="s">
        <v>135</v>
      </c>
      <c r="F1483" t="s">
        <v>10297</v>
      </c>
      <c r="I1483" t="s">
        <v>10298</v>
      </c>
      <c r="J1483">
        <v>9498157555</v>
      </c>
      <c r="K1483" t="s">
        <v>10299</v>
      </c>
      <c r="L1483">
        <v>1234</v>
      </c>
      <c r="M1483" t="s">
        <v>645</v>
      </c>
      <c r="N1483" t="s">
        <v>16</v>
      </c>
      <c r="O1483" t="s">
        <v>292</v>
      </c>
      <c r="P1483">
        <v>3526</v>
      </c>
    </row>
    <row r="1484" spans="1:17" x14ac:dyDescent="0.3">
      <c r="A1484" t="s">
        <v>10300</v>
      </c>
      <c r="B1484" t="s">
        <v>10301</v>
      </c>
      <c r="C1484" t="s">
        <v>7337</v>
      </c>
      <c r="D1484" t="s">
        <v>4756</v>
      </c>
      <c r="E1484" t="s">
        <v>2390</v>
      </c>
      <c r="F1484" t="s">
        <v>10302</v>
      </c>
      <c r="G1484">
        <v>0</v>
      </c>
      <c r="H1484">
        <v>0</v>
      </c>
      <c r="I1484" t="s">
        <v>10303</v>
      </c>
      <c r="J1484">
        <v>9326656589</v>
      </c>
      <c r="K1484" t="s">
        <v>10304</v>
      </c>
      <c r="L1484">
        <v>1234</v>
      </c>
      <c r="M1484" t="s">
        <v>645</v>
      </c>
      <c r="N1484" t="s">
        <v>304</v>
      </c>
      <c r="O1484" t="s">
        <v>323</v>
      </c>
      <c r="P1484">
        <v>3585</v>
      </c>
    </row>
    <row r="1485" spans="1:17" x14ac:dyDescent="0.3">
      <c r="A1485" t="s">
        <v>10305</v>
      </c>
      <c r="B1485" t="s">
        <v>2515</v>
      </c>
      <c r="C1485" t="s">
        <v>8692</v>
      </c>
      <c r="D1485" t="s">
        <v>10306</v>
      </c>
      <c r="E1485" t="s">
        <v>10307</v>
      </c>
      <c r="F1485" t="s">
        <v>10308</v>
      </c>
      <c r="G1485">
        <v>15.1737439639336</v>
      </c>
      <c r="H1485">
        <v>120.522648096084</v>
      </c>
      <c r="I1485" t="s">
        <v>10309</v>
      </c>
      <c r="J1485">
        <v>9175875036</v>
      </c>
      <c r="K1485" t="s">
        <v>10310</v>
      </c>
      <c r="L1485">
        <v>1234</v>
      </c>
      <c r="M1485" t="s">
        <v>645</v>
      </c>
      <c r="N1485" t="s">
        <v>336</v>
      </c>
      <c r="O1485" t="s">
        <v>515</v>
      </c>
      <c r="P1485">
        <v>3604</v>
      </c>
    </row>
    <row r="1486" spans="1:17" x14ac:dyDescent="0.3">
      <c r="A1486" t="s">
        <v>10311</v>
      </c>
      <c r="B1486" t="s">
        <v>3017</v>
      </c>
      <c r="C1486" t="s">
        <v>9616</v>
      </c>
      <c r="D1486" t="s">
        <v>2598</v>
      </c>
      <c r="E1486" t="s">
        <v>717</v>
      </c>
      <c r="F1486" t="s">
        <v>10312</v>
      </c>
      <c r="G1486" t="s">
        <v>4716</v>
      </c>
      <c r="H1486" t="s">
        <v>4716</v>
      </c>
      <c r="I1486" t="s">
        <v>10313</v>
      </c>
      <c r="J1486">
        <v>9155568856</v>
      </c>
      <c r="K1486" t="s">
        <v>10314</v>
      </c>
      <c r="L1486">
        <v>1234</v>
      </c>
      <c r="M1486" t="s">
        <v>645</v>
      </c>
      <c r="N1486" t="s">
        <v>398</v>
      </c>
      <c r="O1486" t="s">
        <v>582</v>
      </c>
      <c r="P1486">
        <v>3586</v>
      </c>
    </row>
    <row r="1487" spans="1:17" x14ac:dyDescent="0.3">
      <c r="A1487" t="s">
        <v>10315</v>
      </c>
      <c r="B1487" t="s">
        <v>1817</v>
      </c>
      <c r="C1487" t="s">
        <v>10316</v>
      </c>
      <c r="D1487" t="s">
        <v>8345</v>
      </c>
      <c r="E1487" t="s">
        <v>2500</v>
      </c>
      <c r="F1487" t="s">
        <v>10317</v>
      </c>
      <c r="G1487">
        <v>15.166302233153599</v>
      </c>
      <c r="H1487">
        <v>120.579463542287</v>
      </c>
      <c r="I1487" t="s">
        <v>10318</v>
      </c>
      <c r="J1487">
        <v>9166723148</v>
      </c>
      <c r="K1487" t="s">
        <v>10319</v>
      </c>
      <c r="L1487" t="s">
        <v>10320</v>
      </c>
      <c r="M1487" t="s">
        <v>645</v>
      </c>
      <c r="N1487" t="s">
        <v>369</v>
      </c>
      <c r="O1487" t="s">
        <v>370</v>
      </c>
      <c r="P1487">
        <v>3608</v>
      </c>
    </row>
    <row r="1488" spans="1:17" x14ac:dyDescent="0.3">
      <c r="A1488" t="s">
        <v>10321</v>
      </c>
      <c r="B1488" t="s">
        <v>10322</v>
      </c>
      <c r="C1488" t="s">
        <v>10323</v>
      </c>
      <c r="D1488" t="s">
        <v>10324</v>
      </c>
      <c r="E1488" t="s">
        <v>329</v>
      </c>
      <c r="F1488" t="s">
        <v>10325</v>
      </c>
      <c r="G1488">
        <v>15.1759</v>
      </c>
      <c r="H1488">
        <v>120.53279999999999</v>
      </c>
      <c r="I1488" t="s">
        <v>10326</v>
      </c>
      <c r="J1488" t="s">
        <v>10327</v>
      </c>
      <c r="K1488" t="s">
        <v>10328</v>
      </c>
      <c r="L1488">
        <v>1234</v>
      </c>
      <c r="M1488" t="s">
        <v>645</v>
      </c>
      <c r="N1488" t="s">
        <v>369</v>
      </c>
      <c r="O1488" t="s">
        <v>370</v>
      </c>
      <c r="P1488">
        <v>3634</v>
      </c>
    </row>
    <row r="1489" spans="1:17" x14ac:dyDescent="0.3">
      <c r="A1489" t="s">
        <v>10329</v>
      </c>
      <c r="B1489" t="s">
        <v>5237</v>
      </c>
      <c r="C1489" t="s">
        <v>5238</v>
      </c>
      <c r="D1489" t="s">
        <v>2515</v>
      </c>
      <c r="E1489" t="s">
        <v>5239</v>
      </c>
      <c r="F1489" t="s">
        <v>10330</v>
      </c>
      <c r="G1489">
        <v>0</v>
      </c>
      <c r="H1489">
        <v>0</v>
      </c>
      <c r="I1489" t="s">
        <v>5241</v>
      </c>
      <c r="J1489" t="s">
        <v>5242</v>
      </c>
      <c r="K1489" t="s">
        <v>10331</v>
      </c>
      <c r="L1489">
        <v>987654321</v>
      </c>
      <c r="M1489" t="s">
        <v>645</v>
      </c>
      <c r="N1489" t="s">
        <v>779</v>
      </c>
      <c r="O1489" t="s">
        <v>1049</v>
      </c>
      <c r="P1489">
        <v>3605</v>
      </c>
    </row>
    <row r="1490" spans="1:17" x14ac:dyDescent="0.3">
      <c r="A1490" t="s">
        <v>10332</v>
      </c>
      <c r="B1490" t="s">
        <v>10333</v>
      </c>
      <c r="C1490" t="s">
        <v>10334</v>
      </c>
      <c r="D1490" t="s">
        <v>539</v>
      </c>
      <c r="E1490" t="s">
        <v>1110</v>
      </c>
      <c r="F1490" t="s">
        <v>10335</v>
      </c>
      <c r="G1490">
        <v>0</v>
      </c>
      <c r="H1490">
        <v>0</v>
      </c>
      <c r="I1490" t="s">
        <v>10336</v>
      </c>
      <c r="J1490" t="s">
        <v>10337</v>
      </c>
      <c r="K1490" t="s">
        <v>10338</v>
      </c>
      <c r="L1490">
        <v>1234</v>
      </c>
      <c r="M1490" t="s">
        <v>645</v>
      </c>
      <c r="N1490" t="s">
        <v>369</v>
      </c>
      <c r="O1490" t="s">
        <v>370</v>
      </c>
      <c r="P1490">
        <v>3603</v>
      </c>
    </row>
    <row r="1491" spans="1:17" x14ac:dyDescent="0.3">
      <c r="A1491" t="s">
        <v>10339</v>
      </c>
      <c r="B1491" t="s">
        <v>9868</v>
      </c>
      <c r="C1491" t="s">
        <v>9869</v>
      </c>
      <c r="D1491" t="s">
        <v>1909</v>
      </c>
      <c r="E1491" t="s">
        <v>3723</v>
      </c>
      <c r="F1491" t="s">
        <v>10340</v>
      </c>
      <c r="I1491" t="s">
        <v>9871</v>
      </c>
      <c r="J1491">
        <v>9915609407</v>
      </c>
      <c r="K1491" t="s">
        <v>10341</v>
      </c>
      <c r="L1491">
        <v>1234</v>
      </c>
      <c r="M1491" t="s">
        <v>645</v>
      </c>
      <c r="N1491" t="s">
        <v>336</v>
      </c>
      <c r="O1491" t="s">
        <v>441</v>
      </c>
      <c r="P1491">
        <v>3544</v>
      </c>
    </row>
    <row r="1492" spans="1:17" x14ac:dyDescent="0.3">
      <c r="A1492" t="s">
        <v>10342</v>
      </c>
      <c r="B1492" t="s">
        <v>10343</v>
      </c>
      <c r="C1492" t="s">
        <v>10344</v>
      </c>
      <c r="D1492" t="s">
        <v>634</v>
      </c>
      <c r="E1492" t="s">
        <v>717</v>
      </c>
      <c r="F1492" t="s">
        <v>10345</v>
      </c>
      <c r="G1492">
        <v>15.185884608305599</v>
      </c>
      <c r="H1492">
        <v>120.546718239784</v>
      </c>
      <c r="I1492" t="s">
        <v>10346</v>
      </c>
      <c r="J1492">
        <v>9158660736</v>
      </c>
      <c r="K1492" t="s">
        <v>10347</v>
      </c>
      <c r="L1492">
        <v>1234</v>
      </c>
      <c r="M1492" t="s">
        <v>645</v>
      </c>
      <c r="N1492" t="s">
        <v>336</v>
      </c>
      <c r="O1492" t="s">
        <v>515</v>
      </c>
      <c r="P1492">
        <v>3034</v>
      </c>
    </row>
    <row r="1493" spans="1:17" x14ac:dyDescent="0.3">
      <c r="A1493" t="s">
        <v>10348</v>
      </c>
      <c r="B1493" t="s">
        <v>10349</v>
      </c>
      <c r="C1493" t="s">
        <v>3079</v>
      </c>
      <c r="D1493" t="s">
        <v>4660</v>
      </c>
      <c r="E1493" t="s">
        <v>1110</v>
      </c>
      <c r="F1493" t="s">
        <v>10350</v>
      </c>
      <c r="G1493">
        <v>15.1774457695459</v>
      </c>
      <c r="H1493">
        <v>120.529423356056</v>
      </c>
      <c r="I1493" t="s">
        <v>10351</v>
      </c>
      <c r="J1493" t="s">
        <v>10352</v>
      </c>
      <c r="K1493" t="s">
        <v>10353</v>
      </c>
      <c r="L1493">
        <v>1234</v>
      </c>
      <c r="M1493" t="s">
        <v>645</v>
      </c>
      <c r="N1493" t="s">
        <v>336</v>
      </c>
      <c r="O1493" t="s">
        <v>515</v>
      </c>
      <c r="P1493">
        <v>3569</v>
      </c>
    </row>
    <row r="1494" spans="1:17" x14ac:dyDescent="0.3">
      <c r="A1494" t="s">
        <v>10354</v>
      </c>
      <c r="B1494" t="s">
        <v>1907</v>
      </c>
      <c r="C1494" t="s">
        <v>10355</v>
      </c>
      <c r="D1494" t="s">
        <v>1555</v>
      </c>
      <c r="E1494" t="s">
        <v>698</v>
      </c>
      <c r="F1494" t="s">
        <v>10356</v>
      </c>
      <c r="G1494">
        <v>15.176762364161799</v>
      </c>
      <c r="H1494">
        <v>480.51164031028702</v>
      </c>
      <c r="I1494" t="s">
        <v>10357</v>
      </c>
      <c r="J1494">
        <v>9979083805</v>
      </c>
      <c r="K1494" t="s">
        <v>10358</v>
      </c>
      <c r="L1494" t="s">
        <v>10359</v>
      </c>
      <c r="M1494" t="s">
        <v>645</v>
      </c>
      <c r="N1494" t="s">
        <v>336</v>
      </c>
      <c r="O1494" t="s">
        <v>515</v>
      </c>
      <c r="P1494">
        <v>3629</v>
      </c>
    </row>
    <row r="1495" spans="1:17" x14ac:dyDescent="0.3">
      <c r="A1495" t="s">
        <v>10360</v>
      </c>
      <c r="B1495" t="s">
        <v>5890</v>
      </c>
      <c r="C1495" t="s">
        <v>10361</v>
      </c>
      <c r="D1495" t="s">
        <v>1555</v>
      </c>
      <c r="E1495" t="s">
        <v>3723</v>
      </c>
      <c r="F1495" t="s">
        <v>10362</v>
      </c>
      <c r="G1495">
        <v>0</v>
      </c>
      <c r="H1495">
        <v>0</v>
      </c>
      <c r="I1495" t="s">
        <v>10363</v>
      </c>
      <c r="J1495" t="s">
        <v>8386</v>
      </c>
      <c r="K1495" t="s">
        <v>10364</v>
      </c>
      <c r="L1495">
        <v>1234</v>
      </c>
      <c r="M1495" t="s">
        <v>645</v>
      </c>
      <c r="N1495" t="s">
        <v>336</v>
      </c>
      <c r="O1495" t="s">
        <v>9626</v>
      </c>
      <c r="P1495">
        <v>3639</v>
      </c>
    </row>
    <row r="1496" spans="1:17" x14ac:dyDescent="0.3">
      <c r="A1496" t="s">
        <v>10365</v>
      </c>
      <c r="B1496" t="s">
        <v>10366</v>
      </c>
      <c r="C1496" t="s">
        <v>10367</v>
      </c>
      <c r="D1496" t="s">
        <v>426</v>
      </c>
      <c r="E1496" t="s">
        <v>1062</v>
      </c>
      <c r="F1496" t="s">
        <v>10368</v>
      </c>
      <c r="G1496">
        <v>0</v>
      </c>
      <c r="H1496">
        <v>0</v>
      </c>
      <c r="I1496" t="s">
        <v>10369</v>
      </c>
      <c r="J1496">
        <v>9173298302</v>
      </c>
      <c r="K1496" t="s">
        <v>10370</v>
      </c>
      <c r="L1496">
        <v>1234</v>
      </c>
      <c r="M1496" t="s">
        <v>645</v>
      </c>
      <c r="N1496" t="s">
        <v>336</v>
      </c>
      <c r="O1496" t="s">
        <v>515</v>
      </c>
      <c r="P1496">
        <v>3591</v>
      </c>
    </row>
    <row r="1497" spans="1:17" x14ac:dyDescent="0.3">
      <c r="A1497" t="s">
        <v>10371</v>
      </c>
      <c r="B1497" t="s">
        <v>10372</v>
      </c>
      <c r="C1497" t="s">
        <v>10373</v>
      </c>
      <c r="E1497" t="s">
        <v>10374</v>
      </c>
      <c r="F1497" t="s">
        <v>10375</v>
      </c>
      <c r="I1497" t="s">
        <v>10376</v>
      </c>
      <c r="K1497" t="s">
        <v>10377</v>
      </c>
      <c r="L1497">
        <v>1234</v>
      </c>
      <c r="M1497" t="s">
        <v>645</v>
      </c>
      <c r="N1497" t="s">
        <v>336</v>
      </c>
      <c r="O1497" t="s">
        <v>515</v>
      </c>
      <c r="P1497">
        <v>3636</v>
      </c>
    </row>
    <row r="1498" spans="1:17" x14ac:dyDescent="0.3">
      <c r="A1498" t="s">
        <v>10378</v>
      </c>
      <c r="B1498" t="s">
        <v>10379</v>
      </c>
      <c r="C1498" t="s">
        <v>10380</v>
      </c>
      <c r="D1498" t="s">
        <v>10381</v>
      </c>
      <c r="E1498" t="s">
        <v>6630</v>
      </c>
      <c r="F1498" t="s">
        <v>10382</v>
      </c>
      <c r="G1498">
        <v>0</v>
      </c>
      <c r="H1498">
        <v>0</v>
      </c>
      <c r="I1498" t="s">
        <v>10383</v>
      </c>
      <c r="J1498">
        <v>9452082276</v>
      </c>
      <c r="K1498" t="s">
        <v>10384</v>
      </c>
      <c r="L1498">
        <v>1234</v>
      </c>
      <c r="M1498" t="s">
        <v>645</v>
      </c>
      <c r="N1498" t="s">
        <v>369</v>
      </c>
      <c r="O1498" t="s">
        <v>370</v>
      </c>
      <c r="P1498">
        <v>3624</v>
      </c>
    </row>
    <row r="1499" spans="1:17" x14ac:dyDescent="0.3">
      <c r="A1499" t="s">
        <v>10385</v>
      </c>
      <c r="B1499" t="s">
        <v>10386</v>
      </c>
      <c r="C1499" t="s">
        <v>10387</v>
      </c>
      <c r="D1499" t="s">
        <v>3275</v>
      </c>
      <c r="E1499" t="s">
        <v>1194</v>
      </c>
      <c r="F1499" t="s">
        <v>10388</v>
      </c>
      <c r="G1499">
        <v>0</v>
      </c>
      <c r="H1499">
        <v>0</v>
      </c>
      <c r="I1499" t="s">
        <v>10389</v>
      </c>
      <c r="J1499">
        <v>9674008857</v>
      </c>
      <c r="K1499" t="s">
        <v>10390</v>
      </c>
      <c r="L1499" t="s">
        <v>10391</v>
      </c>
      <c r="M1499" t="s">
        <v>645</v>
      </c>
      <c r="N1499" t="s">
        <v>10392</v>
      </c>
      <c r="O1499" t="s">
        <v>10393</v>
      </c>
      <c r="P1499">
        <v>3645</v>
      </c>
    </row>
    <row r="1500" spans="1:17" x14ac:dyDescent="0.3">
      <c r="A1500" t="s">
        <v>10394</v>
      </c>
      <c r="B1500" t="s">
        <v>384</v>
      </c>
      <c r="C1500" t="s">
        <v>10395</v>
      </c>
      <c r="D1500" t="s">
        <v>954</v>
      </c>
      <c r="E1500" t="s">
        <v>286</v>
      </c>
      <c r="F1500" t="s">
        <v>10396</v>
      </c>
      <c r="G1500">
        <v>0</v>
      </c>
      <c r="H1500">
        <v>0</v>
      </c>
      <c r="I1500" t="s">
        <v>10397</v>
      </c>
      <c r="J1500">
        <v>9663726050</v>
      </c>
      <c r="K1500" t="s">
        <v>10398</v>
      </c>
      <c r="L1500">
        <v>1234</v>
      </c>
      <c r="M1500" t="s">
        <v>645</v>
      </c>
      <c r="N1500" t="s">
        <v>398</v>
      </c>
      <c r="O1500" t="s">
        <v>582</v>
      </c>
      <c r="P1500">
        <v>3619</v>
      </c>
    </row>
    <row r="1501" spans="1:17" x14ac:dyDescent="0.3">
      <c r="A1501" t="s">
        <v>10399</v>
      </c>
      <c r="B1501" t="s">
        <v>10400</v>
      </c>
      <c r="C1501" t="s">
        <v>10401</v>
      </c>
      <c r="D1501" t="s">
        <v>2682</v>
      </c>
      <c r="E1501" t="s">
        <v>77</v>
      </c>
      <c r="F1501" t="s">
        <v>10402</v>
      </c>
      <c r="G1501">
        <v>0</v>
      </c>
      <c r="H1501">
        <v>0</v>
      </c>
      <c r="I1501" t="s">
        <v>10403</v>
      </c>
      <c r="J1501" t="s">
        <v>10404</v>
      </c>
      <c r="K1501" t="s">
        <v>10405</v>
      </c>
      <c r="L1501">
        <v>1234</v>
      </c>
      <c r="M1501" t="s">
        <v>645</v>
      </c>
      <c r="N1501" t="s">
        <v>336</v>
      </c>
      <c r="O1501" t="s">
        <v>515</v>
      </c>
      <c r="P1501">
        <v>2435</v>
      </c>
    </row>
    <row r="1502" spans="1:17" x14ac:dyDescent="0.3">
      <c r="A1502" t="s">
        <v>10406</v>
      </c>
      <c r="B1502" t="s">
        <v>4737</v>
      </c>
      <c r="C1502" t="s">
        <v>9201</v>
      </c>
      <c r="D1502" t="s">
        <v>10407</v>
      </c>
      <c r="E1502" t="s">
        <v>10408</v>
      </c>
      <c r="F1502" t="s">
        <v>10409</v>
      </c>
      <c r="G1502">
        <v>15.175897749636199</v>
      </c>
      <c r="H1502">
        <v>120.53278148174201</v>
      </c>
      <c r="I1502" t="s">
        <v>10410</v>
      </c>
      <c r="J1502">
        <v>9176560709</v>
      </c>
      <c r="K1502" t="s">
        <v>10411</v>
      </c>
      <c r="L1502" t="s">
        <v>10412</v>
      </c>
      <c r="M1502" t="s">
        <v>645</v>
      </c>
      <c r="N1502" t="s">
        <v>336</v>
      </c>
      <c r="O1502" t="s">
        <v>515</v>
      </c>
      <c r="P1502">
        <v>3640</v>
      </c>
    </row>
    <row r="1503" spans="1:17" x14ac:dyDescent="0.3">
      <c r="A1503" t="s">
        <v>10413</v>
      </c>
      <c r="B1503" t="s">
        <v>326</v>
      </c>
      <c r="C1503" t="s">
        <v>10414</v>
      </c>
      <c r="D1503" t="s">
        <v>756</v>
      </c>
      <c r="E1503" t="s">
        <v>329</v>
      </c>
      <c r="F1503" t="s">
        <v>10415</v>
      </c>
      <c r="G1503">
        <v>15.167983</v>
      </c>
      <c r="H1503">
        <v>120.543391</v>
      </c>
      <c r="I1503" t="s">
        <v>10416</v>
      </c>
      <c r="J1503">
        <v>9566626609</v>
      </c>
      <c r="K1503" t="s">
        <v>10417</v>
      </c>
      <c r="L1503" t="s">
        <v>10418</v>
      </c>
      <c r="M1503" t="s">
        <v>645</v>
      </c>
      <c r="N1503" t="s">
        <v>398</v>
      </c>
      <c r="O1503" t="s">
        <v>582</v>
      </c>
      <c r="P1503">
        <v>3653</v>
      </c>
    </row>
    <row r="1504" spans="1:17" x14ac:dyDescent="0.3">
      <c r="A1504" t="s">
        <v>10419</v>
      </c>
      <c r="B1504" t="s">
        <v>426</v>
      </c>
      <c r="C1504" t="s">
        <v>3808</v>
      </c>
      <c r="D1504" t="s">
        <v>1734</v>
      </c>
      <c r="E1504" t="s">
        <v>2030</v>
      </c>
      <c r="F1504" t="s">
        <v>10420</v>
      </c>
      <c r="G1504">
        <v>15.177782300000001</v>
      </c>
      <c r="H1504">
        <v>120.5267411</v>
      </c>
      <c r="I1504" t="s">
        <v>10421</v>
      </c>
      <c r="J1504">
        <v>9955380297</v>
      </c>
      <c r="K1504" t="s">
        <v>10422</v>
      </c>
      <c r="L1504" t="s">
        <v>10423</v>
      </c>
      <c r="M1504" t="s">
        <v>645</v>
      </c>
      <c r="N1504" t="s">
        <v>369</v>
      </c>
      <c r="O1504" t="s">
        <v>370</v>
      </c>
      <c r="P1504">
        <v>3659</v>
      </c>
      <c r="Q1504" t="s">
        <v>10424</v>
      </c>
    </row>
    <row r="1505" spans="1:16" x14ac:dyDescent="0.3">
      <c r="A1505" t="s">
        <v>10425</v>
      </c>
      <c r="B1505" t="s">
        <v>6229</v>
      </c>
      <c r="C1505" t="s">
        <v>10426</v>
      </c>
      <c r="D1505" t="s">
        <v>9899</v>
      </c>
      <c r="E1505" t="s">
        <v>10056</v>
      </c>
      <c r="F1505" t="s">
        <v>10427</v>
      </c>
      <c r="G1505">
        <v>15.20391</v>
      </c>
      <c r="H1505">
        <v>120.52155999999999</v>
      </c>
      <c r="I1505" t="s">
        <v>10428</v>
      </c>
      <c r="J1505">
        <v>9913281539</v>
      </c>
      <c r="K1505" t="s">
        <v>10429</v>
      </c>
      <c r="L1505" t="s">
        <v>10430</v>
      </c>
      <c r="M1505" t="s">
        <v>645</v>
      </c>
      <c r="N1505" t="s">
        <v>398</v>
      </c>
      <c r="O1505" t="s">
        <v>582</v>
      </c>
      <c r="P1505">
        <v>3658</v>
      </c>
    </row>
    <row r="1506" spans="1:16" x14ac:dyDescent="0.3">
      <c r="A1506" t="s">
        <v>10431</v>
      </c>
      <c r="B1506" t="s">
        <v>10432</v>
      </c>
      <c r="C1506" t="s">
        <v>10433</v>
      </c>
      <c r="D1506" t="s">
        <v>36</v>
      </c>
      <c r="E1506" t="s">
        <v>849</v>
      </c>
      <c r="F1506" t="s">
        <v>10434</v>
      </c>
      <c r="G1506">
        <v>0</v>
      </c>
      <c r="H1506">
        <v>0</v>
      </c>
      <c r="I1506" t="s">
        <v>10435</v>
      </c>
      <c r="J1506">
        <v>9295694376</v>
      </c>
      <c r="K1506" t="s">
        <v>10436</v>
      </c>
      <c r="L1506" t="s">
        <v>10437</v>
      </c>
      <c r="M1506" t="s">
        <v>645</v>
      </c>
      <c r="N1506" t="s">
        <v>779</v>
      </c>
      <c r="O1506" t="s">
        <v>780</v>
      </c>
      <c r="P1506">
        <v>3654</v>
      </c>
    </row>
    <row r="1507" spans="1:16" x14ac:dyDescent="0.3">
      <c r="A1507" t="s">
        <v>10438</v>
      </c>
      <c r="B1507" t="s">
        <v>10439</v>
      </c>
      <c r="C1507" t="s">
        <v>10440</v>
      </c>
      <c r="D1507" t="s">
        <v>2682</v>
      </c>
      <c r="E1507" t="s">
        <v>329</v>
      </c>
      <c r="F1507" t="s">
        <v>10441</v>
      </c>
      <c r="G1507">
        <v>15.173852689218901</v>
      </c>
      <c r="H1507">
        <v>120.51555633544901</v>
      </c>
      <c r="I1507" t="s">
        <v>10442</v>
      </c>
      <c r="J1507">
        <v>9065702509</v>
      </c>
      <c r="K1507" t="s">
        <v>10443</v>
      </c>
      <c r="L1507" t="s">
        <v>10444</v>
      </c>
      <c r="M1507" t="s">
        <v>645</v>
      </c>
      <c r="N1507" t="s">
        <v>336</v>
      </c>
      <c r="O1507" t="s">
        <v>515</v>
      </c>
      <c r="P1507">
        <v>3423</v>
      </c>
    </row>
    <row r="1508" spans="1:16" x14ac:dyDescent="0.3">
      <c r="A1508" t="s">
        <v>10445</v>
      </c>
      <c r="B1508" t="s">
        <v>10446</v>
      </c>
      <c r="C1508" t="s">
        <v>2760</v>
      </c>
      <c r="D1508" t="s">
        <v>3701</v>
      </c>
      <c r="E1508" t="s">
        <v>10447</v>
      </c>
      <c r="F1508" t="s">
        <v>10448</v>
      </c>
      <c r="G1508">
        <v>0</v>
      </c>
      <c r="H1508">
        <v>0</v>
      </c>
      <c r="I1508" t="s">
        <v>10449</v>
      </c>
      <c r="J1508" t="s">
        <v>10450</v>
      </c>
      <c r="K1508" t="s">
        <v>10451</v>
      </c>
      <c r="L1508" t="s">
        <v>10452</v>
      </c>
      <c r="M1508" t="s">
        <v>645</v>
      </c>
      <c r="N1508" t="s">
        <v>369</v>
      </c>
      <c r="O1508" t="s">
        <v>370</v>
      </c>
      <c r="P1508">
        <v>3648</v>
      </c>
    </row>
    <row r="1509" spans="1:16" x14ac:dyDescent="0.3">
      <c r="A1509" t="s">
        <v>10453</v>
      </c>
      <c r="B1509" t="s">
        <v>10454</v>
      </c>
      <c r="C1509" t="s">
        <v>10455</v>
      </c>
      <c r="D1509" t="s">
        <v>4889</v>
      </c>
      <c r="E1509" t="s">
        <v>10456</v>
      </c>
      <c r="F1509" t="s">
        <v>10457</v>
      </c>
      <c r="G1509">
        <v>15.178848</v>
      </c>
      <c r="H1509">
        <v>120.57329900000001</v>
      </c>
      <c r="I1509" t="s">
        <v>10458</v>
      </c>
      <c r="J1509">
        <v>9974232790</v>
      </c>
      <c r="K1509" t="s">
        <v>10459</v>
      </c>
      <c r="L1509">
        <v>1234</v>
      </c>
      <c r="M1509" t="s">
        <v>645</v>
      </c>
      <c r="N1509" t="s">
        <v>336</v>
      </c>
      <c r="O1509" t="s">
        <v>515</v>
      </c>
      <c r="P1509">
        <v>3565</v>
      </c>
    </row>
    <row r="1510" spans="1:16" x14ac:dyDescent="0.3">
      <c r="A1510" t="s">
        <v>10460</v>
      </c>
      <c r="B1510" t="s">
        <v>10461</v>
      </c>
      <c r="C1510" t="s">
        <v>10462</v>
      </c>
      <c r="D1510" t="s">
        <v>177</v>
      </c>
      <c r="E1510" t="s">
        <v>10463</v>
      </c>
      <c r="F1510" t="s">
        <v>10464</v>
      </c>
      <c r="G1510">
        <v>0</v>
      </c>
      <c r="H1510">
        <v>0</v>
      </c>
      <c r="I1510" t="s">
        <v>10465</v>
      </c>
      <c r="J1510">
        <v>9068980908</v>
      </c>
      <c r="K1510" t="s">
        <v>10466</v>
      </c>
      <c r="L1510">
        <v>1234</v>
      </c>
      <c r="M1510" t="s">
        <v>645</v>
      </c>
      <c r="N1510" t="s">
        <v>304</v>
      </c>
      <c r="O1510" t="s">
        <v>323</v>
      </c>
      <c r="P1510">
        <v>3656</v>
      </c>
    </row>
    <row r="1511" spans="1:16" x14ac:dyDescent="0.3">
      <c r="A1511" t="s">
        <v>10467</v>
      </c>
      <c r="B1511" t="s">
        <v>10468</v>
      </c>
      <c r="C1511" t="s">
        <v>10469</v>
      </c>
      <c r="D1511" t="s">
        <v>10470</v>
      </c>
      <c r="E1511" t="s">
        <v>10471</v>
      </c>
      <c r="F1511" t="s">
        <v>10472</v>
      </c>
      <c r="G1511">
        <v>15.188297</v>
      </c>
      <c r="H1511">
        <v>120.548581</v>
      </c>
      <c r="I1511" t="s">
        <v>10473</v>
      </c>
      <c r="J1511">
        <v>9618422618</v>
      </c>
      <c r="K1511" t="s">
        <v>10474</v>
      </c>
      <c r="L1511">
        <v>1234</v>
      </c>
      <c r="M1511" t="s">
        <v>645</v>
      </c>
      <c r="N1511" t="s">
        <v>398</v>
      </c>
      <c r="O1511" t="s">
        <v>685</v>
      </c>
      <c r="P1511">
        <v>3583</v>
      </c>
    </row>
    <row r="1512" spans="1:16" x14ac:dyDescent="0.3">
      <c r="A1512" t="s">
        <v>10475</v>
      </c>
      <c r="B1512" t="s">
        <v>10476</v>
      </c>
      <c r="C1512" t="s">
        <v>10477</v>
      </c>
      <c r="D1512" t="s">
        <v>6578</v>
      </c>
      <c r="E1512" t="s">
        <v>597</v>
      </c>
      <c r="F1512" t="s">
        <v>10478</v>
      </c>
      <c r="G1512">
        <v>15.178447999999999</v>
      </c>
      <c r="H1512">
        <v>120.50925599999999</v>
      </c>
      <c r="I1512" t="s">
        <v>10479</v>
      </c>
      <c r="J1512" t="s">
        <v>10480</v>
      </c>
      <c r="K1512" t="s">
        <v>10481</v>
      </c>
      <c r="L1512">
        <v>1234</v>
      </c>
      <c r="M1512" t="s">
        <v>645</v>
      </c>
      <c r="N1512" t="s">
        <v>336</v>
      </c>
      <c r="O1512" t="s">
        <v>441</v>
      </c>
      <c r="P1512">
        <v>3092</v>
      </c>
    </row>
    <row r="1513" spans="1:16" x14ac:dyDescent="0.3">
      <c r="A1513" t="s">
        <v>10482</v>
      </c>
      <c r="B1513" t="s">
        <v>10483</v>
      </c>
      <c r="C1513" t="s">
        <v>10484</v>
      </c>
      <c r="D1513" t="s">
        <v>2561</v>
      </c>
      <c r="E1513" t="s">
        <v>1985</v>
      </c>
      <c r="F1513" t="s">
        <v>10485</v>
      </c>
      <c r="I1513" t="s">
        <v>10486</v>
      </c>
      <c r="J1513">
        <v>9176941934</v>
      </c>
      <c r="K1513" t="s">
        <v>10487</v>
      </c>
      <c r="L1513" t="s">
        <v>10488</v>
      </c>
      <c r="M1513" t="s">
        <v>645</v>
      </c>
      <c r="N1513" t="s">
        <v>336</v>
      </c>
      <c r="O1513" t="s">
        <v>515</v>
      </c>
      <c r="P1513">
        <v>3436</v>
      </c>
    </row>
    <row r="1514" spans="1:16" x14ac:dyDescent="0.3">
      <c r="A1514" t="s">
        <v>10489</v>
      </c>
      <c r="B1514" t="s">
        <v>10490</v>
      </c>
      <c r="C1514" t="s">
        <v>10491</v>
      </c>
      <c r="D1514" t="s">
        <v>1571</v>
      </c>
      <c r="E1514" t="s">
        <v>10492</v>
      </c>
      <c r="F1514" t="s">
        <v>10493</v>
      </c>
      <c r="I1514" t="s">
        <v>10494</v>
      </c>
      <c r="J1514">
        <v>9988621249</v>
      </c>
      <c r="K1514" t="s">
        <v>10495</v>
      </c>
      <c r="L1514">
        <v>1234</v>
      </c>
      <c r="M1514" t="s">
        <v>645</v>
      </c>
      <c r="N1514" t="s">
        <v>336</v>
      </c>
      <c r="O1514" t="s">
        <v>515</v>
      </c>
      <c r="P1514">
        <v>3622</v>
      </c>
    </row>
    <row r="1515" spans="1:16" x14ac:dyDescent="0.3">
      <c r="A1515" t="s">
        <v>10496</v>
      </c>
      <c r="B1515" t="s">
        <v>3335</v>
      </c>
      <c r="C1515" t="s">
        <v>10497</v>
      </c>
      <c r="D1515" t="s">
        <v>8543</v>
      </c>
      <c r="E1515" t="s">
        <v>1276</v>
      </c>
      <c r="F1515" t="s">
        <v>10498</v>
      </c>
      <c r="G1515">
        <v>0</v>
      </c>
      <c r="H1515">
        <v>0</v>
      </c>
      <c r="I1515" t="s">
        <v>10499</v>
      </c>
      <c r="J1515">
        <v>9190954559</v>
      </c>
      <c r="K1515" t="s">
        <v>10500</v>
      </c>
      <c r="L1515" t="s">
        <v>10501</v>
      </c>
      <c r="M1515" t="s">
        <v>645</v>
      </c>
      <c r="N1515" t="s">
        <v>398</v>
      </c>
      <c r="O1515" t="s">
        <v>582</v>
      </c>
      <c r="P1515">
        <v>3664</v>
      </c>
    </row>
    <row r="1516" spans="1:16" x14ac:dyDescent="0.3">
      <c r="A1516" t="s">
        <v>10502</v>
      </c>
      <c r="B1516" t="s">
        <v>9770</v>
      </c>
      <c r="C1516" t="s">
        <v>9771</v>
      </c>
      <c r="D1516" t="s">
        <v>9772</v>
      </c>
      <c r="E1516" t="s">
        <v>2550</v>
      </c>
      <c r="F1516" t="s">
        <v>10503</v>
      </c>
      <c r="I1516" t="s">
        <v>9774</v>
      </c>
      <c r="J1516">
        <v>9952388317</v>
      </c>
      <c r="K1516" t="s">
        <v>10504</v>
      </c>
      <c r="L1516">
        <v>1234</v>
      </c>
      <c r="M1516" t="s">
        <v>645</v>
      </c>
      <c r="N1516" t="s">
        <v>398</v>
      </c>
      <c r="O1516" t="s">
        <v>582</v>
      </c>
      <c r="P1516">
        <v>3616</v>
      </c>
    </row>
    <row r="1517" spans="1:16" x14ac:dyDescent="0.3">
      <c r="A1517" t="s">
        <v>10505</v>
      </c>
      <c r="B1517" t="s">
        <v>5890</v>
      </c>
      <c r="C1517" t="s">
        <v>10361</v>
      </c>
      <c r="D1517" t="s">
        <v>1555</v>
      </c>
      <c r="E1517" t="s">
        <v>3723</v>
      </c>
      <c r="F1517" t="s">
        <v>10506</v>
      </c>
      <c r="G1517">
        <v>0</v>
      </c>
      <c r="H1517">
        <v>0</v>
      </c>
      <c r="I1517" t="s">
        <v>10507</v>
      </c>
      <c r="J1517">
        <v>9694906560</v>
      </c>
      <c r="K1517" t="s">
        <v>10508</v>
      </c>
      <c r="L1517" t="s">
        <v>10509</v>
      </c>
      <c r="M1517" t="s">
        <v>645</v>
      </c>
      <c r="N1517" t="s">
        <v>336</v>
      </c>
      <c r="O1517" t="s">
        <v>515</v>
      </c>
      <c r="P1517">
        <v>3650</v>
      </c>
    </row>
    <row r="1518" spans="1:16" x14ac:dyDescent="0.3">
      <c r="A1518" t="s">
        <v>10510</v>
      </c>
      <c r="B1518" t="s">
        <v>10511</v>
      </c>
      <c r="C1518" t="s">
        <v>10512</v>
      </c>
      <c r="D1518" t="s">
        <v>4609</v>
      </c>
      <c r="E1518" t="s">
        <v>1572</v>
      </c>
      <c r="F1518" t="s">
        <v>10513</v>
      </c>
      <c r="G1518">
        <v>0</v>
      </c>
      <c r="H1518">
        <v>0</v>
      </c>
      <c r="I1518" t="s">
        <v>10514</v>
      </c>
      <c r="J1518">
        <v>9451467000</v>
      </c>
      <c r="K1518" t="s">
        <v>10515</v>
      </c>
      <c r="L1518">
        <v>1234</v>
      </c>
      <c r="M1518" t="s">
        <v>645</v>
      </c>
      <c r="N1518" t="s">
        <v>779</v>
      </c>
      <c r="O1518" t="s">
        <v>1049</v>
      </c>
      <c r="P1518">
        <v>3657</v>
      </c>
    </row>
    <row r="1519" spans="1:16" x14ac:dyDescent="0.3">
      <c r="A1519" t="s">
        <v>10516</v>
      </c>
      <c r="B1519" t="s">
        <v>10517</v>
      </c>
      <c r="C1519" t="s">
        <v>4608</v>
      </c>
      <c r="D1519" t="s">
        <v>3273</v>
      </c>
      <c r="E1519" t="s">
        <v>10518</v>
      </c>
      <c r="F1519" t="s">
        <v>10519</v>
      </c>
      <c r="G1519">
        <v>0</v>
      </c>
      <c r="H1519">
        <v>0</v>
      </c>
      <c r="I1519" t="s">
        <v>10520</v>
      </c>
      <c r="J1519" t="s">
        <v>10521</v>
      </c>
      <c r="K1519" t="s">
        <v>10522</v>
      </c>
      <c r="L1519">
        <v>1234</v>
      </c>
      <c r="M1519" t="s">
        <v>645</v>
      </c>
      <c r="N1519" t="s">
        <v>336</v>
      </c>
      <c r="O1519" t="s">
        <v>515</v>
      </c>
      <c r="P1519">
        <v>3042</v>
      </c>
    </row>
    <row r="1520" spans="1:16" x14ac:dyDescent="0.3">
      <c r="A1520" t="s">
        <v>10523</v>
      </c>
      <c r="B1520" t="s">
        <v>10524</v>
      </c>
      <c r="C1520" t="s">
        <v>10525</v>
      </c>
      <c r="D1520" t="s">
        <v>2409</v>
      </c>
      <c r="E1520" t="s">
        <v>286</v>
      </c>
      <c r="F1520" t="s">
        <v>10526</v>
      </c>
      <c r="G1520">
        <v>15.1745464587692</v>
      </c>
      <c r="H1520">
        <v>120.51519155502299</v>
      </c>
      <c r="I1520" t="s">
        <v>10527</v>
      </c>
      <c r="J1520">
        <v>9566916252</v>
      </c>
      <c r="K1520" t="s">
        <v>10528</v>
      </c>
      <c r="L1520">
        <v>1234</v>
      </c>
      <c r="M1520" t="s">
        <v>645</v>
      </c>
      <c r="N1520" t="s">
        <v>336</v>
      </c>
      <c r="O1520" t="s">
        <v>441</v>
      </c>
      <c r="P1520">
        <v>3680</v>
      </c>
    </row>
    <row r="1521" spans="1:17" x14ac:dyDescent="0.3">
      <c r="A1521" t="s">
        <v>9472</v>
      </c>
      <c r="B1521" t="s">
        <v>2336</v>
      </c>
      <c r="C1521" t="s">
        <v>9473</v>
      </c>
      <c r="D1521" t="s">
        <v>9474</v>
      </c>
      <c r="E1521" t="s">
        <v>2160</v>
      </c>
      <c r="F1521" t="s">
        <v>9475</v>
      </c>
      <c r="I1521" t="s">
        <v>9476</v>
      </c>
      <c r="J1521" t="s">
        <v>10529</v>
      </c>
      <c r="K1521" t="s">
        <v>9478</v>
      </c>
      <c r="L1521">
        <v>1234</v>
      </c>
      <c r="M1521" s="1">
        <v>42947</v>
      </c>
      <c r="N1521" t="s">
        <v>16</v>
      </c>
      <c r="O1521" t="s">
        <v>9479</v>
      </c>
      <c r="P1521">
        <v>1185</v>
      </c>
    </row>
    <row r="1522" spans="1:17" x14ac:dyDescent="0.3">
      <c r="A1522" t="s">
        <v>10530</v>
      </c>
      <c r="B1522" t="s">
        <v>10531</v>
      </c>
      <c r="C1522" t="s">
        <v>10532</v>
      </c>
      <c r="D1522" t="s">
        <v>1571</v>
      </c>
      <c r="E1522" t="s">
        <v>286</v>
      </c>
      <c r="F1522" t="s">
        <v>10533</v>
      </c>
      <c r="G1522">
        <v>0</v>
      </c>
      <c r="H1522">
        <v>0</v>
      </c>
      <c r="I1522" t="s">
        <v>10534</v>
      </c>
      <c r="J1522">
        <v>9979227179</v>
      </c>
      <c r="K1522" t="s">
        <v>10535</v>
      </c>
      <c r="L1522">
        <v>1234</v>
      </c>
      <c r="M1522" t="s">
        <v>645</v>
      </c>
      <c r="N1522" t="s">
        <v>336</v>
      </c>
      <c r="O1522" t="s">
        <v>515</v>
      </c>
      <c r="P1522">
        <v>3681</v>
      </c>
    </row>
    <row r="1523" spans="1:17" x14ac:dyDescent="0.3">
      <c r="A1523" t="s">
        <v>10536</v>
      </c>
      <c r="B1523" t="s">
        <v>10537</v>
      </c>
      <c r="C1523" t="s">
        <v>10538</v>
      </c>
      <c r="D1523" t="s">
        <v>10386</v>
      </c>
      <c r="E1523" t="s">
        <v>1699</v>
      </c>
      <c r="F1523" t="s">
        <v>10539</v>
      </c>
      <c r="G1523">
        <v>0</v>
      </c>
      <c r="H1523">
        <v>0</v>
      </c>
      <c r="I1523" t="s">
        <v>10540</v>
      </c>
      <c r="J1523">
        <v>9175538300</v>
      </c>
      <c r="K1523" t="s">
        <v>10541</v>
      </c>
      <c r="L1523">
        <v>1234</v>
      </c>
      <c r="M1523" t="s">
        <v>645</v>
      </c>
      <c r="N1523" t="s">
        <v>336</v>
      </c>
      <c r="O1523" t="s">
        <v>515</v>
      </c>
      <c r="P1523">
        <v>3649</v>
      </c>
    </row>
    <row r="1524" spans="1:17" x14ac:dyDescent="0.3">
      <c r="A1524" t="s">
        <v>10542</v>
      </c>
      <c r="B1524" t="s">
        <v>7926</v>
      </c>
      <c r="C1524" t="s">
        <v>10543</v>
      </c>
      <c r="D1524" t="s">
        <v>10544</v>
      </c>
      <c r="E1524" t="s">
        <v>7997</v>
      </c>
      <c r="F1524" t="s">
        <v>10545</v>
      </c>
      <c r="G1524">
        <v>15.176676</v>
      </c>
      <c r="H1524">
        <v>120.509152</v>
      </c>
      <c r="I1524" t="s">
        <v>10546</v>
      </c>
      <c r="J1524">
        <v>9999203528</v>
      </c>
      <c r="K1524" t="s">
        <v>10547</v>
      </c>
      <c r="L1524" t="s">
        <v>10548</v>
      </c>
      <c r="M1524" t="s">
        <v>645</v>
      </c>
      <c r="N1524" t="s">
        <v>336</v>
      </c>
      <c r="O1524" t="s">
        <v>515</v>
      </c>
      <c r="P1524">
        <v>3669</v>
      </c>
    </row>
    <row r="1525" spans="1:17" x14ac:dyDescent="0.3">
      <c r="A1525" t="s">
        <v>10549</v>
      </c>
      <c r="B1525" t="s">
        <v>2463</v>
      </c>
      <c r="C1525" t="s">
        <v>10550</v>
      </c>
      <c r="D1525" t="s">
        <v>1528</v>
      </c>
      <c r="E1525" t="s">
        <v>717</v>
      </c>
      <c r="F1525" t="s">
        <v>10551</v>
      </c>
      <c r="G1525">
        <v>0</v>
      </c>
      <c r="H1525">
        <v>0</v>
      </c>
      <c r="I1525" t="s">
        <v>10552</v>
      </c>
      <c r="J1525" t="s">
        <v>10553</v>
      </c>
      <c r="K1525" t="s">
        <v>10554</v>
      </c>
      <c r="L1525">
        <v>1234</v>
      </c>
      <c r="M1525" t="s">
        <v>645</v>
      </c>
      <c r="N1525" t="s">
        <v>398</v>
      </c>
      <c r="O1525" t="s">
        <v>582</v>
      </c>
      <c r="P1525">
        <v>3665</v>
      </c>
    </row>
    <row r="1526" spans="1:17" x14ac:dyDescent="0.3">
      <c r="A1526" t="s">
        <v>10555</v>
      </c>
      <c r="B1526" t="s">
        <v>725</v>
      </c>
      <c r="C1526" t="s">
        <v>10556</v>
      </c>
      <c r="D1526" t="s">
        <v>539</v>
      </c>
      <c r="E1526" t="s">
        <v>10557</v>
      </c>
      <c r="F1526" t="s">
        <v>10558</v>
      </c>
      <c r="I1526" t="s">
        <v>10559</v>
      </c>
      <c r="J1526">
        <v>9176311548</v>
      </c>
      <c r="K1526" t="s">
        <v>10560</v>
      </c>
      <c r="L1526">
        <v>1234</v>
      </c>
      <c r="M1526" t="s">
        <v>645</v>
      </c>
      <c r="N1526" t="s">
        <v>398</v>
      </c>
      <c r="O1526" t="s">
        <v>582</v>
      </c>
      <c r="P1526">
        <v>3621</v>
      </c>
    </row>
    <row r="1527" spans="1:17" x14ac:dyDescent="0.3">
      <c r="A1527" t="s">
        <v>10561</v>
      </c>
      <c r="B1527" t="s">
        <v>10562</v>
      </c>
      <c r="C1527" t="s">
        <v>10563</v>
      </c>
      <c r="D1527" t="s">
        <v>326</v>
      </c>
      <c r="E1527" t="s">
        <v>10564</v>
      </c>
      <c r="F1527" t="s">
        <v>10565</v>
      </c>
      <c r="I1527" t="s">
        <v>10566</v>
      </c>
      <c r="J1527">
        <v>9282294015</v>
      </c>
      <c r="K1527" t="s">
        <v>10567</v>
      </c>
      <c r="L1527">
        <v>1234</v>
      </c>
      <c r="M1527" t="s">
        <v>645</v>
      </c>
      <c r="N1527" t="s">
        <v>398</v>
      </c>
      <c r="O1527" t="s">
        <v>582</v>
      </c>
      <c r="P1527">
        <v>2109</v>
      </c>
    </row>
    <row r="1528" spans="1:17" x14ac:dyDescent="0.3">
      <c r="A1528" t="s">
        <v>10568</v>
      </c>
      <c r="B1528" t="s">
        <v>8438</v>
      </c>
      <c r="C1528" t="s">
        <v>284</v>
      </c>
      <c r="D1528" t="s">
        <v>10569</v>
      </c>
      <c r="E1528" t="s">
        <v>10570</v>
      </c>
      <c r="F1528" t="s">
        <v>10571</v>
      </c>
      <c r="I1528" t="s">
        <v>10572</v>
      </c>
      <c r="J1528">
        <v>9690641628</v>
      </c>
      <c r="K1528" t="s">
        <v>10573</v>
      </c>
      <c r="L1528">
        <v>1234</v>
      </c>
      <c r="M1528" t="s">
        <v>645</v>
      </c>
      <c r="N1528" t="s">
        <v>931</v>
      </c>
      <c r="P1528">
        <v>3696</v>
      </c>
    </row>
    <row r="1529" spans="1:17" x14ac:dyDescent="0.3">
      <c r="A1529" t="s">
        <v>10574</v>
      </c>
      <c r="B1529" t="s">
        <v>10575</v>
      </c>
      <c r="C1529" t="s">
        <v>934</v>
      </c>
      <c r="D1529" t="s">
        <v>5398</v>
      </c>
      <c r="E1529" t="s">
        <v>2693</v>
      </c>
      <c r="F1529" t="s">
        <v>10576</v>
      </c>
      <c r="G1529">
        <v>9.6559524538758195E-5</v>
      </c>
      <c r="H1529">
        <v>-6.1154365539550705E-4</v>
      </c>
      <c r="I1529" t="s">
        <v>10577</v>
      </c>
      <c r="J1529">
        <v>9496442993</v>
      </c>
      <c r="K1529" t="s">
        <v>10578</v>
      </c>
      <c r="L1529" t="s">
        <v>10579</v>
      </c>
      <c r="M1529" t="s">
        <v>645</v>
      </c>
      <c r="N1529" t="s">
        <v>763</v>
      </c>
      <c r="O1529" t="s">
        <v>764</v>
      </c>
      <c r="P1529">
        <v>3641</v>
      </c>
    </row>
    <row r="1530" spans="1:17" x14ac:dyDescent="0.3">
      <c r="A1530" t="s">
        <v>10580</v>
      </c>
      <c r="B1530" t="s">
        <v>3317</v>
      </c>
      <c r="C1530" t="s">
        <v>4208</v>
      </c>
      <c r="D1530" t="s">
        <v>10581</v>
      </c>
      <c r="E1530" t="s">
        <v>135</v>
      </c>
      <c r="F1530" t="s">
        <v>10582</v>
      </c>
      <c r="G1530">
        <v>0</v>
      </c>
      <c r="H1530">
        <v>0</v>
      </c>
      <c r="I1530" t="s">
        <v>10583</v>
      </c>
      <c r="J1530">
        <v>9195355157</v>
      </c>
      <c r="K1530" t="s">
        <v>10584</v>
      </c>
      <c r="L1530">
        <v>1234</v>
      </c>
      <c r="M1530" t="s">
        <v>645</v>
      </c>
      <c r="N1530" t="s">
        <v>398</v>
      </c>
      <c r="O1530" t="s">
        <v>10585</v>
      </c>
      <c r="P1530">
        <v>3506</v>
      </c>
    </row>
    <row r="1531" spans="1:17" x14ac:dyDescent="0.3">
      <c r="A1531" t="s">
        <v>10586</v>
      </c>
      <c r="B1531" t="s">
        <v>5890</v>
      </c>
      <c r="C1531" t="s">
        <v>10361</v>
      </c>
      <c r="D1531" t="s">
        <v>1555</v>
      </c>
      <c r="E1531" t="s">
        <v>3723</v>
      </c>
      <c r="F1531" t="s">
        <v>10587</v>
      </c>
      <c r="G1531">
        <v>0</v>
      </c>
      <c r="H1531">
        <v>0</v>
      </c>
      <c r="I1531" t="s">
        <v>10588</v>
      </c>
      <c r="J1531">
        <v>9694906562</v>
      </c>
      <c r="K1531" t="s">
        <v>10589</v>
      </c>
      <c r="L1531" t="s">
        <v>10590</v>
      </c>
      <c r="M1531" t="s">
        <v>645</v>
      </c>
      <c r="N1531" t="s">
        <v>336</v>
      </c>
      <c r="O1531" t="s">
        <v>515</v>
      </c>
      <c r="P1531">
        <v>3701</v>
      </c>
    </row>
    <row r="1532" spans="1:17" x14ac:dyDescent="0.3">
      <c r="A1532" t="s">
        <v>10591</v>
      </c>
      <c r="B1532" t="s">
        <v>10592</v>
      </c>
      <c r="C1532" t="s">
        <v>6397</v>
      </c>
      <c r="D1532" t="s">
        <v>10593</v>
      </c>
      <c r="E1532" t="s">
        <v>10594</v>
      </c>
      <c r="F1532" t="s">
        <v>10595</v>
      </c>
      <c r="G1532">
        <v>15.1658793532518</v>
      </c>
      <c r="H1532">
        <v>120.57877063751199</v>
      </c>
      <c r="I1532" t="s">
        <v>10596</v>
      </c>
      <c r="J1532">
        <v>9752127508</v>
      </c>
      <c r="K1532" t="s">
        <v>10597</v>
      </c>
      <c r="L1532">
        <v>1234</v>
      </c>
      <c r="M1532" t="s">
        <v>645</v>
      </c>
      <c r="N1532" t="s">
        <v>398</v>
      </c>
      <c r="O1532" t="s">
        <v>582</v>
      </c>
      <c r="P1532">
        <v>3642</v>
      </c>
    </row>
    <row r="1533" spans="1:17" x14ac:dyDescent="0.3">
      <c r="A1533" t="s">
        <v>10598</v>
      </c>
      <c r="B1533" t="s">
        <v>6761</v>
      </c>
      <c r="C1533" t="s">
        <v>902</v>
      </c>
      <c r="E1533" t="s">
        <v>3723</v>
      </c>
      <c r="F1533" t="s">
        <v>10599</v>
      </c>
      <c r="I1533" t="s">
        <v>10600</v>
      </c>
      <c r="J1533">
        <v>9688519388</v>
      </c>
      <c r="K1533" t="s">
        <v>10601</v>
      </c>
      <c r="L1533" t="s">
        <v>10602</v>
      </c>
      <c r="M1533" t="s">
        <v>645</v>
      </c>
      <c r="N1533" t="s">
        <v>336</v>
      </c>
      <c r="O1533" t="s">
        <v>441</v>
      </c>
      <c r="P1533">
        <v>3694</v>
      </c>
      <c r="Q1533" t="s">
        <v>10603</v>
      </c>
    </row>
    <row r="1534" spans="1:17" x14ac:dyDescent="0.3">
      <c r="A1534" t="s">
        <v>10604</v>
      </c>
      <c r="B1534" t="s">
        <v>10605</v>
      </c>
      <c r="C1534" t="s">
        <v>10606</v>
      </c>
      <c r="D1534" t="s">
        <v>539</v>
      </c>
      <c r="E1534" t="s">
        <v>3932</v>
      </c>
      <c r="F1534" t="s">
        <v>10607</v>
      </c>
      <c r="I1534" t="s">
        <v>10608</v>
      </c>
      <c r="J1534">
        <v>9176351601</v>
      </c>
      <c r="K1534" t="s">
        <v>10609</v>
      </c>
      <c r="L1534" t="s">
        <v>10610</v>
      </c>
      <c r="M1534" t="s">
        <v>645</v>
      </c>
      <c r="N1534" t="s">
        <v>931</v>
      </c>
      <c r="P1534">
        <v>3589</v>
      </c>
    </row>
    <row r="1535" spans="1:17" x14ac:dyDescent="0.3">
      <c r="A1535" t="s">
        <v>10604</v>
      </c>
      <c r="B1535" t="s">
        <v>10605</v>
      </c>
      <c r="C1535" t="s">
        <v>10606</v>
      </c>
      <c r="D1535" t="s">
        <v>539</v>
      </c>
      <c r="E1535" t="s">
        <v>3932</v>
      </c>
      <c r="F1535" t="s">
        <v>10607</v>
      </c>
      <c r="I1535" t="s">
        <v>10608</v>
      </c>
      <c r="J1535">
        <v>9176351601</v>
      </c>
      <c r="K1535" t="s">
        <v>10609</v>
      </c>
      <c r="L1535" t="s">
        <v>10610</v>
      </c>
      <c r="M1535" t="s">
        <v>645</v>
      </c>
      <c r="N1535" t="s">
        <v>931</v>
      </c>
      <c r="P1535">
        <v>3589</v>
      </c>
    </row>
    <row r="1536" spans="1:17" x14ac:dyDescent="0.3">
      <c r="A1536" t="s">
        <v>10611</v>
      </c>
      <c r="B1536" t="s">
        <v>2576</v>
      </c>
      <c r="C1536" t="s">
        <v>10612</v>
      </c>
      <c r="D1536" t="s">
        <v>1571</v>
      </c>
      <c r="E1536" t="s">
        <v>3990</v>
      </c>
      <c r="F1536" t="s">
        <v>10613</v>
      </c>
      <c r="I1536" t="s">
        <v>10614</v>
      </c>
      <c r="J1536">
        <v>9686111944</v>
      </c>
      <c r="K1536" t="s">
        <v>10615</v>
      </c>
      <c r="L1536">
        <v>1234</v>
      </c>
      <c r="M1536" t="s">
        <v>645</v>
      </c>
      <c r="N1536" t="s">
        <v>398</v>
      </c>
      <c r="O1536" t="s">
        <v>853</v>
      </c>
      <c r="P1536">
        <v>3687</v>
      </c>
      <c r="Q1536" t="s">
        <v>10616</v>
      </c>
    </row>
    <row r="1537" spans="1:17" x14ac:dyDescent="0.3">
      <c r="A1537" t="s">
        <v>10617</v>
      </c>
      <c r="B1537" t="s">
        <v>8239</v>
      </c>
      <c r="C1537" t="s">
        <v>8240</v>
      </c>
      <c r="D1537" t="s">
        <v>236</v>
      </c>
      <c r="E1537" t="s">
        <v>1276</v>
      </c>
      <c r="F1537" t="s">
        <v>10618</v>
      </c>
      <c r="G1537">
        <v>9.6559524538758195E-5</v>
      </c>
      <c r="H1537">
        <v>2.1457672119140601E-5</v>
      </c>
      <c r="I1537" t="s">
        <v>8242</v>
      </c>
      <c r="J1537">
        <v>9171286941</v>
      </c>
      <c r="K1537" t="s">
        <v>10619</v>
      </c>
      <c r="L1537">
        <v>1234</v>
      </c>
      <c r="M1537" t="s">
        <v>645</v>
      </c>
      <c r="N1537" t="s">
        <v>398</v>
      </c>
      <c r="O1537" t="s">
        <v>582</v>
      </c>
      <c r="P1537">
        <v>3716</v>
      </c>
    </row>
    <row r="1538" spans="1:17" x14ac:dyDescent="0.3">
      <c r="A1538" t="s">
        <v>10620</v>
      </c>
      <c r="B1538" t="s">
        <v>10621</v>
      </c>
      <c r="C1538" t="s">
        <v>10622</v>
      </c>
      <c r="D1538" t="s">
        <v>1817</v>
      </c>
      <c r="E1538" t="s">
        <v>1276</v>
      </c>
      <c r="F1538" t="s">
        <v>10623</v>
      </c>
      <c r="I1538" t="s">
        <v>10624</v>
      </c>
      <c r="J1538">
        <v>9162139572</v>
      </c>
      <c r="K1538" t="s">
        <v>10625</v>
      </c>
      <c r="L1538">
        <v>1234</v>
      </c>
      <c r="M1538" t="s">
        <v>645</v>
      </c>
      <c r="N1538" t="s">
        <v>398</v>
      </c>
      <c r="O1538" t="s">
        <v>685</v>
      </c>
      <c r="P1538">
        <v>3710</v>
      </c>
    </row>
    <row r="1539" spans="1:17" x14ac:dyDescent="0.3">
      <c r="A1539" t="s">
        <v>10626</v>
      </c>
      <c r="B1539" t="s">
        <v>476</v>
      </c>
      <c r="C1539" t="s">
        <v>7026</v>
      </c>
      <c r="D1539" t="s">
        <v>3095</v>
      </c>
      <c r="E1539" t="s">
        <v>3932</v>
      </c>
      <c r="F1539" t="s">
        <v>10627</v>
      </c>
      <c r="I1539" t="s">
        <v>10628</v>
      </c>
      <c r="J1539" t="s">
        <v>10629</v>
      </c>
      <c r="K1539" t="s">
        <v>10630</v>
      </c>
      <c r="L1539" t="s">
        <v>10631</v>
      </c>
      <c r="M1539" t="s">
        <v>645</v>
      </c>
      <c r="N1539" t="s">
        <v>398</v>
      </c>
      <c r="O1539" t="s">
        <v>2952</v>
      </c>
      <c r="P1539">
        <v>2168</v>
      </c>
    </row>
    <row r="1540" spans="1:17" x14ac:dyDescent="0.3">
      <c r="A1540" t="s">
        <v>10632</v>
      </c>
      <c r="B1540" t="s">
        <v>2039</v>
      </c>
      <c r="C1540" t="s">
        <v>10633</v>
      </c>
      <c r="D1540" t="s">
        <v>1983</v>
      </c>
      <c r="E1540" t="s">
        <v>10056</v>
      </c>
      <c r="F1540" t="s">
        <v>10634</v>
      </c>
      <c r="G1540">
        <v>0</v>
      </c>
      <c r="H1540">
        <v>0</v>
      </c>
      <c r="I1540" t="s">
        <v>10635</v>
      </c>
      <c r="J1540" t="s">
        <v>10636</v>
      </c>
      <c r="K1540" t="s">
        <v>10637</v>
      </c>
      <c r="L1540" t="s">
        <v>10638</v>
      </c>
      <c r="M1540" t="s">
        <v>645</v>
      </c>
      <c r="N1540" t="s">
        <v>336</v>
      </c>
      <c r="O1540" t="s">
        <v>441</v>
      </c>
      <c r="P1540">
        <v>3713</v>
      </c>
    </row>
    <row r="1541" spans="1:17" x14ac:dyDescent="0.3">
      <c r="A1541" t="s">
        <v>10639</v>
      </c>
      <c r="B1541" t="s">
        <v>8682</v>
      </c>
      <c r="C1541" t="s">
        <v>10640</v>
      </c>
      <c r="D1541" t="s">
        <v>384</v>
      </c>
      <c r="E1541" t="s">
        <v>3153</v>
      </c>
      <c r="F1541" t="s">
        <v>10641</v>
      </c>
      <c r="G1541">
        <v>15.1750124221136</v>
      </c>
      <c r="H1541">
        <v>120.52703619003201</v>
      </c>
      <c r="I1541" t="s">
        <v>10642</v>
      </c>
      <c r="J1541">
        <v>9277372986</v>
      </c>
      <c r="K1541" t="s">
        <v>10643</v>
      </c>
      <c r="L1541">
        <v>1234</v>
      </c>
      <c r="M1541" t="s">
        <v>645</v>
      </c>
      <c r="N1541" t="s">
        <v>398</v>
      </c>
      <c r="O1541" t="s">
        <v>853</v>
      </c>
      <c r="P1541">
        <v>3671</v>
      </c>
    </row>
    <row r="1542" spans="1:17" x14ac:dyDescent="0.3">
      <c r="A1542" t="s">
        <v>10644</v>
      </c>
      <c r="B1542" t="s">
        <v>10645</v>
      </c>
      <c r="C1542" t="s">
        <v>4079</v>
      </c>
      <c r="D1542" t="s">
        <v>326</v>
      </c>
      <c r="E1542" t="s">
        <v>3723</v>
      </c>
      <c r="F1542" t="s">
        <v>10646</v>
      </c>
      <c r="G1542">
        <v>15.1714710749212</v>
      </c>
      <c r="H1542">
        <v>-239.47077512741001</v>
      </c>
      <c r="I1542" t="s">
        <v>10647</v>
      </c>
      <c r="J1542">
        <v>9176593366</v>
      </c>
      <c r="K1542" t="s">
        <v>10648</v>
      </c>
      <c r="L1542" t="s">
        <v>10649</v>
      </c>
      <c r="M1542" t="s">
        <v>645</v>
      </c>
      <c r="N1542" t="s">
        <v>369</v>
      </c>
      <c r="O1542" t="s">
        <v>10650</v>
      </c>
      <c r="P1542">
        <v>3733</v>
      </c>
      <c r="Q1542" t="s">
        <v>10651</v>
      </c>
    </row>
    <row r="1543" spans="1:17" x14ac:dyDescent="0.3">
      <c r="A1543" t="s">
        <v>10652</v>
      </c>
      <c r="B1543" t="s">
        <v>585</v>
      </c>
      <c r="C1543" t="s">
        <v>10653</v>
      </c>
      <c r="D1543" t="s">
        <v>1435</v>
      </c>
      <c r="E1543" t="s">
        <v>1276</v>
      </c>
      <c r="F1543" t="s">
        <v>10654</v>
      </c>
      <c r="G1543">
        <v>0</v>
      </c>
      <c r="H1543">
        <v>0</v>
      </c>
      <c r="I1543" t="s">
        <v>10655</v>
      </c>
      <c r="J1543" t="s">
        <v>10656</v>
      </c>
      <c r="K1543" t="s">
        <v>10657</v>
      </c>
      <c r="L1543">
        <v>1234</v>
      </c>
      <c r="M1543" t="s">
        <v>645</v>
      </c>
      <c r="N1543" t="s">
        <v>398</v>
      </c>
      <c r="O1543" t="s">
        <v>1104</v>
      </c>
      <c r="P1543">
        <v>3729</v>
      </c>
    </row>
    <row r="1544" spans="1:17" x14ac:dyDescent="0.3">
      <c r="A1544" t="s">
        <v>10658</v>
      </c>
      <c r="B1544" t="s">
        <v>10659</v>
      </c>
      <c r="C1544" t="s">
        <v>10660</v>
      </c>
      <c r="D1544" t="s">
        <v>539</v>
      </c>
      <c r="E1544" t="s">
        <v>975</v>
      </c>
      <c r="F1544" t="s">
        <v>10661</v>
      </c>
      <c r="I1544" t="s">
        <v>10662</v>
      </c>
      <c r="K1544" t="s">
        <v>10663</v>
      </c>
      <c r="L1544" t="s">
        <v>10664</v>
      </c>
      <c r="M1544" t="s">
        <v>645</v>
      </c>
      <c r="N1544" t="s">
        <v>398</v>
      </c>
      <c r="O1544" t="s">
        <v>399</v>
      </c>
      <c r="P1544">
        <v>3699</v>
      </c>
    </row>
    <row r="1545" spans="1:17" x14ac:dyDescent="0.3">
      <c r="A1545" t="s">
        <v>10665</v>
      </c>
      <c r="B1545" t="s">
        <v>10666</v>
      </c>
      <c r="C1545" t="s">
        <v>6667</v>
      </c>
      <c r="D1545" t="s">
        <v>10667</v>
      </c>
      <c r="E1545" t="s">
        <v>10668</v>
      </c>
      <c r="F1545" t="s">
        <v>10669</v>
      </c>
      <c r="G1545">
        <v>15.179971999999999</v>
      </c>
      <c r="H1545">
        <v>120.525142</v>
      </c>
      <c r="I1545" t="s">
        <v>10670</v>
      </c>
      <c r="J1545">
        <v>9088216610</v>
      </c>
      <c r="K1545" t="s">
        <v>10671</v>
      </c>
      <c r="L1545">
        <v>1234</v>
      </c>
      <c r="M1545" t="s">
        <v>645</v>
      </c>
      <c r="N1545" t="s">
        <v>369</v>
      </c>
      <c r="O1545" t="s">
        <v>2181</v>
      </c>
      <c r="P1545">
        <v>3731</v>
      </c>
    </row>
    <row r="1546" spans="1:17" x14ac:dyDescent="0.3">
      <c r="A1546" t="s">
        <v>10672</v>
      </c>
      <c r="B1546" t="s">
        <v>10673</v>
      </c>
      <c r="C1546" t="s">
        <v>10674</v>
      </c>
      <c r="D1546" t="s">
        <v>10675</v>
      </c>
      <c r="E1546" t="s">
        <v>10056</v>
      </c>
      <c r="F1546" t="s">
        <v>10676</v>
      </c>
      <c r="G1546">
        <v>15.1805417753271</v>
      </c>
      <c r="H1546">
        <v>120.54666996002101</v>
      </c>
      <c r="I1546" t="s">
        <v>10677</v>
      </c>
      <c r="J1546">
        <v>9065819601</v>
      </c>
      <c r="K1546" t="s">
        <v>10678</v>
      </c>
      <c r="L1546">
        <v>1234</v>
      </c>
      <c r="M1546" t="s">
        <v>645</v>
      </c>
      <c r="N1546" t="s">
        <v>871</v>
      </c>
      <c r="O1546" t="s">
        <v>10679</v>
      </c>
      <c r="P1546">
        <v>3730</v>
      </c>
    </row>
    <row r="1547" spans="1:17" x14ac:dyDescent="0.3">
      <c r="A1547" t="s">
        <v>10680</v>
      </c>
      <c r="B1547" t="s">
        <v>10681</v>
      </c>
      <c r="C1547" t="s">
        <v>7328</v>
      </c>
      <c r="D1547" t="s">
        <v>539</v>
      </c>
      <c r="E1547" t="s">
        <v>2253</v>
      </c>
      <c r="F1547" t="s">
        <v>10682</v>
      </c>
      <c r="G1547">
        <v>0</v>
      </c>
      <c r="H1547">
        <v>0</v>
      </c>
      <c r="I1547" t="s">
        <v>10683</v>
      </c>
      <c r="J1547">
        <v>9976794619</v>
      </c>
      <c r="K1547" t="s">
        <v>10684</v>
      </c>
      <c r="L1547">
        <v>1234</v>
      </c>
      <c r="M1547" t="s">
        <v>645</v>
      </c>
      <c r="N1547" t="s">
        <v>336</v>
      </c>
      <c r="O1547" t="s">
        <v>441</v>
      </c>
      <c r="P1547">
        <v>3688</v>
      </c>
    </row>
    <row r="1548" spans="1:17" x14ac:dyDescent="0.3">
      <c r="A1548" t="s">
        <v>10685</v>
      </c>
      <c r="B1548" t="s">
        <v>3290</v>
      </c>
      <c r="C1548" t="s">
        <v>3291</v>
      </c>
      <c r="E1548" t="s">
        <v>3723</v>
      </c>
      <c r="F1548" t="s">
        <v>10686</v>
      </c>
      <c r="I1548" t="s">
        <v>10687</v>
      </c>
      <c r="J1548">
        <v>9324760772</v>
      </c>
      <c r="K1548" t="s">
        <v>10688</v>
      </c>
      <c r="L1548">
        <v>1234</v>
      </c>
      <c r="M1548" t="s">
        <v>645</v>
      </c>
      <c r="N1548" t="s">
        <v>369</v>
      </c>
      <c r="P1548">
        <v>3736</v>
      </c>
    </row>
    <row r="1549" spans="1:17" x14ac:dyDescent="0.3">
      <c r="A1549" t="s">
        <v>10689</v>
      </c>
      <c r="B1549" t="s">
        <v>1180</v>
      </c>
      <c r="C1549" t="s">
        <v>9582</v>
      </c>
      <c r="D1549" t="s">
        <v>10690</v>
      </c>
      <c r="E1549" t="s">
        <v>10691</v>
      </c>
      <c r="F1549" t="s">
        <v>10692</v>
      </c>
      <c r="I1549" t="s">
        <v>10693</v>
      </c>
      <c r="J1549">
        <v>9171928648</v>
      </c>
      <c r="K1549" t="s">
        <v>10694</v>
      </c>
      <c r="L1549">
        <v>1234</v>
      </c>
      <c r="M1549" t="s">
        <v>645</v>
      </c>
      <c r="N1549" t="s">
        <v>398</v>
      </c>
      <c r="O1549" t="s">
        <v>853</v>
      </c>
      <c r="P1549">
        <v>3700</v>
      </c>
    </row>
    <row r="1550" spans="1:17" x14ac:dyDescent="0.3">
      <c r="A1550" t="s">
        <v>10695</v>
      </c>
      <c r="B1550" t="s">
        <v>1180</v>
      </c>
      <c r="C1550" t="s">
        <v>9582</v>
      </c>
      <c r="D1550" t="s">
        <v>10690</v>
      </c>
      <c r="E1550" t="s">
        <v>10691</v>
      </c>
      <c r="F1550" t="s">
        <v>10696</v>
      </c>
      <c r="G1550">
        <v>0</v>
      </c>
      <c r="H1550">
        <v>0</v>
      </c>
      <c r="I1550" t="s">
        <v>10693</v>
      </c>
      <c r="J1550">
        <v>9171928648</v>
      </c>
      <c r="K1550" t="s">
        <v>10697</v>
      </c>
      <c r="L1550">
        <v>1234</v>
      </c>
      <c r="M1550" t="s">
        <v>645</v>
      </c>
      <c r="N1550" t="s">
        <v>398</v>
      </c>
      <c r="O1550" t="s">
        <v>853</v>
      </c>
      <c r="P1550">
        <v>3691</v>
      </c>
    </row>
    <row r="1551" spans="1:17" x14ac:dyDescent="0.3">
      <c r="A1551" t="s">
        <v>10698</v>
      </c>
      <c r="B1551" t="s">
        <v>10699</v>
      </c>
      <c r="C1551" t="s">
        <v>10700</v>
      </c>
      <c r="D1551" t="s">
        <v>10701</v>
      </c>
      <c r="E1551" t="s">
        <v>135</v>
      </c>
      <c r="F1551" t="s">
        <v>10702</v>
      </c>
      <c r="G1551">
        <v>0</v>
      </c>
      <c r="H1551">
        <v>0</v>
      </c>
      <c r="I1551" t="s">
        <v>10703</v>
      </c>
      <c r="J1551" t="s">
        <v>10704</v>
      </c>
      <c r="K1551" t="s">
        <v>10705</v>
      </c>
      <c r="L1551">
        <v>1234</v>
      </c>
      <c r="M1551" t="s">
        <v>645</v>
      </c>
      <c r="N1551" t="s">
        <v>16</v>
      </c>
      <c r="O1551" t="s">
        <v>10706</v>
      </c>
      <c r="P1551">
        <v>1343</v>
      </c>
    </row>
    <row r="1552" spans="1:17" x14ac:dyDescent="0.3">
      <c r="A1552" t="s">
        <v>10707</v>
      </c>
      <c r="B1552" t="s">
        <v>1519</v>
      </c>
      <c r="C1552" t="s">
        <v>10708</v>
      </c>
      <c r="D1552" t="s">
        <v>1290</v>
      </c>
      <c r="E1552" t="s">
        <v>10709</v>
      </c>
      <c r="F1552" t="s">
        <v>10710</v>
      </c>
      <c r="I1552" t="s">
        <v>10711</v>
      </c>
      <c r="J1552" t="s">
        <v>10712</v>
      </c>
      <c r="K1552" t="s">
        <v>10713</v>
      </c>
      <c r="L1552">
        <v>1234</v>
      </c>
      <c r="M1552" t="s">
        <v>645</v>
      </c>
      <c r="N1552" t="s">
        <v>336</v>
      </c>
      <c r="O1552" t="s">
        <v>515</v>
      </c>
      <c r="P1552">
        <v>2927</v>
      </c>
    </row>
    <row r="1553" spans="1:17" x14ac:dyDescent="0.3">
      <c r="A1553" t="s">
        <v>10714</v>
      </c>
      <c r="B1553" t="s">
        <v>10715</v>
      </c>
      <c r="C1553" t="s">
        <v>1554</v>
      </c>
      <c r="D1553" t="s">
        <v>914</v>
      </c>
      <c r="E1553" t="s">
        <v>7329</v>
      </c>
      <c r="F1553" t="s">
        <v>10716</v>
      </c>
      <c r="G1553">
        <v>15.197242856151901</v>
      </c>
      <c r="H1553">
        <v>120.51990687847101</v>
      </c>
      <c r="I1553" t="s">
        <v>10717</v>
      </c>
      <c r="J1553">
        <v>9058732672</v>
      </c>
      <c r="K1553" t="s">
        <v>10718</v>
      </c>
      <c r="L1553">
        <v>1234</v>
      </c>
      <c r="M1553" t="s">
        <v>645</v>
      </c>
      <c r="N1553" t="s">
        <v>710</v>
      </c>
      <c r="O1553" t="s">
        <v>1932</v>
      </c>
      <c r="P1553">
        <v>3740</v>
      </c>
      <c r="Q1553" t="s">
        <v>10719</v>
      </c>
    </row>
    <row r="1554" spans="1:17" x14ac:dyDescent="0.3">
      <c r="A1554" t="s">
        <v>10720</v>
      </c>
      <c r="B1554" t="s">
        <v>10721</v>
      </c>
      <c r="C1554" t="s">
        <v>10722</v>
      </c>
      <c r="D1554" t="s">
        <v>10723</v>
      </c>
      <c r="E1554" t="s">
        <v>2550</v>
      </c>
      <c r="F1554" t="s">
        <v>10724</v>
      </c>
      <c r="G1554">
        <v>5</v>
      </c>
      <c r="H1554">
        <v>8</v>
      </c>
      <c r="I1554" t="s">
        <v>10725</v>
      </c>
      <c r="J1554">
        <v>9270424775</v>
      </c>
      <c r="K1554" t="s">
        <v>10726</v>
      </c>
      <c r="L1554">
        <v>1234</v>
      </c>
      <c r="M1554" t="s">
        <v>645</v>
      </c>
      <c r="N1554" t="s">
        <v>336</v>
      </c>
      <c r="O1554" t="s">
        <v>515</v>
      </c>
      <c r="P1554">
        <v>3693</v>
      </c>
    </row>
    <row r="1555" spans="1:17" x14ac:dyDescent="0.3">
      <c r="A1555" t="s">
        <v>10727</v>
      </c>
      <c r="B1555" t="s">
        <v>10728</v>
      </c>
      <c r="C1555" t="s">
        <v>10729</v>
      </c>
      <c r="D1555" t="s">
        <v>2682</v>
      </c>
      <c r="E1555" t="s">
        <v>329</v>
      </c>
      <c r="F1555" t="s">
        <v>10730</v>
      </c>
      <c r="G1555">
        <v>15.1675630707596</v>
      </c>
      <c r="H1555">
        <v>120.571281930769</v>
      </c>
      <c r="I1555" t="s">
        <v>10731</v>
      </c>
      <c r="J1555">
        <v>9760556560</v>
      </c>
      <c r="K1555" t="s">
        <v>10732</v>
      </c>
      <c r="L1555">
        <v>1234</v>
      </c>
      <c r="M1555" t="s">
        <v>645</v>
      </c>
      <c r="N1555" t="s">
        <v>336</v>
      </c>
      <c r="O1555" t="s">
        <v>515</v>
      </c>
      <c r="P1555">
        <v>3734</v>
      </c>
    </row>
    <row r="1556" spans="1:17" x14ac:dyDescent="0.3">
      <c r="A1556" t="s">
        <v>10733</v>
      </c>
      <c r="B1556" t="s">
        <v>4331</v>
      </c>
      <c r="C1556" t="s">
        <v>4332</v>
      </c>
      <c r="D1556" t="s">
        <v>4333</v>
      </c>
      <c r="E1556" t="s">
        <v>1110</v>
      </c>
      <c r="F1556" t="s">
        <v>10734</v>
      </c>
      <c r="G1556">
        <v>0</v>
      </c>
      <c r="H1556">
        <v>0</v>
      </c>
      <c r="I1556" t="s">
        <v>10735</v>
      </c>
      <c r="J1556" t="s">
        <v>10736</v>
      </c>
      <c r="K1556" t="s">
        <v>10737</v>
      </c>
      <c r="L1556" t="s">
        <v>10738</v>
      </c>
      <c r="M1556" t="s">
        <v>645</v>
      </c>
      <c r="N1556" t="s">
        <v>369</v>
      </c>
      <c r="O1556" t="s">
        <v>370</v>
      </c>
      <c r="P1556">
        <v>3748</v>
      </c>
    </row>
    <row r="1557" spans="1:17" x14ac:dyDescent="0.3">
      <c r="A1557" t="s">
        <v>10739</v>
      </c>
      <c r="B1557" t="s">
        <v>1059</v>
      </c>
      <c r="C1557" t="s">
        <v>10740</v>
      </c>
      <c r="D1557" t="s">
        <v>10741</v>
      </c>
      <c r="E1557" t="s">
        <v>10742</v>
      </c>
      <c r="F1557" t="s">
        <v>10743</v>
      </c>
      <c r="G1557">
        <v>15.177702</v>
      </c>
      <c r="H1557">
        <v>120.527762</v>
      </c>
      <c r="I1557" t="s">
        <v>10744</v>
      </c>
      <c r="J1557" t="s">
        <v>10745</v>
      </c>
      <c r="K1557" t="s">
        <v>10746</v>
      </c>
      <c r="L1557" t="s">
        <v>10747</v>
      </c>
      <c r="M1557" t="s">
        <v>645</v>
      </c>
      <c r="N1557" t="s">
        <v>10748</v>
      </c>
      <c r="O1557" t="s">
        <v>515</v>
      </c>
      <c r="P1557">
        <v>3750</v>
      </c>
      <c r="Q1557" t="s">
        <v>10749</v>
      </c>
    </row>
    <row r="1558" spans="1:17" x14ac:dyDescent="0.3">
      <c r="A1558" t="s">
        <v>10750</v>
      </c>
      <c r="B1558" t="s">
        <v>2858</v>
      </c>
      <c r="C1558" t="s">
        <v>8776</v>
      </c>
      <c r="D1558" t="s">
        <v>10751</v>
      </c>
      <c r="E1558" t="s">
        <v>1110</v>
      </c>
      <c r="F1558" t="s">
        <v>10752</v>
      </c>
      <c r="G1558">
        <v>0</v>
      </c>
      <c r="H1558">
        <v>0</v>
      </c>
      <c r="I1558" t="s">
        <v>10753</v>
      </c>
      <c r="J1558">
        <v>9175096671</v>
      </c>
      <c r="K1558" t="s">
        <v>10754</v>
      </c>
      <c r="L1558">
        <v>1234</v>
      </c>
      <c r="M1558" t="s">
        <v>645</v>
      </c>
      <c r="N1558" t="s">
        <v>398</v>
      </c>
      <c r="O1558" t="s">
        <v>853</v>
      </c>
      <c r="P1558">
        <v>3686</v>
      </c>
    </row>
    <row r="1559" spans="1:17" x14ac:dyDescent="0.3">
      <c r="A1559" t="s">
        <v>10755</v>
      </c>
      <c r="B1559" t="s">
        <v>10756</v>
      </c>
      <c r="C1559" t="s">
        <v>10757</v>
      </c>
      <c r="D1559" t="s">
        <v>1909</v>
      </c>
      <c r="E1559" t="s">
        <v>10758</v>
      </c>
      <c r="F1559" t="s">
        <v>10759</v>
      </c>
      <c r="G1559">
        <v>0</v>
      </c>
      <c r="H1559">
        <v>0</v>
      </c>
      <c r="I1559" t="s">
        <v>10760</v>
      </c>
      <c r="J1559">
        <v>9614693155</v>
      </c>
      <c r="K1559" t="s">
        <v>10761</v>
      </c>
      <c r="L1559">
        <v>1234</v>
      </c>
      <c r="M1559" t="s">
        <v>645</v>
      </c>
      <c r="N1559" t="s">
        <v>369</v>
      </c>
      <c r="O1559" t="s">
        <v>8531</v>
      </c>
      <c r="P1559">
        <v>3655</v>
      </c>
      <c r="Q1559" t="s">
        <v>10762</v>
      </c>
    </row>
    <row r="1560" spans="1:17" x14ac:dyDescent="0.3">
      <c r="A1560" t="s">
        <v>10763</v>
      </c>
      <c r="B1560" t="s">
        <v>10764</v>
      </c>
      <c r="C1560" t="s">
        <v>10765</v>
      </c>
      <c r="D1560" t="s">
        <v>10766</v>
      </c>
      <c r="E1560" t="s">
        <v>1110</v>
      </c>
      <c r="F1560" t="s">
        <v>10767</v>
      </c>
      <c r="G1560">
        <v>0</v>
      </c>
      <c r="H1560">
        <v>0</v>
      </c>
      <c r="I1560" t="s">
        <v>10768</v>
      </c>
      <c r="J1560" t="s">
        <v>10769</v>
      </c>
      <c r="K1560" t="s">
        <v>10770</v>
      </c>
      <c r="L1560">
        <v>7272020</v>
      </c>
      <c r="M1560" t="s">
        <v>645</v>
      </c>
      <c r="N1560" t="s">
        <v>336</v>
      </c>
      <c r="O1560" t="s">
        <v>515</v>
      </c>
      <c r="P1560">
        <v>3746</v>
      </c>
    </row>
    <row r="1561" spans="1:17" x14ac:dyDescent="0.3">
      <c r="A1561" t="s">
        <v>10771</v>
      </c>
      <c r="B1561" t="s">
        <v>10772</v>
      </c>
      <c r="C1561" t="s">
        <v>10773</v>
      </c>
      <c r="D1561" t="s">
        <v>10774</v>
      </c>
      <c r="E1561" t="s">
        <v>6015</v>
      </c>
      <c r="F1561" t="s">
        <v>10775</v>
      </c>
      <c r="G1561">
        <v>-1.87056837569611E-3</v>
      </c>
      <c r="H1561">
        <v>-2.0094303181394901E-5</v>
      </c>
      <c r="I1561" t="s">
        <v>10776</v>
      </c>
      <c r="J1561">
        <v>9662011201</v>
      </c>
      <c r="K1561" t="s">
        <v>10777</v>
      </c>
      <c r="L1561" t="s">
        <v>10778</v>
      </c>
      <c r="M1561" t="s">
        <v>645</v>
      </c>
      <c r="N1561" t="s">
        <v>336</v>
      </c>
      <c r="O1561" t="s">
        <v>441</v>
      </c>
      <c r="P1561">
        <v>3678</v>
      </c>
    </row>
    <row r="1562" spans="1:17" x14ac:dyDescent="0.3">
      <c r="A1562" t="s">
        <v>10779</v>
      </c>
      <c r="B1562" t="s">
        <v>10780</v>
      </c>
      <c r="C1562" t="s">
        <v>10781</v>
      </c>
      <c r="D1562" t="s">
        <v>1555</v>
      </c>
      <c r="E1562" t="s">
        <v>1276</v>
      </c>
      <c r="F1562" t="s">
        <v>10782</v>
      </c>
      <c r="G1562">
        <v>0</v>
      </c>
      <c r="H1562">
        <v>0</v>
      </c>
      <c r="I1562" t="s">
        <v>10783</v>
      </c>
      <c r="J1562">
        <v>9190914934</v>
      </c>
      <c r="K1562" t="s">
        <v>10784</v>
      </c>
      <c r="L1562">
        <v>1234</v>
      </c>
      <c r="M1562" t="s">
        <v>645</v>
      </c>
      <c r="N1562" t="s">
        <v>10785</v>
      </c>
      <c r="O1562" t="s">
        <v>685</v>
      </c>
      <c r="P1562">
        <v>3760</v>
      </c>
    </row>
    <row r="1563" spans="1:17" x14ac:dyDescent="0.3">
      <c r="A1563" t="s">
        <v>10786</v>
      </c>
      <c r="B1563" t="s">
        <v>8495</v>
      </c>
      <c r="C1563" t="s">
        <v>10787</v>
      </c>
      <c r="D1563" t="s">
        <v>5597</v>
      </c>
      <c r="E1563" t="s">
        <v>1470</v>
      </c>
      <c r="F1563" t="s">
        <v>10788</v>
      </c>
      <c r="G1563">
        <v>14.881087159090599</v>
      </c>
      <c r="H1563">
        <v>120.43212890625</v>
      </c>
      <c r="I1563" t="s">
        <v>10789</v>
      </c>
      <c r="J1563" t="s">
        <v>10790</v>
      </c>
      <c r="K1563" t="s">
        <v>10791</v>
      </c>
      <c r="L1563">
        <v>1234</v>
      </c>
      <c r="M1563" t="s">
        <v>645</v>
      </c>
      <c r="N1563" t="s">
        <v>398</v>
      </c>
      <c r="O1563" t="s">
        <v>582</v>
      </c>
      <c r="P1563">
        <v>3703</v>
      </c>
    </row>
    <row r="1564" spans="1:17" x14ac:dyDescent="0.3">
      <c r="A1564" t="s">
        <v>10792</v>
      </c>
      <c r="B1564" t="s">
        <v>10793</v>
      </c>
      <c r="C1564" t="s">
        <v>10794</v>
      </c>
      <c r="D1564" t="s">
        <v>7092</v>
      </c>
      <c r="E1564" t="s">
        <v>597</v>
      </c>
      <c r="F1564" t="s">
        <v>10795</v>
      </c>
      <c r="G1564">
        <v>0</v>
      </c>
      <c r="H1564">
        <v>0</v>
      </c>
      <c r="I1564" t="s">
        <v>10796</v>
      </c>
      <c r="J1564">
        <v>9688517383</v>
      </c>
      <c r="K1564" t="s">
        <v>10797</v>
      </c>
      <c r="L1564">
        <v>1234</v>
      </c>
      <c r="M1564" t="s">
        <v>645</v>
      </c>
      <c r="N1564" t="s">
        <v>336</v>
      </c>
      <c r="O1564" t="s">
        <v>441</v>
      </c>
      <c r="P1564">
        <v>3756</v>
      </c>
    </row>
    <row r="1565" spans="1:17" x14ac:dyDescent="0.3">
      <c r="A1565" t="s">
        <v>10798</v>
      </c>
      <c r="B1565" t="s">
        <v>326</v>
      </c>
      <c r="C1565" t="s">
        <v>6848</v>
      </c>
      <c r="D1565" t="s">
        <v>903</v>
      </c>
      <c r="E1565" t="s">
        <v>10799</v>
      </c>
      <c r="F1565" t="s">
        <v>10800</v>
      </c>
      <c r="G1565">
        <v>0</v>
      </c>
      <c r="H1565">
        <v>0</v>
      </c>
      <c r="I1565" t="s">
        <v>10801</v>
      </c>
      <c r="J1565">
        <v>9998871474</v>
      </c>
      <c r="K1565" t="s">
        <v>10802</v>
      </c>
      <c r="L1565">
        <v>1234</v>
      </c>
      <c r="M1565" t="s">
        <v>645</v>
      </c>
      <c r="N1565" t="s">
        <v>336</v>
      </c>
      <c r="O1565" t="s">
        <v>441</v>
      </c>
      <c r="P1565">
        <v>3749</v>
      </c>
    </row>
    <row r="1566" spans="1:17" x14ac:dyDescent="0.3">
      <c r="A1566" t="s">
        <v>10803</v>
      </c>
      <c r="B1566" t="s">
        <v>10804</v>
      </c>
      <c r="C1566" t="s">
        <v>10805</v>
      </c>
      <c r="D1566" t="s">
        <v>7132</v>
      </c>
      <c r="E1566" t="s">
        <v>3153</v>
      </c>
      <c r="F1566" t="s">
        <v>10806</v>
      </c>
      <c r="G1566">
        <v>0</v>
      </c>
      <c r="H1566">
        <v>0</v>
      </c>
      <c r="I1566" t="s">
        <v>10807</v>
      </c>
      <c r="J1566">
        <v>9177986857</v>
      </c>
      <c r="K1566" t="s">
        <v>10808</v>
      </c>
      <c r="L1566">
        <v>1234</v>
      </c>
      <c r="M1566" t="s">
        <v>645</v>
      </c>
      <c r="N1566" t="s">
        <v>336</v>
      </c>
      <c r="O1566" t="s">
        <v>515</v>
      </c>
      <c r="P1566">
        <v>3709</v>
      </c>
    </row>
    <row r="1567" spans="1:17" x14ac:dyDescent="0.3">
      <c r="A1567" t="s">
        <v>10809</v>
      </c>
      <c r="B1567" t="s">
        <v>124</v>
      </c>
      <c r="C1567" t="s">
        <v>10810</v>
      </c>
      <c r="D1567" t="s">
        <v>539</v>
      </c>
      <c r="E1567" t="s">
        <v>10811</v>
      </c>
      <c r="F1567" t="s">
        <v>10812</v>
      </c>
      <c r="I1567" t="s">
        <v>10813</v>
      </c>
      <c r="J1567">
        <v>9175147259</v>
      </c>
      <c r="K1567" t="s">
        <v>10814</v>
      </c>
      <c r="L1567">
        <v>1234</v>
      </c>
      <c r="M1567" t="s">
        <v>645</v>
      </c>
      <c r="N1567" t="s">
        <v>369</v>
      </c>
      <c r="O1567" t="s">
        <v>370</v>
      </c>
      <c r="P1567">
        <v>3630</v>
      </c>
    </row>
    <row r="1568" spans="1:17" x14ac:dyDescent="0.3">
      <c r="A1568" t="s">
        <v>10815</v>
      </c>
      <c r="B1568" t="s">
        <v>7167</v>
      </c>
      <c r="C1568" t="s">
        <v>10816</v>
      </c>
      <c r="D1568" t="s">
        <v>10817</v>
      </c>
      <c r="E1568" t="s">
        <v>793</v>
      </c>
      <c r="F1568" t="s">
        <v>10818</v>
      </c>
      <c r="G1568">
        <v>0</v>
      </c>
      <c r="H1568">
        <v>0</v>
      </c>
      <c r="I1568" t="s">
        <v>10819</v>
      </c>
      <c r="J1568">
        <v>9355090802</v>
      </c>
      <c r="K1568" t="s">
        <v>10820</v>
      </c>
      <c r="L1568">
        <v>1234</v>
      </c>
      <c r="M1568" t="s">
        <v>645</v>
      </c>
      <c r="N1568" t="s">
        <v>398</v>
      </c>
      <c r="O1568" t="s">
        <v>582</v>
      </c>
      <c r="P1568">
        <v>3726</v>
      </c>
    </row>
    <row r="1569" spans="1:17" x14ac:dyDescent="0.3">
      <c r="A1569" t="s">
        <v>10821</v>
      </c>
      <c r="B1569" t="s">
        <v>9080</v>
      </c>
      <c r="C1569" t="s">
        <v>10822</v>
      </c>
      <c r="D1569" t="s">
        <v>10823</v>
      </c>
      <c r="E1569" t="s">
        <v>1276</v>
      </c>
      <c r="F1569" t="s">
        <v>10824</v>
      </c>
      <c r="I1569" t="s">
        <v>10825</v>
      </c>
      <c r="J1569">
        <v>9190963318</v>
      </c>
      <c r="K1569" t="s">
        <v>10826</v>
      </c>
      <c r="L1569">
        <v>1234</v>
      </c>
      <c r="M1569" t="s">
        <v>645</v>
      </c>
      <c r="N1569" t="s">
        <v>398</v>
      </c>
      <c r="O1569" t="s">
        <v>853</v>
      </c>
      <c r="P1569">
        <v>3751</v>
      </c>
    </row>
    <row r="1570" spans="1:17" x14ac:dyDescent="0.3">
      <c r="A1570" t="s">
        <v>10827</v>
      </c>
      <c r="B1570" t="s">
        <v>10828</v>
      </c>
      <c r="C1570" t="s">
        <v>10829</v>
      </c>
      <c r="D1570" t="s">
        <v>10830</v>
      </c>
      <c r="E1570" t="s">
        <v>286</v>
      </c>
      <c r="F1570" t="s">
        <v>10831</v>
      </c>
      <c r="G1570">
        <v>15.1738475118257</v>
      </c>
      <c r="H1570">
        <v>120.52906930446601</v>
      </c>
      <c r="I1570" t="s">
        <v>10832</v>
      </c>
      <c r="J1570">
        <v>9311546566</v>
      </c>
      <c r="K1570" t="s">
        <v>10833</v>
      </c>
      <c r="L1570">
        <v>1234</v>
      </c>
      <c r="M1570" t="s">
        <v>645</v>
      </c>
      <c r="N1570" t="s">
        <v>369</v>
      </c>
      <c r="O1570" t="s">
        <v>370</v>
      </c>
      <c r="P1570">
        <v>2687</v>
      </c>
    </row>
    <row r="1571" spans="1:17" x14ac:dyDescent="0.3">
      <c r="A1571" t="s">
        <v>10834</v>
      </c>
      <c r="B1571" t="s">
        <v>10835</v>
      </c>
      <c r="C1571" t="s">
        <v>10836</v>
      </c>
      <c r="D1571" t="s">
        <v>756</v>
      </c>
      <c r="E1571" t="s">
        <v>10837</v>
      </c>
      <c r="F1571" t="s">
        <v>10838</v>
      </c>
      <c r="G1571">
        <v>15.167826117583401</v>
      </c>
      <c r="H1571">
        <v>120.589542388916</v>
      </c>
      <c r="I1571" t="s">
        <v>10839</v>
      </c>
      <c r="J1571">
        <v>9178572474</v>
      </c>
      <c r="K1571" t="s">
        <v>10840</v>
      </c>
      <c r="L1571">
        <v>1234</v>
      </c>
      <c r="M1571" t="s">
        <v>645</v>
      </c>
      <c r="N1571" t="s">
        <v>398</v>
      </c>
      <c r="O1571" t="s">
        <v>582</v>
      </c>
      <c r="P1571">
        <v>3705</v>
      </c>
    </row>
    <row r="1572" spans="1:17" x14ac:dyDescent="0.3">
      <c r="A1572" t="s">
        <v>10841</v>
      </c>
      <c r="B1572" t="s">
        <v>10842</v>
      </c>
      <c r="C1572" t="s">
        <v>10843</v>
      </c>
      <c r="D1572" t="s">
        <v>5333</v>
      </c>
      <c r="E1572" t="s">
        <v>3723</v>
      </c>
      <c r="F1572" t="s">
        <v>10844</v>
      </c>
      <c r="G1572">
        <v>15.1826835</v>
      </c>
      <c r="H1572">
        <v>120.5244888</v>
      </c>
      <c r="I1572" t="s">
        <v>10845</v>
      </c>
      <c r="J1572">
        <v>9923659796</v>
      </c>
      <c r="K1572" t="s">
        <v>10846</v>
      </c>
      <c r="L1572">
        <v>1234</v>
      </c>
      <c r="M1572" t="s">
        <v>645</v>
      </c>
      <c r="N1572" t="s">
        <v>398</v>
      </c>
      <c r="O1572" t="s">
        <v>582</v>
      </c>
      <c r="P1572">
        <v>3743</v>
      </c>
      <c r="Q1572" t="s">
        <v>10847</v>
      </c>
    </row>
    <row r="1573" spans="1:17" x14ac:dyDescent="0.3">
      <c r="A1573" t="s">
        <v>10848</v>
      </c>
      <c r="B1573" t="s">
        <v>10849</v>
      </c>
      <c r="C1573" t="s">
        <v>10850</v>
      </c>
      <c r="D1573" t="s">
        <v>10851</v>
      </c>
      <c r="E1573" t="s">
        <v>10852</v>
      </c>
      <c r="F1573" t="s">
        <v>10853</v>
      </c>
      <c r="I1573" t="s">
        <v>10854</v>
      </c>
      <c r="J1573">
        <v>9708062818</v>
      </c>
      <c r="K1573" t="s">
        <v>10855</v>
      </c>
      <c r="L1573">
        <v>1234</v>
      </c>
      <c r="M1573" t="s">
        <v>645</v>
      </c>
      <c r="N1573" t="s">
        <v>336</v>
      </c>
      <c r="O1573" t="s">
        <v>441</v>
      </c>
      <c r="P1573">
        <v>3682</v>
      </c>
    </row>
    <row r="1574" spans="1:17" x14ac:dyDescent="0.3">
      <c r="A1574" t="s">
        <v>10856</v>
      </c>
      <c r="B1574" t="s">
        <v>8111</v>
      </c>
      <c r="C1574" t="s">
        <v>10857</v>
      </c>
      <c r="D1574" t="s">
        <v>1976</v>
      </c>
      <c r="E1574" t="s">
        <v>10858</v>
      </c>
      <c r="F1574" t="s">
        <v>10859</v>
      </c>
      <c r="I1574" t="s">
        <v>10860</v>
      </c>
      <c r="K1574" t="s">
        <v>10861</v>
      </c>
      <c r="L1574">
        <v>1234</v>
      </c>
      <c r="M1574" t="s">
        <v>645</v>
      </c>
      <c r="N1574" t="s">
        <v>336</v>
      </c>
      <c r="O1574" t="s">
        <v>441</v>
      </c>
      <c r="P1574">
        <v>3762</v>
      </c>
    </row>
    <row r="1575" spans="1:17" x14ac:dyDescent="0.3">
      <c r="A1575" t="s">
        <v>10862</v>
      </c>
      <c r="B1575" t="s">
        <v>10863</v>
      </c>
      <c r="C1575" t="s">
        <v>10864</v>
      </c>
      <c r="D1575" t="s">
        <v>10865</v>
      </c>
      <c r="E1575" t="s">
        <v>4630</v>
      </c>
      <c r="F1575" t="s">
        <v>10866</v>
      </c>
      <c r="I1575" t="s">
        <v>10867</v>
      </c>
      <c r="J1575">
        <v>9673259662</v>
      </c>
      <c r="K1575" t="s">
        <v>10868</v>
      </c>
      <c r="L1575" t="s">
        <v>10869</v>
      </c>
      <c r="M1575" t="s">
        <v>645</v>
      </c>
      <c r="N1575" t="s">
        <v>336</v>
      </c>
      <c r="O1575" t="s">
        <v>515</v>
      </c>
      <c r="P1575">
        <v>3711</v>
      </c>
    </row>
    <row r="1576" spans="1:17" x14ac:dyDescent="0.3">
      <c r="A1576" t="s">
        <v>10870</v>
      </c>
      <c r="B1576" t="s">
        <v>7910</v>
      </c>
      <c r="C1576" t="s">
        <v>7911</v>
      </c>
      <c r="D1576" t="s">
        <v>3117</v>
      </c>
      <c r="E1576" t="s">
        <v>1985</v>
      </c>
      <c r="F1576" t="s">
        <v>10871</v>
      </c>
      <c r="G1576">
        <v>0</v>
      </c>
      <c r="H1576">
        <v>0</v>
      </c>
      <c r="I1576" t="s">
        <v>10872</v>
      </c>
      <c r="J1576">
        <v>9286233035</v>
      </c>
      <c r="K1576" t="s">
        <v>10873</v>
      </c>
      <c r="L1576">
        <v>1234</v>
      </c>
      <c r="M1576" t="s">
        <v>645</v>
      </c>
      <c r="N1576" t="s">
        <v>369</v>
      </c>
      <c r="O1576" t="s">
        <v>370</v>
      </c>
      <c r="P1576">
        <v>3777</v>
      </c>
      <c r="Q1576" t="s">
        <v>10874</v>
      </c>
    </row>
    <row r="1577" spans="1:17" x14ac:dyDescent="0.3">
      <c r="A1577" t="s">
        <v>10875</v>
      </c>
      <c r="B1577" t="s">
        <v>1907</v>
      </c>
      <c r="C1577" t="s">
        <v>10876</v>
      </c>
      <c r="D1577" t="s">
        <v>1907</v>
      </c>
      <c r="E1577" t="s">
        <v>342</v>
      </c>
      <c r="F1577" t="s">
        <v>10877</v>
      </c>
      <c r="I1577" t="s">
        <v>10878</v>
      </c>
      <c r="J1577">
        <v>9175625466</v>
      </c>
      <c r="K1577" t="s">
        <v>10879</v>
      </c>
      <c r="L1577">
        <v>1234</v>
      </c>
      <c r="M1577" t="s">
        <v>645</v>
      </c>
      <c r="N1577" t="s">
        <v>398</v>
      </c>
      <c r="O1577" t="s">
        <v>582</v>
      </c>
      <c r="P1577">
        <v>3684</v>
      </c>
    </row>
    <row r="1578" spans="1:17" x14ac:dyDescent="0.3">
      <c r="A1578" t="s">
        <v>10880</v>
      </c>
      <c r="B1578" t="s">
        <v>9733</v>
      </c>
      <c r="C1578" t="s">
        <v>6106</v>
      </c>
      <c r="D1578" t="s">
        <v>10881</v>
      </c>
      <c r="E1578" t="s">
        <v>10882</v>
      </c>
      <c r="F1578" t="s">
        <v>10883</v>
      </c>
      <c r="G1578">
        <v>15.166169298012001</v>
      </c>
      <c r="H1578">
        <v>120.580342411994</v>
      </c>
      <c r="I1578" t="s">
        <v>10884</v>
      </c>
      <c r="J1578">
        <v>9478908049</v>
      </c>
      <c r="K1578" t="s">
        <v>10885</v>
      </c>
      <c r="L1578">
        <v>1234</v>
      </c>
      <c r="M1578" t="s">
        <v>645</v>
      </c>
      <c r="N1578" t="s">
        <v>369</v>
      </c>
      <c r="O1578" t="s">
        <v>2181</v>
      </c>
      <c r="P1578">
        <v>3340</v>
      </c>
    </row>
    <row r="1579" spans="1:17" x14ac:dyDescent="0.3">
      <c r="A1579" t="s">
        <v>10886</v>
      </c>
      <c r="B1579" t="s">
        <v>1915</v>
      </c>
      <c r="C1579" t="s">
        <v>10887</v>
      </c>
      <c r="D1579" t="s">
        <v>1182</v>
      </c>
      <c r="E1579" t="s">
        <v>10888</v>
      </c>
      <c r="F1579" t="s">
        <v>10889</v>
      </c>
      <c r="G1579">
        <v>15.1837309244564</v>
      </c>
      <c r="H1579">
        <v>120.556755065917</v>
      </c>
      <c r="I1579" t="s">
        <v>10890</v>
      </c>
      <c r="J1579">
        <v>9153724473</v>
      </c>
      <c r="K1579" t="s">
        <v>10891</v>
      </c>
      <c r="L1579" t="s">
        <v>10892</v>
      </c>
      <c r="M1579" t="s">
        <v>645</v>
      </c>
      <c r="N1579" t="s">
        <v>336</v>
      </c>
      <c r="O1579" t="s">
        <v>515</v>
      </c>
      <c r="P1579">
        <v>3757</v>
      </c>
      <c r="Q1579" t="s">
        <v>10893</v>
      </c>
    </row>
    <row r="1580" spans="1:17" x14ac:dyDescent="0.3">
      <c r="A1580" t="s">
        <v>10894</v>
      </c>
      <c r="B1580" t="s">
        <v>236</v>
      </c>
      <c r="C1580" t="s">
        <v>3457</v>
      </c>
      <c r="D1580" t="s">
        <v>2600</v>
      </c>
      <c r="E1580" t="s">
        <v>2674</v>
      </c>
      <c r="F1580" t="s">
        <v>10895</v>
      </c>
      <c r="G1580">
        <v>0</v>
      </c>
      <c r="H1580">
        <v>0</v>
      </c>
      <c r="I1580" t="s">
        <v>10896</v>
      </c>
      <c r="J1580">
        <v>9554065146</v>
      </c>
      <c r="K1580" t="s">
        <v>10897</v>
      </c>
      <c r="L1580" t="s">
        <v>10898</v>
      </c>
      <c r="M1580" t="s">
        <v>645</v>
      </c>
      <c r="N1580" t="s">
        <v>336</v>
      </c>
      <c r="O1580" t="s">
        <v>441</v>
      </c>
      <c r="P1580">
        <v>3771</v>
      </c>
    </row>
    <row r="1581" spans="1:17" x14ac:dyDescent="0.3">
      <c r="A1581" t="s">
        <v>10899</v>
      </c>
      <c r="B1581" t="s">
        <v>4010</v>
      </c>
      <c r="C1581" t="s">
        <v>945</v>
      </c>
      <c r="D1581" t="s">
        <v>1817</v>
      </c>
      <c r="E1581" t="s">
        <v>1276</v>
      </c>
      <c r="F1581" t="s">
        <v>10900</v>
      </c>
      <c r="I1581" t="s">
        <v>10901</v>
      </c>
      <c r="J1581">
        <v>9217273611</v>
      </c>
      <c r="K1581" t="s">
        <v>10902</v>
      </c>
      <c r="L1581">
        <v>1234</v>
      </c>
      <c r="M1581" t="s">
        <v>645</v>
      </c>
      <c r="N1581" t="s">
        <v>398</v>
      </c>
      <c r="O1581" t="s">
        <v>685</v>
      </c>
      <c r="P1581">
        <v>3528</v>
      </c>
    </row>
    <row r="1582" spans="1:17" x14ac:dyDescent="0.3">
      <c r="A1582" t="s">
        <v>10903</v>
      </c>
      <c r="B1582" t="s">
        <v>5890</v>
      </c>
      <c r="C1582" t="s">
        <v>10361</v>
      </c>
      <c r="D1582" t="s">
        <v>1555</v>
      </c>
      <c r="E1582" t="s">
        <v>3723</v>
      </c>
      <c r="F1582" t="s">
        <v>10904</v>
      </c>
      <c r="I1582" t="s">
        <v>10905</v>
      </c>
      <c r="J1582" t="s">
        <v>8386</v>
      </c>
      <c r="K1582" t="s">
        <v>10906</v>
      </c>
      <c r="L1582" t="s">
        <v>10907</v>
      </c>
      <c r="M1582" t="s">
        <v>645</v>
      </c>
      <c r="N1582" t="s">
        <v>398</v>
      </c>
      <c r="O1582" t="s">
        <v>582</v>
      </c>
      <c r="P1582">
        <v>3781</v>
      </c>
    </row>
    <row r="1583" spans="1:17" x14ac:dyDescent="0.3">
      <c r="A1583" t="s">
        <v>10908</v>
      </c>
      <c r="B1583" t="s">
        <v>10909</v>
      </c>
      <c r="C1583" t="s">
        <v>10910</v>
      </c>
      <c r="D1583" t="s">
        <v>9954</v>
      </c>
      <c r="E1583" t="s">
        <v>10911</v>
      </c>
      <c r="F1583" t="s">
        <v>10912</v>
      </c>
      <c r="I1583" t="s">
        <v>10913</v>
      </c>
      <c r="J1583">
        <v>9450927628</v>
      </c>
      <c r="K1583" t="s">
        <v>10914</v>
      </c>
      <c r="L1583">
        <v>1234</v>
      </c>
      <c r="M1583" t="s">
        <v>645</v>
      </c>
      <c r="N1583" t="s">
        <v>16</v>
      </c>
      <c r="O1583" t="s">
        <v>292</v>
      </c>
      <c r="P1583">
        <v>3784</v>
      </c>
    </row>
    <row r="1584" spans="1:17" x14ac:dyDescent="0.3">
      <c r="A1584" t="s">
        <v>10915</v>
      </c>
      <c r="B1584" t="s">
        <v>10916</v>
      </c>
      <c r="C1584" t="s">
        <v>10917</v>
      </c>
      <c r="D1584" t="s">
        <v>9954</v>
      </c>
      <c r="E1584" t="s">
        <v>329</v>
      </c>
      <c r="F1584" t="s">
        <v>10918</v>
      </c>
      <c r="I1584" t="s">
        <v>10919</v>
      </c>
      <c r="J1584" t="s">
        <v>10920</v>
      </c>
      <c r="K1584" t="s">
        <v>10921</v>
      </c>
      <c r="L1584">
        <v>1234</v>
      </c>
      <c r="M1584" t="s">
        <v>645</v>
      </c>
      <c r="N1584" t="s">
        <v>398</v>
      </c>
      <c r="O1584" t="s">
        <v>685</v>
      </c>
      <c r="P1584">
        <v>3765</v>
      </c>
    </row>
    <row r="1585" spans="1:17" x14ac:dyDescent="0.3">
      <c r="A1585" t="s">
        <v>10915</v>
      </c>
      <c r="B1585" t="s">
        <v>10916</v>
      </c>
      <c r="C1585" t="s">
        <v>10917</v>
      </c>
      <c r="D1585" t="s">
        <v>9954</v>
      </c>
      <c r="E1585" t="s">
        <v>329</v>
      </c>
      <c r="F1585" t="s">
        <v>10918</v>
      </c>
      <c r="I1585" t="s">
        <v>10919</v>
      </c>
      <c r="J1585" t="s">
        <v>10920</v>
      </c>
      <c r="K1585" t="s">
        <v>10921</v>
      </c>
      <c r="L1585">
        <v>1234</v>
      </c>
      <c r="M1585" t="s">
        <v>645</v>
      </c>
      <c r="N1585" t="s">
        <v>398</v>
      </c>
      <c r="O1585" t="s">
        <v>685</v>
      </c>
      <c r="P1585">
        <v>3765</v>
      </c>
    </row>
    <row r="1586" spans="1:17" x14ac:dyDescent="0.3">
      <c r="A1586" t="s">
        <v>10922</v>
      </c>
      <c r="B1586" t="s">
        <v>1976</v>
      </c>
      <c r="C1586" t="s">
        <v>934</v>
      </c>
      <c r="D1586" t="s">
        <v>3275</v>
      </c>
      <c r="E1586" t="s">
        <v>10923</v>
      </c>
      <c r="F1586" t="s">
        <v>10924</v>
      </c>
      <c r="G1586" t="s">
        <v>4716</v>
      </c>
      <c r="H1586">
        <v>120.525782983743</v>
      </c>
      <c r="I1586" t="s">
        <v>10925</v>
      </c>
      <c r="J1586">
        <v>9176270776</v>
      </c>
      <c r="K1586" t="s">
        <v>10926</v>
      </c>
      <c r="L1586" t="s">
        <v>10927</v>
      </c>
      <c r="M1586" t="s">
        <v>645</v>
      </c>
      <c r="N1586" t="s">
        <v>336</v>
      </c>
      <c r="O1586" t="s">
        <v>515</v>
      </c>
      <c r="P1586">
        <v>3761</v>
      </c>
    </row>
    <row r="1587" spans="1:17" x14ac:dyDescent="0.3">
      <c r="A1587" t="s">
        <v>10928</v>
      </c>
      <c r="B1587" t="s">
        <v>10569</v>
      </c>
      <c r="C1587" t="s">
        <v>10929</v>
      </c>
      <c r="D1587" t="s">
        <v>10930</v>
      </c>
      <c r="E1587" t="s">
        <v>1276</v>
      </c>
      <c r="F1587" t="s">
        <v>10931</v>
      </c>
      <c r="G1587">
        <v>0</v>
      </c>
      <c r="H1587">
        <v>0</v>
      </c>
      <c r="I1587" t="s">
        <v>10932</v>
      </c>
      <c r="J1587">
        <v>9946301606</v>
      </c>
      <c r="K1587" t="s">
        <v>10933</v>
      </c>
      <c r="L1587">
        <v>1234</v>
      </c>
      <c r="M1587" t="s">
        <v>645</v>
      </c>
      <c r="N1587" t="s">
        <v>398</v>
      </c>
      <c r="O1587" t="s">
        <v>582</v>
      </c>
      <c r="P1587">
        <v>3788</v>
      </c>
    </row>
    <row r="1588" spans="1:17" x14ac:dyDescent="0.3">
      <c r="A1588" t="s">
        <v>10934</v>
      </c>
      <c r="B1588" t="s">
        <v>1563</v>
      </c>
      <c r="C1588" t="s">
        <v>10935</v>
      </c>
      <c r="D1588" t="s">
        <v>134</v>
      </c>
      <c r="E1588" t="s">
        <v>2500</v>
      </c>
      <c r="F1588" t="s">
        <v>10936</v>
      </c>
      <c r="G1588">
        <v>15.176643285724699</v>
      </c>
      <c r="H1588">
        <v>480.523796081542</v>
      </c>
      <c r="I1588" t="s">
        <v>10937</v>
      </c>
      <c r="J1588">
        <v>9218591348</v>
      </c>
      <c r="K1588" t="s">
        <v>10938</v>
      </c>
      <c r="L1588">
        <v>1234</v>
      </c>
      <c r="M1588" t="s">
        <v>645</v>
      </c>
      <c r="N1588" t="s">
        <v>369</v>
      </c>
      <c r="O1588" t="s">
        <v>10939</v>
      </c>
      <c r="P1588">
        <v>3764</v>
      </c>
      <c r="Q1588" t="s">
        <v>10940</v>
      </c>
    </row>
    <row r="1589" spans="1:17" x14ac:dyDescent="0.3">
      <c r="A1589" t="s">
        <v>10941</v>
      </c>
      <c r="B1589" t="s">
        <v>10942</v>
      </c>
      <c r="C1589" t="s">
        <v>10943</v>
      </c>
      <c r="D1589" t="s">
        <v>10944</v>
      </c>
      <c r="E1589" t="s">
        <v>1276</v>
      </c>
      <c r="F1589" t="s">
        <v>10945</v>
      </c>
      <c r="G1589">
        <v>8.2397460653532793E-3</v>
      </c>
      <c r="H1589">
        <v>5.4931640625E-3</v>
      </c>
      <c r="I1589" t="s">
        <v>10566</v>
      </c>
      <c r="J1589">
        <v>9282294015</v>
      </c>
      <c r="K1589" t="s">
        <v>10946</v>
      </c>
      <c r="L1589">
        <v>1234</v>
      </c>
      <c r="M1589" t="s">
        <v>645</v>
      </c>
      <c r="N1589" t="s">
        <v>398</v>
      </c>
      <c r="O1589" t="s">
        <v>582</v>
      </c>
      <c r="P1589">
        <v>3689</v>
      </c>
    </row>
    <row r="1590" spans="1:17" x14ac:dyDescent="0.3">
      <c r="A1590" t="s">
        <v>10947</v>
      </c>
      <c r="B1590" t="s">
        <v>3855</v>
      </c>
      <c r="C1590" t="s">
        <v>10948</v>
      </c>
      <c r="E1590" t="s">
        <v>1985</v>
      </c>
      <c r="F1590" t="s">
        <v>10949</v>
      </c>
      <c r="I1590" t="s">
        <v>10950</v>
      </c>
      <c r="J1590">
        <v>9770755959</v>
      </c>
      <c r="K1590" t="s">
        <v>10951</v>
      </c>
      <c r="L1590">
        <v>1234</v>
      </c>
      <c r="M1590" t="s">
        <v>645</v>
      </c>
      <c r="N1590" t="s">
        <v>336</v>
      </c>
      <c r="O1590" t="s">
        <v>515</v>
      </c>
      <c r="P1590">
        <v>3747</v>
      </c>
    </row>
    <row r="1591" spans="1:17" x14ac:dyDescent="0.3">
      <c r="A1591" t="s">
        <v>10952</v>
      </c>
      <c r="B1591" t="s">
        <v>10953</v>
      </c>
      <c r="C1591" t="s">
        <v>10954</v>
      </c>
      <c r="D1591" t="s">
        <v>2561</v>
      </c>
      <c r="E1591" t="s">
        <v>1985</v>
      </c>
      <c r="F1591" t="s">
        <v>10955</v>
      </c>
      <c r="I1591" t="s">
        <v>10956</v>
      </c>
      <c r="J1591" t="s">
        <v>10957</v>
      </c>
      <c r="K1591" t="s">
        <v>10958</v>
      </c>
      <c r="L1591">
        <v>1234</v>
      </c>
      <c r="M1591" t="s">
        <v>645</v>
      </c>
      <c r="N1591" t="s">
        <v>931</v>
      </c>
      <c r="P1591">
        <v>3335</v>
      </c>
    </row>
    <row r="1592" spans="1:17" x14ac:dyDescent="0.3">
      <c r="A1592" t="s">
        <v>10959</v>
      </c>
      <c r="B1592" t="s">
        <v>10960</v>
      </c>
      <c r="C1592" t="s">
        <v>10961</v>
      </c>
      <c r="D1592" t="s">
        <v>1555</v>
      </c>
      <c r="E1592" t="s">
        <v>10962</v>
      </c>
      <c r="F1592" t="s">
        <v>10963</v>
      </c>
      <c r="G1592">
        <v>0</v>
      </c>
      <c r="H1592">
        <v>0</v>
      </c>
      <c r="I1592" t="s">
        <v>10964</v>
      </c>
      <c r="J1592">
        <v>9274515959</v>
      </c>
      <c r="K1592" t="s">
        <v>10965</v>
      </c>
      <c r="L1592">
        <v>1234</v>
      </c>
      <c r="M1592" t="s">
        <v>645</v>
      </c>
      <c r="N1592" t="s">
        <v>336</v>
      </c>
      <c r="O1592" t="s">
        <v>441</v>
      </c>
      <c r="P1592">
        <v>3794</v>
      </c>
    </row>
    <row r="1593" spans="1:17" x14ac:dyDescent="0.3">
      <c r="A1593" t="s">
        <v>10966</v>
      </c>
      <c r="B1593" t="s">
        <v>10967</v>
      </c>
      <c r="C1593" t="s">
        <v>9851</v>
      </c>
      <c r="D1593" t="s">
        <v>539</v>
      </c>
      <c r="E1593" t="s">
        <v>10968</v>
      </c>
      <c r="F1593" t="s">
        <v>10969</v>
      </c>
      <c r="G1593">
        <v>0</v>
      </c>
      <c r="H1593">
        <v>0</v>
      </c>
      <c r="I1593" t="s">
        <v>10970</v>
      </c>
      <c r="J1593">
        <v>9995317000</v>
      </c>
      <c r="K1593" t="s">
        <v>10971</v>
      </c>
      <c r="L1593">
        <v>1234</v>
      </c>
      <c r="M1593" t="s">
        <v>645</v>
      </c>
      <c r="N1593" t="s">
        <v>369</v>
      </c>
      <c r="O1593" t="s">
        <v>370</v>
      </c>
      <c r="P1593">
        <v>3722</v>
      </c>
    </row>
    <row r="1594" spans="1:17" x14ac:dyDescent="0.3">
      <c r="A1594" t="s">
        <v>10972</v>
      </c>
      <c r="B1594" t="s">
        <v>10973</v>
      </c>
      <c r="C1594" t="s">
        <v>6074</v>
      </c>
      <c r="D1594" t="s">
        <v>1267</v>
      </c>
      <c r="E1594" t="s">
        <v>1276</v>
      </c>
      <c r="F1594" t="s">
        <v>10974</v>
      </c>
      <c r="G1594">
        <v>15.1655272769368</v>
      </c>
      <c r="H1594">
        <v>480.57969331741299</v>
      </c>
      <c r="I1594" t="s">
        <v>10975</v>
      </c>
      <c r="J1594">
        <v>9560071766</v>
      </c>
      <c r="K1594" t="s">
        <v>10976</v>
      </c>
      <c r="L1594" t="s">
        <v>10977</v>
      </c>
      <c r="M1594" t="s">
        <v>645</v>
      </c>
      <c r="N1594" t="s">
        <v>398</v>
      </c>
      <c r="O1594" t="s">
        <v>685</v>
      </c>
      <c r="P1594">
        <v>3801</v>
      </c>
    </row>
    <row r="1595" spans="1:17" x14ac:dyDescent="0.3">
      <c r="A1595" t="s">
        <v>10978</v>
      </c>
      <c r="B1595" t="s">
        <v>1689</v>
      </c>
      <c r="C1595" t="s">
        <v>10979</v>
      </c>
      <c r="D1595" t="s">
        <v>3354</v>
      </c>
      <c r="E1595" t="s">
        <v>8215</v>
      </c>
      <c r="F1595" t="s">
        <v>10980</v>
      </c>
      <c r="G1595">
        <v>0</v>
      </c>
      <c r="H1595">
        <v>0</v>
      </c>
      <c r="I1595" t="s">
        <v>10981</v>
      </c>
      <c r="J1595">
        <v>9065553481</v>
      </c>
      <c r="K1595" t="s">
        <v>10982</v>
      </c>
      <c r="L1595">
        <v>1234</v>
      </c>
      <c r="M1595" t="s">
        <v>645</v>
      </c>
      <c r="N1595" t="s">
        <v>16</v>
      </c>
      <c r="O1595" t="s">
        <v>292</v>
      </c>
      <c r="P1595">
        <v>3767</v>
      </c>
    </row>
    <row r="1596" spans="1:17" x14ac:dyDescent="0.3">
      <c r="A1596" t="s">
        <v>10983</v>
      </c>
      <c r="B1596" t="s">
        <v>7714</v>
      </c>
      <c r="C1596" t="s">
        <v>2270</v>
      </c>
      <c r="D1596" t="s">
        <v>1555</v>
      </c>
      <c r="E1596" t="s">
        <v>10984</v>
      </c>
      <c r="F1596" t="s">
        <v>10985</v>
      </c>
      <c r="I1596" t="s">
        <v>9292</v>
      </c>
      <c r="J1596">
        <v>9177445475</v>
      </c>
      <c r="K1596" t="s">
        <v>10986</v>
      </c>
      <c r="L1596">
        <v>1234</v>
      </c>
      <c r="M1596" t="s">
        <v>645</v>
      </c>
      <c r="N1596" t="s">
        <v>336</v>
      </c>
      <c r="O1596" t="s">
        <v>337</v>
      </c>
      <c r="P1596">
        <v>3772</v>
      </c>
    </row>
    <row r="1597" spans="1:17" x14ac:dyDescent="0.3">
      <c r="A1597" t="s">
        <v>10987</v>
      </c>
      <c r="B1597" t="s">
        <v>697</v>
      </c>
      <c r="C1597" t="s">
        <v>10988</v>
      </c>
      <c r="D1597" t="s">
        <v>10989</v>
      </c>
      <c r="E1597" t="s">
        <v>1062</v>
      </c>
      <c r="F1597" t="s">
        <v>10990</v>
      </c>
      <c r="G1597">
        <v>0</v>
      </c>
      <c r="H1597">
        <v>0</v>
      </c>
      <c r="I1597" t="s">
        <v>10991</v>
      </c>
      <c r="J1597">
        <v>9166868610</v>
      </c>
      <c r="K1597" t="s">
        <v>10992</v>
      </c>
      <c r="L1597">
        <v>1234</v>
      </c>
      <c r="M1597" t="s">
        <v>645</v>
      </c>
      <c r="N1597" t="s">
        <v>336</v>
      </c>
      <c r="O1597" t="s">
        <v>515</v>
      </c>
      <c r="P1597">
        <v>3769</v>
      </c>
      <c r="Q1597" t="s">
        <v>10993</v>
      </c>
    </row>
    <row r="1598" spans="1:17" x14ac:dyDescent="0.3">
      <c r="A1598" t="s">
        <v>10994</v>
      </c>
      <c r="B1598" t="s">
        <v>839</v>
      </c>
      <c r="C1598" t="s">
        <v>10995</v>
      </c>
      <c r="D1598" t="s">
        <v>539</v>
      </c>
      <c r="E1598" t="s">
        <v>7168</v>
      </c>
      <c r="F1598" t="s">
        <v>10996</v>
      </c>
      <c r="G1598" t="s">
        <v>10997</v>
      </c>
      <c r="H1598">
        <v>121.0424</v>
      </c>
      <c r="I1598" t="s">
        <v>10998</v>
      </c>
      <c r="J1598">
        <v>9475052770</v>
      </c>
      <c r="K1598" t="s">
        <v>10999</v>
      </c>
      <c r="L1598">
        <v>1234</v>
      </c>
      <c r="M1598" t="s">
        <v>645</v>
      </c>
      <c r="N1598" t="s">
        <v>412</v>
      </c>
      <c r="O1598" t="s">
        <v>853</v>
      </c>
      <c r="P1598">
        <v>3770</v>
      </c>
    </row>
    <row r="1599" spans="1:17" x14ac:dyDescent="0.3">
      <c r="A1599" t="s">
        <v>11000</v>
      </c>
      <c r="B1599" t="s">
        <v>7856</v>
      </c>
      <c r="C1599" t="s">
        <v>11001</v>
      </c>
      <c r="D1599" t="s">
        <v>11002</v>
      </c>
      <c r="E1599" t="s">
        <v>3723</v>
      </c>
      <c r="F1599" t="s">
        <v>11003</v>
      </c>
      <c r="G1599">
        <v>0</v>
      </c>
      <c r="H1599">
        <v>0</v>
      </c>
      <c r="I1599" t="s">
        <v>5653</v>
      </c>
      <c r="J1599">
        <v>9661925170</v>
      </c>
      <c r="K1599" t="s">
        <v>11004</v>
      </c>
      <c r="L1599">
        <v>1234</v>
      </c>
      <c r="M1599" t="s">
        <v>645</v>
      </c>
      <c r="N1599" t="s">
        <v>398</v>
      </c>
      <c r="O1599" t="s">
        <v>582</v>
      </c>
      <c r="P1599">
        <v>3810</v>
      </c>
    </row>
    <row r="1600" spans="1:17" x14ac:dyDescent="0.3">
      <c r="A1600" t="s">
        <v>11005</v>
      </c>
      <c r="B1600" t="s">
        <v>7856</v>
      </c>
      <c r="C1600" t="s">
        <v>11001</v>
      </c>
      <c r="D1600" t="s">
        <v>11002</v>
      </c>
      <c r="E1600" t="s">
        <v>3723</v>
      </c>
      <c r="F1600" t="s">
        <v>11006</v>
      </c>
      <c r="I1600" t="s">
        <v>5653</v>
      </c>
      <c r="J1600">
        <v>9661925170</v>
      </c>
      <c r="K1600" t="s">
        <v>11007</v>
      </c>
      <c r="L1600">
        <v>1234</v>
      </c>
      <c r="M1600" t="s">
        <v>645</v>
      </c>
      <c r="N1600" t="s">
        <v>398</v>
      </c>
      <c r="O1600" t="s">
        <v>582</v>
      </c>
      <c r="P1600">
        <v>3388</v>
      </c>
    </row>
    <row r="1601" spans="1:17" x14ac:dyDescent="0.3">
      <c r="A1601" t="s">
        <v>11008</v>
      </c>
      <c r="B1601" t="s">
        <v>11009</v>
      </c>
      <c r="C1601" t="s">
        <v>11010</v>
      </c>
      <c r="D1601" t="s">
        <v>11011</v>
      </c>
      <c r="E1601" t="s">
        <v>363</v>
      </c>
      <c r="F1601" t="s">
        <v>11012</v>
      </c>
      <c r="I1601" t="s">
        <v>11013</v>
      </c>
      <c r="J1601" t="s">
        <v>11014</v>
      </c>
      <c r="K1601" t="s">
        <v>11015</v>
      </c>
      <c r="L1601" t="s">
        <v>11016</v>
      </c>
      <c r="M1601" t="s">
        <v>645</v>
      </c>
      <c r="N1601" t="s">
        <v>398</v>
      </c>
      <c r="O1601" t="s">
        <v>399</v>
      </c>
      <c r="P1601">
        <v>3812</v>
      </c>
    </row>
    <row r="1602" spans="1:17" x14ac:dyDescent="0.3">
      <c r="A1602" t="s">
        <v>11017</v>
      </c>
      <c r="B1602" t="s">
        <v>11018</v>
      </c>
      <c r="C1602" t="s">
        <v>11019</v>
      </c>
      <c r="D1602" t="s">
        <v>4756</v>
      </c>
      <c r="E1602" t="s">
        <v>11020</v>
      </c>
      <c r="F1602" t="s">
        <v>11021</v>
      </c>
      <c r="I1602" t="s">
        <v>11022</v>
      </c>
      <c r="K1602" t="s">
        <v>11023</v>
      </c>
      <c r="L1602">
        <v>1234</v>
      </c>
      <c r="M1602" t="s">
        <v>645</v>
      </c>
      <c r="N1602" t="s">
        <v>779</v>
      </c>
      <c r="P1602">
        <v>3802</v>
      </c>
    </row>
    <row r="1603" spans="1:17" x14ac:dyDescent="0.3">
      <c r="A1603" t="s">
        <v>11024</v>
      </c>
      <c r="B1603" t="s">
        <v>11025</v>
      </c>
      <c r="C1603" t="s">
        <v>4127</v>
      </c>
      <c r="D1603" t="s">
        <v>11026</v>
      </c>
      <c r="E1603" t="s">
        <v>9024</v>
      </c>
      <c r="F1603" t="s">
        <v>11027</v>
      </c>
      <c r="G1603">
        <v>9.4413757320565997E-4</v>
      </c>
      <c r="H1603">
        <v>-5.14984130859375E-4</v>
      </c>
      <c r="I1603" t="s">
        <v>11028</v>
      </c>
      <c r="J1603">
        <v>9230813012</v>
      </c>
      <c r="K1603" t="s">
        <v>11029</v>
      </c>
      <c r="L1603">
        <v>1234</v>
      </c>
      <c r="M1603" t="s">
        <v>645</v>
      </c>
      <c r="N1603" t="s">
        <v>398</v>
      </c>
      <c r="O1603" t="s">
        <v>853</v>
      </c>
      <c r="P1603">
        <v>3708</v>
      </c>
    </row>
    <row r="1604" spans="1:17" x14ac:dyDescent="0.3">
      <c r="A1604" t="s">
        <v>11030</v>
      </c>
      <c r="B1604" t="s">
        <v>11031</v>
      </c>
      <c r="C1604" t="s">
        <v>11032</v>
      </c>
      <c r="D1604" t="s">
        <v>11033</v>
      </c>
      <c r="E1604" t="s">
        <v>11034</v>
      </c>
      <c r="F1604" t="s">
        <v>11035</v>
      </c>
      <c r="G1604">
        <v>0</v>
      </c>
      <c r="H1604">
        <v>0</v>
      </c>
      <c r="I1604" t="s">
        <v>11036</v>
      </c>
      <c r="J1604">
        <v>9456403078</v>
      </c>
      <c r="K1604" t="s">
        <v>11037</v>
      </c>
      <c r="L1604">
        <v>1234</v>
      </c>
      <c r="M1604" t="s">
        <v>645</v>
      </c>
      <c r="N1604" t="s">
        <v>871</v>
      </c>
      <c r="O1604" t="s">
        <v>1628</v>
      </c>
      <c r="P1604">
        <v>3811</v>
      </c>
    </row>
    <row r="1605" spans="1:17" x14ac:dyDescent="0.3">
      <c r="A1605" t="s">
        <v>11038</v>
      </c>
      <c r="B1605" t="s">
        <v>11039</v>
      </c>
      <c r="C1605" t="s">
        <v>11040</v>
      </c>
      <c r="D1605" t="s">
        <v>11041</v>
      </c>
      <c r="E1605" t="s">
        <v>1339</v>
      </c>
      <c r="F1605" t="s">
        <v>11042</v>
      </c>
      <c r="G1605">
        <v>0</v>
      </c>
      <c r="H1605">
        <v>0</v>
      </c>
      <c r="I1605" t="s">
        <v>11043</v>
      </c>
      <c r="J1605" t="s">
        <v>11044</v>
      </c>
      <c r="K1605" t="s">
        <v>11045</v>
      </c>
      <c r="L1605" t="s">
        <v>11046</v>
      </c>
      <c r="M1605" t="s">
        <v>645</v>
      </c>
      <c r="N1605" t="s">
        <v>398</v>
      </c>
      <c r="O1605" t="s">
        <v>582</v>
      </c>
      <c r="P1605">
        <v>2941</v>
      </c>
      <c r="Q1605" t="s">
        <v>11047</v>
      </c>
    </row>
    <row r="1606" spans="1:17" x14ac:dyDescent="0.3">
      <c r="A1606" t="s">
        <v>11048</v>
      </c>
      <c r="B1606" t="s">
        <v>11049</v>
      </c>
      <c r="C1606" t="s">
        <v>11050</v>
      </c>
      <c r="D1606" t="s">
        <v>11051</v>
      </c>
      <c r="E1606" t="s">
        <v>1276</v>
      </c>
      <c r="F1606" t="s">
        <v>11052</v>
      </c>
      <c r="I1606" t="s">
        <v>11053</v>
      </c>
      <c r="K1606" t="s">
        <v>11054</v>
      </c>
      <c r="L1606">
        <v>1234</v>
      </c>
      <c r="M1606" t="s">
        <v>645</v>
      </c>
      <c r="N1606" t="s">
        <v>398</v>
      </c>
      <c r="O1606" t="s">
        <v>582</v>
      </c>
      <c r="P1606">
        <v>3775</v>
      </c>
    </row>
    <row r="1607" spans="1:17" x14ac:dyDescent="0.3">
      <c r="A1607" t="s">
        <v>11055</v>
      </c>
      <c r="B1607" t="s">
        <v>603</v>
      </c>
      <c r="C1607" t="s">
        <v>11056</v>
      </c>
      <c r="D1607" t="s">
        <v>11057</v>
      </c>
      <c r="E1607" t="s">
        <v>793</v>
      </c>
      <c r="F1607" t="s">
        <v>11058</v>
      </c>
      <c r="G1607">
        <v>15.1879502603913</v>
      </c>
      <c r="H1607">
        <v>120.54320454597401</v>
      </c>
      <c r="I1607" t="s">
        <v>11059</v>
      </c>
      <c r="J1607">
        <v>9364066258</v>
      </c>
      <c r="K1607" t="s">
        <v>11060</v>
      </c>
      <c r="L1607">
        <v>1234</v>
      </c>
      <c r="M1607" t="s">
        <v>645</v>
      </c>
      <c r="N1607" t="s">
        <v>398</v>
      </c>
      <c r="O1607" t="s">
        <v>582</v>
      </c>
      <c r="P1607">
        <v>3807</v>
      </c>
    </row>
    <row r="1608" spans="1:17" x14ac:dyDescent="0.3">
      <c r="A1608" t="s">
        <v>11061</v>
      </c>
      <c r="B1608" t="s">
        <v>11062</v>
      </c>
      <c r="C1608" t="s">
        <v>3465</v>
      </c>
      <c r="E1608" t="s">
        <v>286</v>
      </c>
      <c r="F1608" t="s">
        <v>11063</v>
      </c>
      <c r="I1608" t="s">
        <v>11064</v>
      </c>
      <c r="J1608">
        <v>9616283237</v>
      </c>
      <c r="K1608" t="s">
        <v>11065</v>
      </c>
      <c r="L1608" t="s">
        <v>11066</v>
      </c>
      <c r="M1608" t="s">
        <v>645</v>
      </c>
      <c r="N1608" t="s">
        <v>336</v>
      </c>
      <c r="O1608" t="s">
        <v>441</v>
      </c>
      <c r="P1608">
        <v>3782</v>
      </c>
    </row>
    <row r="1609" spans="1:17" x14ac:dyDescent="0.3">
      <c r="A1609" t="s">
        <v>11067</v>
      </c>
      <c r="B1609" t="s">
        <v>11068</v>
      </c>
      <c r="C1609" t="s">
        <v>11069</v>
      </c>
      <c r="D1609" t="s">
        <v>1571</v>
      </c>
      <c r="E1609" t="s">
        <v>11070</v>
      </c>
      <c r="F1609" t="s">
        <v>11071</v>
      </c>
      <c r="G1609">
        <v>0</v>
      </c>
      <c r="H1609">
        <v>0</v>
      </c>
      <c r="I1609" t="s">
        <v>11072</v>
      </c>
      <c r="J1609">
        <v>9175004311</v>
      </c>
      <c r="K1609" t="s">
        <v>11073</v>
      </c>
      <c r="L1609">
        <v>1234</v>
      </c>
      <c r="M1609" t="s">
        <v>645</v>
      </c>
      <c r="N1609" t="s">
        <v>336</v>
      </c>
      <c r="O1609" t="s">
        <v>441</v>
      </c>
      <c r="P1609">
        <v>3679</v>
      </c>
    </row>
    <row r="1610" spans="1:17" x14ac:dyDescent="0.3">
      <c r="A1610" t="s">
        <v>10786</v>
      </c>
      <c r="B1610" t="s">
        <v>8495</v>
      </c>
      <c r="C1610" t="s">
        <v>10787</v>
      </c>
      <c r="D1610" t="s">
        <v>5597</v>
      </c>
      <c r="E1610" t="s">
        <v>1470</v>
      </c>
      <c r="F1610" t="s">
        <v>10788</v>
      </c>
      <c r="G1610">
        <v>14.881087159090599</v>
      </c>
      <c r="H1610">
        <v>120.43212890625</v>
      </c>
      <c r="I1610" t="s">
        <v>10789</v>
      </c>
      <c r="J1610" t="s">
        <v>10790</v>
      </c>
      <c r="K1610" t="s">
        <v>10791</v>
      </c>
      <c r="L1610">
        <v>1234</v>
      </c>
      <c r="M1610" t="s">
        <v>645</v>
      </c>
      <c r="N1610" t="s">
        <v>398</v>
      </c>
      <c r="O1610" t="s">
        <v>582</v>
      </c>
      <c r="P1610">
        <v>3703</v>
      </c>
    </row>
    <row r="1611" spans="1:17" x14ac:dyDescent="0.3">
      <c r="A1611" t="s">
        <v>11074</v>
      </c>
      <c r="B1611" t="s">
        <v>11075</v>
      </c>
      <c r="C1611" t="s">
        <v>11076</v>
      </c>
      <c r="D1611" t="s">
        <v>1555</v>
      </c>
      <c r="E1611" t="s">
        <v>11077</v>
      </c>
      <c r="F1611" t="s">
        <v>11078</v>
      </c>
      <c r="G1611">
        <v>0</v>
      </c>
      <c r="H1611">
        <v>0</v>
      </c>
      <c r="I1611" t="s">
        <v>11079</v>
      </c>
      <c r="J1611">
        <v>9328814959</v>
      </c>
      <c r="K1611" t="s">
        <v>11080</v>
      </c>
      <c r="L1611">
        <v>1234</v>
      </c>
      <c r="M1611" t="s">
        <v>645</v>
      </c>
      <c r="N1611" t="s">
        <v>398</v>
      </c>
      <c r="O1611" t="s">
        <v>399</v>
      </c>
      <c r="P1611">
        <v>3766</v>
      </c>
    </row>
    <row r="1612" spans="1:17" x14ac:dyDescent="0.3">
      <c r="A1612" t="s">
        <v>11081</v>
      </c>
      <c r="B1612" t="s">
        <v>11082</v>
      </c>
      <c r="C1612" t="s">
        <v>11083</v>
      </c>
      <c r="D1612" t="s">
        <v>11084</v>
      </c>
      <c r="E1612" t="s">
        <v>2601</v>
      </c>
      <c r="F1612" t="s">
        <v>11085</v>
      </c>
      <c r="G1612">
        <v>0</v>
      </c>
      <c r="H1612">
        <v>0</v>
      </c>
      <c r="I1612" t="s">
        <v>11086</v>
      </c>
      <c r="J1612">
        <v>9209609794</v>
      </c>
      <c r="K1612" t="s">
        <v>11087</v>
      </c>
      <c r="L1612">
        <v>5254</v>
      </c>
      <c r="M1612" t="s">
        <v>645</v>
      </c>
      <c r="N1612" t="s">
        <v>369</v>
      </c>
      <c r="O1612" t="s">
        <v>370</v>
      </c>
      <c r="P1612">
        <v>3816</v>
      </c>
    </row>
    <row r="1613" spans="1:17" x14ac:dyDescent="0.3">
      <c r="A1613" t="s">
        <v>11088</v>
      </c>
      <c r="B1613" t="s">
        <v>11089</v>
      </c>
      <c r="C1613" t="s">
        <v>11090</v>
      </c>
      <c r="D1613" t="s">
        <v>11091</v>
      </c>
      <c r="E1613" t="s">
        <v>11092</v>
      </c>
      <c r="F1613" t="s">
        <v>11093</v>
      </c>
      <c r="G1613">
        <v>0</v>
      </c>
      <c r="H1613">
        <v>0</v>
      </c>
      <c r="I1613" t="s">
        <v>11094</v>
      </c>
      <c r="J1613">
        <v>9209025997</v>
      </c>
      <c r="K1613" t="s">
        <v>11095</v>
      </c>
      <c r="L1613">
        <v>1234</v>
      </c>
      <c r="M1613" t="s">
        <v>645</v>
      </c>
      <c r="N1613" t="s">
        <v>398</v>
      </c>
      <c r="O1613" t="s">
        <v>853</v>
      </c>
      <c r="P1613">
        <v>3813</v>
      </c>
    </row>
    <row r="1614" spans="1:17" x14ac:dyDescent="0.3">
      <c r="A1614" t="s">
        <v>11096</v>
      </c>
      <c r="B1614" t="s">
        <v>11097</v>
      </c>
      <c r="C1614" t="s">
        <v>1392</v>
      </c>
      <c r="D1614" t="s">
        <v>11098</v>
      </c>
      <c r="E1614" t="s">
        <v>11099</v>
      </c>
      <c r="F1614" t="s">
        <v>11100</v>
      </c>
      <c r="G1614">
        <v>0</v>
      </c>
      <c r="H1614">
        <v>0</v>
      </c>
      <c r="I1614" t="s">
        <v>11101</v>
      </c>
      <c r="J1614">
        <v>639455725024</v>
      </c>
      <c r="K1614" t="s">
        <v>11102</v>
      </c>
      <c r="L1614">
        <v>1234</v>
      </c>
      <c r="M1614" t="s">
        <v>645</v>
      </c>
      <c r="N1614" t="s">
        <v>369</v>
      </c>
      <c r="O1614" t="s">
        <v>370</v>
      </c>
      <c r="P1614">
        <v>3809</v>
      </c>
    </row>
    <row r="1615" spans="1:17" x14ac:dyDescent="0.3">
      <c r="A1615" t="s">
        <v>11103</v>
      </c>
      <c r="B1615" t="s">
        <v>935</v>
      </c>
      <c r="C1615" t="s">
        <v>3311</v>
      </c>
      <c r="D1615" t="s">
        <v>11104</v>
      </c>
      <c r="E1615" t="s">
        <v>793</v>
      </c>
      <c r="F1615" t="s">
        <v>11105</v>
      </c>
      <c r="G1615">
        <v>0</v>
      </c>
      <c r="H1615">
        <v>0</v>
      </c>
      <c r="I1615" t="s">
        <v>11106</v>
      </c>
      <c r="J1615">
        <v>9663724799</v>
      </c>
      <c r="K1615" t="s">
        <v>11107</v>
      </c>
      <c r="L1615">
        <v>1234</v>
      </c>
      <c r="M1615" t="s">
        <v>645</v>
      </c>
      <c r="N1615" t="s">
        <v>398</v>
      </c>
      <c r="O1615" t="s">
        <v>685</v>
      </c>
      <c r="P1615">
        <v>3831</v>
      </c>
    </row>
    <row r="1616" spans="1:17" x14ac:dyDescent="0.3">
      <c r="A1616" t="s">
        <v>11108</v>
      </c>
      <c r="B1616" t="s">
        <v>769</v>
      </c>
      <c r="C1616" t="s">
        <v>3922</v>
      </c>
      <c r="D1616" t="s">
        <v>11109</v>
      </c>
      <c r="E1616" t="s">
        <v>1529</v>
      </c>
      <c r="F1616" t="s">
        <v>11110</v>
      </c>
      <c r="G1616">
        <v>0</v>
      </c>
      <c r="H1616">
        <v>0</v>
      </c>
      <c r="I1616" t="s">
        <v>11111</v>
      </c>
      <c r="J1616">
        <v>9173163105</v>
      </c>
      <c r="K1616" t="s">
        <v>11112</v>
      </c>
      <c r="L1616">
        <v>1234</v>
      </c>
      <c r="M1616" t="s">
        <v>645</v>
      </c>
      <c r="N1616" t="s">
        <v>398</v>
      </c>
      <c r="O1616" t="s">
        <v>853</v>
      </c>
      <c r="P1616">
        <v>3792</v>
      </c>
    </row>
    <row r="1617" spans="1:16" x14ac:dyDescent="0.3">
      <c r="A1617" t="s">
        <v>11113</v>
      </c>
      <c r="B1617" t="s">
        <v>11114</v>
      </c>
      <c r="C1617" t="s">
        <v>11115</v>
      </c>
      <c r="E1617" t="s">
        <v>3723</v>
      </c>
      <c r="F1617" t="s">
        <v>11116</v>
      </c>
      <c r="I1617" t="s">
        <v>11117</v>
      </c>
      <c r="J1617">
        <v>9499940194</v>
      </c>
      <c r="K1617" t="s">
        <v>11118</v>
      </c>
      <c r="L1617">
        <v>1234</v>
      </c>
      <c r="M1617" t="s">
        <v>645</v>
      </c>
      <c r="N1617" t="s">
        <v>398</v>
      </c>
      <c r="O1617" t="s">
        <v>685</v>
      </c>
      <c r="P1617">
        <v>3574</v>
      </c>
    </row>
    <row r="1618" spans="1:16" x14ac:dyDescent="0.3">
      <c r="A1618" t="s">
        <v>11119</v>
      </c>
      <c r="B1618" t="s">
        <v>351</v>
      </c>
      <c r="C1618" t="s">
        <v>11120</v>
      </c>
      <c r="E1618" t="s">
        <v>77</v>
      </c>
      <c r="F1618" t="s">
        <v>11121</v>
      </c>
      <c r="I1618" t="s">
        <v>11122</v>
      </c>
      <c r="J1618">
        <v>9156248775</v>
      </c>
      <c r="K1618" t="s">
        <v>11123</v>
      </c>
      <c r="L1618">
        <v>1234</v>
      </c>
      <c r="M1618" t="s">
        <v>645</v>
      </c>
      <c r="N1618" t="s">
        <v>369</v>
      </c>
      <c r="O1618" t="s">
        <v>370</v>
      </c>
      <c r="P1618">
        <v>3819</v>
      </c>
    </row>
    <row r="1619" spans="1:16" x14ac:dyDescent="0.3">
      <c r="A1619" t="s">
        <v>11124</v>
      </c>
      <c r="B1619" t="s">
        <v>11114</v>
      </c>
      <c r="C1619" t="s">
        <v>11115</v>
      </c>
      <c r="D1619" t="s">
        <v>4427</v>
      </c>
      <c r="E1619" t="s">
        <v>3723</v>
      </c>
      <c r="F1619" t="s">
        <v>11125</v>
      </c>
      <c r="I1619" t="s">
        <v>11126</v>
      </c>
      <c r="J1619">
        <v>9499940194</v>
      </c>
      <c r="K1619" t="s">
        <v>11127</v>
      </c>
      <c r="L1619">
        <v>1234</v>
      </c>
      <c r="M1619" t="s">
        <v>645</v>
      </c>
      <c r="N1619" t="s">
        <v>398</v>
      </c>
      <c r="O1619" t="s">
        <v>582</v>
      </c>
      <c r="P1619">
        <v>3840</v>
      </c>
    </row>
    <row r="1620" spans="1:16" x14ac:dyDescent="0.3">
      <c r="A1620" t="s">
        <v>11128</v>
      </c>
      <c r="B1620" t="s">
        <v>3335</v>
      </c>
      <c r="C1620" t="s">
        <v>8692</v>
      </c>
      <c r="D1620" t="s">
        <v>4427</v>
      </c>
      <c r="E1620" t="s">
        <v>1110</v>
      </c>
      <c r="F1620" t="s">
        <v>11129</v>
      </c>
      <c r="G1620">
        <v>15.1658793532518</v>
      </c>
      <c r="H1620">
        <v>120.578647255897</v>
      </c>
      <c r="I1620" t="s">
        <v>11130</v>
      </c>
      <c r="J1620">
        <v>9358197896</v>
      </c>
      <c r="K1620" t="s">
        <v>11131</v>
      </c>
      <c r="L1620">
        <v>1234</v>
      </c>
      <c r="M1620" t="s">
        <v>645</v>
      </c>
      <c r="N1620" t="s">
        <v>83</v>
      </c>
      <c r="O1620" t="s">
        <v>1932</v>
      </c>
      <c r="P1620">
        <v>3804</v>
      </c>
    </row>
    <row r="1621" spans="1:16" x14ac:dyDescent="0.3">
      <c r="A1621" t="s">
        <v>11132</v>
      </c>
      <c r="B1621" t="s">
        <v>11133</v>
      </c>
      <c r="C1621" t="s">
        <v>11134</v>
      </c>
      <c r="D1621" t="s">
        <v>1555</v>
      </c>
      <c r="E1621" t="s">
        <v>11135</v>
      </c>
      <c r="F1621" t="s">
        <v>11136</v>
      </c>
      <c r="G1621">
        <v>15.1357643545958</v>
      </c>
      <c r="H1621">
        <v>-239.4140625</v>
      </c>
      <c r="I1621" t="s">
        <v>11137</v>
      </c>
      <c r="J1621">
        <v>9176338066</v>
      </c>
      <c r="K1621" t="s">
        <v>11138</v>
      </c>
      <c r="L1621" t="s">
        <v>11139</v>
      </c>
      <c r="M1621" t="s">
        <v>645</v>
      </c>
      <c r="N1621" t="s">
        <v>398</v>
      </c>
      <c r="O1621" t="s">
        <v>2952</v>
      </c>
      <c r="P1621">
        <v>3728</v>
      </c>
    </row>
    <row r="1622" spans="1:16" x14ac:dyDescent="0.3">
      <c r="A1622" t="s">
        <v>11140</v>
      </c>
      <c r="F1622" t="s">
        <v>11141</v>
      </c>
      <c r="K1622" t="s">
        <v>11142</v>
      </c>
      <c r="L1622">
        <v>1234</v>
      </c>
      <c r="M1622" t="s">
        <v>645</v>
      </c>
      <c r="N1622" t="s">
        <v>336</v>
      </c>
      <c r="O1622" t="s">
        <v>515</v>
      </c>
      <c r="P1622">
        <v>3253</v>
      </c>
    </row>
    <row r="1623" spans="1:16" x14ac:dyDescent="0.3">
      <c r="A1623" t="s">
        <v>11143</v>
      </c>
      <c r="B1623" t="s">
        <v>11144</v>
      </c>
      <c r="C1623" t="s">
        <v>11145</v>
      </c>
      <c r="E1623" t="s">
        <v>1062</v>
      </c>
      <c r="F1623" t="s">
        <v>11146</v>
      </c>
      <c r="I1623" t="s">
        <v>11147</v>
      </c>
      <c r="J1623" t="s">
        <v>11148</v>
      </c>
      <c r="K1623" t="s">
        <v>11149</v>
      </c>
      <c r="L1623">
        <v>1234</v>
      </c>
      <c r="M1623" t="s">
        <v>645</v>
      </c>
      <c r="N1623" t="s">
        <v>369</v>
      </c>
      <c r="O1623" t="s">
        <v>9121</v>
      </c>
      <c r="P1623">
        <v>3834</v>
      </c>
    </row>
    <row r="1624" spans="1:16" x14ac:dyDescent="0.3">
      <c r="A1624" t="s">
        <v>11150</v>
      </c>
      <c r="B1624" t="s">
        <v>426</v>
      </c>
      <c r="C1624" t="s">
        <v>11151</v>
      </c>
      <c r="D1624" t="s">
        <v>5325</v>
      </c>
      <c r="E1624" t="s">
        <v>1276</v>
      </c>
      <c r="F1624" t="s">
        <v>11152</v>
      </c>
      <c r="G1624">
        <v>15.1763895966566</v>
      </c>
      <c r="H1624">
        <v>120.521210432052</v>
      </c>
      <c r="I1624" t="s">
        <v>11153</v>
      </c>
      <c r="J1624" t="s">
        <v>11154</v>
      </c>
      <c r="K1624" t="s">
        <v>11155</v>
      </c>
      <c r="L1624">
        <v>1234</v>
      </c>
      <c r="M1624" t="s">
        <v>645</v>
      </c>
      <c r="N1624" t="s">
        <v>398</v>
      </c>
      <c r="O1624" t="s">
        <v>582</v>
      </c>
      <c r="P1624">
        <v>3838</v>
      </c>
    </row>
    <row r="1625" spans="1:16" x14ac:dyDescent="0.3">
      <c r="A1625" t="s">
        <v>11156</v>
      </c>
      <c r="B1625" t="s">
        <v>11157</v>
      </c>
      <c r="C1625" t="s">
        <v>10910</v>
      </c>
      <c r="E1625" t="s">
        <v>342</v>
      </c>
      <c r="F1625" t="s">
        <v>11158</v>
      </c>
      <c r="I1625" t="s">
        <v>11159</v>
      </c>
      <c r="J1625" t="s">
        <v>11160</v>
      </c>
      <c r="K1625" t="s">
        <v>11161</v>
      </c>
      <c r="L1625">
        <v>1234</v>
      </c>
      <c r="M1625" t="s">
        <v>645</v>
      </c>
      <c r="N1625" t="s">
        <v>369</v>
      </c>
      <c r="O1625" t="s">
        <v>370</v>
      </c>
      <c r="P1625">
        <v>3780</v>
      </c>
    </row>
    <row r="1626" spans="1:16" x14ac:dyDescent="0.3">
      <c r="A1626" t="s">
        <v>11162</v>
      </c>
      <c r="B1626" t="s">
        <v>88</v>
      </c>
      <c r="C1626" t="s">
        <v>7312</v>
      </c>
      <c r="D1626" t="s">
        <v>11163</v>
      </c>
      <c r="E1626" t="s">
        <v>1276</v>
      </c>
      <c r="F1626" t="s">
        <v>11164</v>
      </c>
      <c r="G1626">
        <v>15.1657654462729</v>
      </c>
      <c r="H1626">
        <v>120.577858686447</v>
      </c>
      <c r="I1626" t="s">
        <v>11165</v>
      </c>
      <c r="J1626">
        <v>9270841934</v>
      </c>
      <c r="K1626" t="s">
        <v>11166</v>
      </c>
      <c r="L1626">
        <v>1234</v>
      </c>
      <c r="M1626" t="s">
        <v>645</v>
      </c>
      <c r="N1626" t="s">
        <v>398</v>
      </c>
      <c r="O1626" t="s">
        <v>685</v>
      </c>
      <c r="P1626">
        <v>3793</v>
      </c>
    </row>
    <row r="1627" spans="1:16" x14ac:dyDescent="0.3">
      <c r="A1627" t="s">
        <v>11167</v>
      </c>
      <c r="B1627" t="s">
        <v>11114</v>
      </c>
      <c r="C1627" t="s">
        <v>11115</v>
      </c>
      <c r="D1627" t="s">
        <v>4427</v>
      </c>
      <c r="E1627" t="s">
        <v>3723</v>
      </c>
      <c r="F1627" t="s">
        <v>11168</v>
      </c>
      <c r="I1627" t="s">
        <v>11169</v>
      </c>
      <c r="J1627">
        <v>9499940194</v>
      </c>
      <c r="K1627" t="s">
        <v>11170</v>
      </c>
      <c r="L1627" t="s">
        <v>11171</v>
      </c>
      <c r="M1627" t="s">
        <v>645</v>
      </c>
      <c r="N1627" t="s">
        <v>336</v>
      </c>
      <c r="O1627" t="s">
        <v>441</v>
      </c>
      <c r="P1627">
        <v>3836</v>
      </c>
    </row>
    <row r="1628" spans="1:16" x14ac:dyDescent="0.3">
      <c r="A1628" t="s">
        <v>11172</v>
      </c>
      <c r="B1628" t="s">
        <v>6067</v>
      </c>
      <c r="C1628" t="s">
        <v>11173</v>
      </c>
      <c r="D1628" t="s">
        <v>11174</v>
      </c>
      <c r="E1628" t="s">
        <v>1276</v>
      </c>
      <c r="F1628" t="s">
        <v>11175</v>
      </c>
      <c r="I1628" t="s">
        <v>11176</v>
      </c>
      <c r="K1628" t="s">
        <v>11177</v>
      </c>
      <c r="L1628">
        <v>1234</v>
      </c>
      <c r="M1628" t="s">
        <v>645</v>
      </c>
      <c r="N1628" t="s">
        <v>398</v>
      </c>
      <c r="O1628" t="s">
        <v>685</v>
      </c>
      <c r="P1628">
        <v>3865</v>
      </c>
    </row>
    <row r="1629" spans="1:16" x14ac:dyDescent="0.3">
      <c r="A1629" t="s">
        <v>11178</v>
      </c>
      <c r="B1629" t="s">
        <v>11179</v>
      </c>
      <c r="C1629" t="s">
        <v>11180</v>
      </c>
      <c r="D1629" t="s">
        <v>11181</v>
      </c>
      <c r="E1629" t="s">
        <v>1985</v>
      </c>
      <c r="F1629" t="s">
        <v>11182</v>
      </c>
      <c r="I1629" t="s">
        <v>11183</v>
      </c>
      <c r="J1629">
        <v>9166924041</v>
      </c>
      <c r="K1629" t="s">
        <v>11184</v>
      </c>
      <c r="L1629">
        <v>1234</v>
      </c>
      <c r="M1629" t="s">
        <v>645</v>
      </c>
      <c r="N1629" t="s">
        <v>398</v>
      </c>
      <c r="O1629" t="s">
        <v>582</v>
      </c>
      <c r="P1629">
        <v>3839</v>
      </c>
    </row>
    <row r="1630" spans="1:16" x14ac:dyDescent="0.3">
      <c r="A1630" t="s">
        <v>11185</v>
      </c>
      <c r="B1630" t="s">
        <v>341</v>
      </c>
      <c r="C1630" t="s">
        <v>10988</v>
      </c>
      <c r="D1630" t="s">
        <v>4756</v>
      </c>
      <c r="E1630" t="s">
        <v>3153</v>
      </c>
      <c r="F1630" t="s">
        <v>11186</v>
      </c>
      <c r="I1630" t="s">
        <v>11187</v>
      </c>
      <c r="J1630">
        <v>9989972920</v>
      </c>
      <c r="K1630" t="s">
        <v>11188</v>
      </c>
      <c r="L1630" t="s">
        <v>11189</v>
      </c>
      <c r="M1630" t="s">
        <v>645</v>
      </c>
      <c r="N1630" t="s">
        <v>369</v>
      </c>
      <c r="O1630" t="s">
        <v>370</v>
      </c>
      <c r="P1630">
        <v>3850</v>
      </c>
    </row>
    <row r="1631" spans="1:16" x14ac:dyDescent="0.3">
      <c r="A1631" t="s">
        <v>11190</v>
      </c>
      <c r="B1631" t="s">
        <v>922</v>
      </c>
      <c r="C1631" t="s">
        <v>3228</v>
      </c>
      <c r="D1631" t="s">
        <v>1817</v>
      </c>
      <c r="E1631" t="s">
        <v>1276</v>
      </c>
      <c r="F1631" t="s">
        <v>11191</v>
      </c>
      <c r="I1631" t="s">
        <v>11192</v>
      </c>
      <c r="J1631">
        <v>9999968894</v>
      </c>
      <c r="K1631" t="s">
        <v>11193</v>
      </c>
      <c r="L1631">
        <v>1234</v>
      </c>
      <c r="M1631" t="s">
        <v>645</v>
      </c>
      <c r="N1631" t="s">
        <v>398</v>
      </c>
      <c r="O1631" t="s">
        <v>685</v>
      </c>
      <c r="P1631">
        <v>3828</v>
      </c>
    </row>
    <row r="1632" spans="1:16" x14ac:dyDescent="0.3">
      <c r="A1632" t="s">
        <v>11194</v>
      </c>
      <c r="B1632" t="s">
        <v>11195</v>
      </c>
      <c r="C1632" t="s">
        <v>11196</v>
      </c>
      <c r="D1632" t="s">
        <v>11197</v>
      </c>
      <c r="E1632" t="s">
        <v>11198</v>
      </c>
      <c r="F1632" t="s">
        <v>11199</v>
      </c>
      <c r="G1632" t="s">
        <v>11200</v>
      </c>
      <c r="H1632" t="s">
        <v>11201</v>
      </c>
      <c r="I1632" t="s">
        <v>11202</v>
      </c>
      <c r="J1632" t="s">
        <v>11203</v>
      </c>
      <c r="K1632" t="s">
        <v>11204</v>
      </c>
      <c r="L1632">
        <v>1234</v>
      </c>
      <c r="M1632" t="s">
        <v>645</v>
      </c>
      <c r="N1632" t="s">
        <v>11205</v>
      </c>
      <c r="O1632" t="s">
        <v>582</v>
      </c>
      <c r="P1632">
        <v>3685</v>
      </c>
    </row>
    <row r="1633" spans="1:17" x14ac:dyDescent="0.3">
      <c r="A1633" t="s">
        <v>11206</v>
      </c>
      <c r="B1633" t="s">
        <v>11207</v>
      </c>
      <c r="C1633" t="s">
        <v>11208</v>
      </c>
      <c r="D1633" t="s">
        <v>11209</v>
      </c>
      <c r="E1633" t="s">
        <v>11210</v>
      </c>
      <c r="F1633" t="s">
        <v>11211</v>
      </c>
      <c r="G1633">
        <v>0</v>
      </c>
      <c r="H1633">
        <v>0</v>
      </c>
      <c r="I1633" t="s">
        <v>11212</v>
      </c>
      <c r="J1633">
        <v>9950379218</v>
      </c>
      <c r="K1633" t="s">
        <v>11213</v>
      </c>
      <c r="L1633">
        <v>1234</v>
      </c>
      <c r="M1633" t="s">
        <v>645</v>
      </c>
      <c r="N1633" t="s">
        <v>336</v>
      </c>
      <c r="O1633" t="s">
        <v>483</v>
      </c>
      <c r="P1633">
        <v>3860</v>
      </c>
    </row>
    <row r="1634" spans="1:17" x14ac:dyDescent="0.3">
      <c r="A1634" t="s">
        <v>11214</v>
      </c>
      <c r="B1634" t="s">
        <v>11215</v>
      </c>
      <c r="C1634" t="s">
        <v>11216</v>
      </c>
      <c r="D1634" t="s">
        <v>11217</v>
      </c>
      <c r="E1634" t="s">
        <v>859</v>
      </c>
      <c r="F1634" t="s">
        <v>11218</v>
      </c>
      <c r="I1634" t="s">
        <v>11219</v>
      </c>
      <c r="J1634">
        <v>9670142702</v>
      </c>
      <c r="K1634" t="s">
        <v>11220</v>
      </c>
      <c r="L1634">
        <v>1234</v>
      </c>
      <c r="M1634" t="s">
        <v>645</v>
      </c>
      <c r="N1634" t="s">
        <v>336</v>
      </c>
      <c r="O1634" t="s">
        <v>441</v>
      </c>
      <c r="P1634">
        <v>3817</v>
      </c>
    </row>
    <row r="1635" spans="1:17" x14ac:dyDescent="0.3">
      <c r="A1635" t="s">
        <v>7514</v>
      </c>
      <c r="B1635" t="s">
        <v>974</v>
      </c>
      <c r="C1635" t="s">
        <v>10543</v>
      </c>
      <c r="D1635" t="s">
        <v>2682</v>
      </c>
      <c r="E1635" t="s">
        <v>7518</v>
      </c>
      <c r="F1635" t="s">
        <v>11221</v>
      </c>
      <c r="G1635">
        <v>0</v>
      </c>
      <c r="H1635">
        <v>0</v>
      </c>
      <c r="I1635" t="s">
        <v>11222</v>
      </c>
      <c r="J1635">
        <v>9068178566</v>
      </c>
      <c r="K1635" t="s">
        <v>11223</v>
      </c>
      <c r="L1635">
        <v>1234</v>
      </c>
      <c r="M1635" t="s">
        <v>645</v>
      </c>
      <c r="N1635" t="s">
        <v>398</v>
      </c>
      <c r="O1635" t="s">
        <v>685</v>
      </c>
      <c r="P1635">
        <v>3742</v>
      </c>
    </row>
    <row r="1636" spans="1:17" x14ac:dyDescent="0.3">
      <c r="A1636" t="s">
        <v>11224</v>
      </c>
      <c r="B1636" t="s">
        <v>9531</v>
      </c>
      <c r="C1636" t="s">
        <v>4127</v>
      </c>
      <c r="D1636" t="s">
        <v>4427</v>
      </c>
      <c r="E1636" t="s">
        <v>9622</v>
      </c>
      <c r="F1636" t="s">
        <v>11225</v>
      </c>
      <c r="G1636">
        <v>0</v>
      </c>
      <c r="H1636">
        <v>0</v>
      </c>
      <c r="I1636" t="s">
        <v>11226</v>
      </c>
      <c r="J1636">
        <v>9298571976</v>
      </c>
      <c r="K1636" t="s">
        <v>11227</v>
      </c>
      <c r="L1636" t="s">
        <v>11228</v>
      </c>
      <c r="M1636" t="s">
        <v>645</v>
      </c>
      <c r="N1636" t="s">
        <v>336</v>
      </c>
      <c r="O1636" t="s">
        <v>515</v>
      </c>
      <c r="P1636">
        <v>3859</v>
      </c>
    </row>
    <row r="1637" spans="1:17" x14ac:dyDescent="0.3">
      <c r="A1637" t="s">
        <v>11229</v>
      </c>
      <c r="B1637" t="s">
        <v>3335</v>
      </c>
      <c r="C1637" t="s">
        <v>11230</v>
      </c>
      <c r="D1637" t="s">
        <v>756</v>
      </c>
      <c r="E1637" t="s">
        <v>11231</v>
      </c>
      <c r="F1637" t="s">
        <v>11232</v>
      </c>
      <c r="I1637" t="s">
        <v>11233</v>
      </c>
      <c r="J1637">
        <v>9380517271</v>
      </c>
      <c r="K1637" t="s">
        <v>11234</v>
      </c>
      <c r="L1637">
        <v>1234</v>
      </c>
      <c r="M1637" t="s">
        <v>645</v>
      </c>
      <c r="N1637" t="s">
        <v>369</v>
      </c>
      <c r="O1637" t="s">
        <v>370</v>
      </c>
      <c r="P1637">
        <v>3829</v>
      </c>
    </row>
    <row r="1638" spans="1:17" x14ac:dyDescent="0.3">
      <c r="A1638" t="s">
        <v>11235</v>
      </c>
      <c r="B1638" t="s">
        <v>11236</v>
      </c>
      <c r="C1638" t="s">
        <v>11237</v>
      </c>
      <c r="D1638" t="s">
        <v>756</v>
      </c>
      <c r="E1638" t="s">
        <v>329</v>
      </c>
      <c r="F1638" t="s">
        <v>11238</v>
      </c>
      <c r="I1638" t="s">
        <v>11239</v>
      </c>
      <c r="J1638">
        <v>9209221039</v>
      </c>
      <c r="K1638" t="s">
        <v>11240</v>
      </c>
      <c r="L1638">
        <v>1234</v>
      </c>
      <c r="M1638" t="s">
        <v>645</v>
      </c>
      <c r="N1638" t="s">
        <v>398</v>
      </c>
      <c r="O1638" t="s">
        <v>853</v>
      </c>
      <c r="P1638">
        <v>3896</v>
      </c>
    </row>
    <row r="1639" spans="1:17" x14ac:dyDescent="0.3">
      <c r="A1639" t="s">
        <v>11241</v>
      </c>
      <c r="B1639" t="s">
        <v>11242</v>
      </c>
      <c r="C1639" t="s">
        <v>2920</v>
      </c>
      <c r="D1639" t="s">
        <v>3095</v>
      </c>
      <c r="E1639" t="s">
        <v>4804</v>
      </c>
      <c r="F1639" t="s">
        <v>11243</v>
      </c>
      <c r="G1639">
        <v>0</v>
      </c>
      <c r="H1639">
        <v>0</v>
      </c>
      <c r="I1639" t="s">
        <v>11244</v>
      </c>
      <c r="J1639">
        <v>9194773860</v>
      </c>
      <c r="K1639" t="s">
        <v>11245</v>
      </c>
      <c r="L1639">
        <v>1234</v>
      </c>
      <c r="M1639" t="s">
        <v>645</v>
      </c>
      <c r="N1639" t="s">
        <v>369</v>
      </c>
      <c r="O1639" t="s">
        <v>1388</v>
      </c>
      <c r="P1639">
        <v>3872</v>
      </c>
      <c r="Q1639" t="s">
        <v>11246</v>
      </c>
    </row>
    <row r="1640" spans="1:17" x14ac:dyDescent="0.3">
      <c r="A1640" t="s">
        <v>11247</v>
      </c>
      <c r="B1640" t="s">
        <v>11248</v>
      </c>
      <c r="C1640" t="s">
        <v>11249</v>
      </c>
      <c r="D1640" t="s">
        <v>5095</v>
      </c>
      <c r="E1640" t="s">
        <v>1276</v>
      </c>
      <c r="F1640" t="s">
        <v>11250</v>
      </c>
      <c r="J1640">
        <v>9266189399</v>
      </c>
      <c r="K1640" t="s">
        <v>11251</v>
      </c>
      <c r="L1640" t="s">
        <v>11252</v>
      </c>
      <c r="M1640" t="s">
        <v>645</v>
      </c>
      <c r="N1640" t="s">
        <v>336</v>
      </c>
      <c r="O1640" t="s">
        <v>441</v>
      </c>
      <c r="P1640">
        <v>3866</v>
      </c>
    </row>
    <row r="1641" spans="1:17" x14ac:dyDescent="0.3">
      <c r="A1641" t="s">
        <v>11253</v>
      </c>
      <c r="B1641" t="s">
        <v>11254</v>
      </c>
      <c r="C1641" t="s">
        <v>11255</v>
      </c>
      <c r="D1641" t="s">
        <v>11256</v>
      </c>
      <c r="E1641" t="s">
        <v>3153</v>
      </c>
      <c r="F1641" t="s">
        <v>11257</v>
      </c>
      <c r="G1641">
        <v>0</v>
      </c>
      <c r="H1641">
        <v>0</v>
      </c>
      <c r="I1641" t="s">
        <v>11258</v>
      </c>
      <c r="J1641">
        <v>9171651085</v>
      </c>
      <c r="K1641" t="s">
        <v>11259</v>
      </c>
      <c r="L1641">
        <v>1234</v>
      </c>
      <c r="M1641" t="s">
        <v>645</v>
      </c>
      <c r="N1641" t="s">
        <v>871</v>
      </c>
      <c r="O1641" t="s">
        <v>458</v>
      </c>
      <c r="P1641">
        <v>3873</v>
      </c>
    </row>
    <row r="1642" spans="1:17" x14ac:dyDescent="0.3">
      <c r="A1642" t="s">
        <v>11260</v>
      </c>
      <c r="B1642" t="s">
        <v>5890</v>
      </c>
      <c r="C1642" t="s">
        <v>10361</v>
      </c>
      <c r="D1642" t="s">
        <v>4629</v>
      </c>
      <c r="E1642" t="s">
        <v>3723</v>
      </c>
      <c r="F1642" t="s">
        <v>11261</v>
      </c>
      <c r="I1642" t="s">
        <v>11262</v>
      </c>
      <c r="J1642">
        <v>9694906562</v>
      </c>
      <c r="K1642" t="s">
        <v>11263</v>
      </c>
      <c r="L1642">
        <v>1234</v>
      </c>
      <c r="M1642" t="s">
        <v>645</v>
      </c>
      <c r="N1642" t="s">
        <v>16</v>
      </c>
      <c r="O1642" t="s">
        <v>421</v>
      </c>
      <c r="P1642">
        <v>3855</v>
      </c>
    </row>
    <row r="1643" spans="1:17" x14ac:dyDescent="0.3">
      <c r="A1643" t="s">
        <v>11264</v>
      </c>
      <c r="B1643" t="s">
        <v>11265</v>
      </c>
      <c r="C1643" t="s">
        <v>11266</v>
      </c>
      <c r="D1643" t="s">
        <v>177</v>
      </c>
      <c r="E1643" t="s">
        <v>3932</v>
      </c>
      <c r="F1643" t="s">
        <v>11267</v>
      </c>
      <c r="I1643" t="s">
        <v>11268</v>
      </c>
      <c r="K1643" t="s">
        <v>11269</v>
      </c>
      <c r="L1643">
        <v>1234</v>
      </c>
      <c r="M1643" t="s">
        <v>645</v>
      </c>
      <c r="N1643" t="s">
        <v>336</v>
      </c>
      <c r="O1643" t="s">
        <v>515</v>
      </c>
      <c r="P1643">
        <v>3861</v>
      </c>
    </row>
    <row r="1644" spans="1:17" x14ac:dyDescent="0.3">
      <c r="A1644" t="s">
        <v>11270</v>
      </c>
      <c r="B1644" t="s">
        <v>792</v>
      </c>
      <c r="C1644" t="s">
        <v>11271</v>
      </c>
      <c r="D1644" t="s">
        <v>2561</v>
      </c>
      <c r="E1644" t="s">
        <v>1276</v>
      </c>
      <c r="F1644" t="s">
        <v>11272</v>
      </c>
      <c r="I1644" t="s">
        <v>11273</v>
      </c>
      <c r="K1644" t="s">
        <v>11274</v>
      </c>
      <c r="L1644">
        <v>1234</v>
      </c>
      <c r="M1644" t="s">
        <v>645</v>
      </c>
      <c r="N1644" t="s">
        <v>398</v>
      </c>
      <c r="O1644" t="s">
        <v>582</v>
      </c>
      <c r="P1644">
        <v>3855</v>
      </c>
    </row>
    <row r="1645" spans="1:17" x14ac:dyDescent="0.3">
      <c r="A1645" t="s">
        <v>11275</v>
      </c>
      <c r="B1645" t="s">
        <v>11276</v>
      </c>
      <c r="C1645" t="s">
        <v>1853</v>
      </c>
      <c r="D1645" t="s">
        <v>476</v>
      </c>
      <c r="E1645" t="s">
        <v>8503</v>
      </c>
      <c r="F1645" t="s">
        <v>11277</v>
      </c>
      <c r="G1645">
        <v>0</v>
      </c>
      <c r="H1645">
        <v>0</v>
      </c>
      <c r="I1645" t="s">
        <v>11278</v>
      </c>
      <c r="J1645">
        <v>9182766610</v>
      </c>
      <c r="K1645" t="s">
        <v>11279</v>
      </c>
      <c r="L1645" t="s">
        <v>11280</v>
      </c>
      <c r="M1645" t="s">
        <v>645</v>
      </c>
      <c r="N1645" t="s">
        <v>710</v>
      </c>
      <c r="O1645" t="s">
        <v>789</v>
      </c>
      <c r="P1645">
        <v>3851</v>
      </c>
    </row>
    <row r="1646" spans="1:17" x14ac:dyDescent="0.3">
      <c r="A1646" t="s">
        <v>11281</v>
      </c>
      <c r="B1646" t="s">
        <v>11282</v>
      </c>
      <c r="C1646" t="s">
        <v>5625</v>
      </c>
      <c r="D1646" t="s">
        <v>1709</v>
      </c>
      <c r="E1646" t="s">
        <v>1996</v>
      </c>
      <c r="F1646" t="s">
        <v>11283</v>
      </c>
      <c r="G1646">
        <v>0</v>
      </c>
      <c r="H1646">
        <v>0</v>
      </c>
      <c r="I1646" t="s">
        <v>11284</v>
      </c>
      <c r="J1646">
        <v>45</v>
      </c>
      <c r="K1646" t="s">
        <v>11285</v>
      </c>
      <c r="L1646">
        <v>1234</v>
      </c>
      <c r="M1646" t="s">
        <v>645</v>
      </c>
      <c r="N1646" t="s">
        <v>398</v>
      </c>
      <c r="O1646" t="s">
        <v>582</v>
      </c>
      <c r="P1646">
        <v>3832</v>
      </c>
    </row>
    <row r="1647" spans="1:17" x14ac:dyDescent="0.3">
      <c r="A1647" t="s">
        <v>11286</v>
      </c>
      <c r="B1647" t="s">
        <v>5931</v>
      </c>
      <c r="C1647" t="s">
        <v>4261</v>
      </c>
      <c r="D1647" t="s">
        <v>11287</v>
      </c>
      <c r="E1647" t="s">
        <v>1276</v>
      </c>
      <c r="F1647" t="s">
        <v>11288</v>
      </c>
      <c r="I1647" t="s">
        <v>11289</v>
      </c>
      <c r="J1647">
        <v>9558450473</v>
      </c>
      <c r="K1647" t="s">
        <v>11290</v>
      </c>
      <c r="L1647">
        <v>1234</v>
      </c>
      <c r="M1647" t="s">
        <v>645</v>
      </c>
      <c r="N1647" t="s">
        <v>398</v>
      </c>
      <c r="O1647" t="s">
        <v>685</v>
      </c>
      <c r="P1647">
        <v>3913</v>
      </c>
    </row>
    <row r="1648" spans="1:17" x14ac:dyDescent="0.3">
      <c r="A1648" t="s">
        <v>11291</v>
      </c>
      <c r="B1648" t="s">
        <v>5793</v>
      </c>
      <c r="C1648" t="s">
        <v>11292</v>
      </c>
      <c r="D1648" t="s">
        <v>11293</v>
      </c>
      <c r="E1648" t="s">
        <v>1276</v>
      </c>
      <c r="F1648" t="s">
        <v>11294</v>
      </c>
      <c r="G1648">
        <v>0</v>
      </c>
      <c r="H1648">
        <v>0</v>
      </c>
      <c r="I1648" t="s">
        <v>11295</v>
      </c>
      <c r="J1648">
        <v>9178612699</v>
      </c>
      <c r="K1648" t="s">
        <v>11296</v>
      </c>
      <c r="L1648">
        <v>91411</v>
      </c>
      <c r="M1648" t="s">
        <v>645</v>
      </c>
      <c r="N1648" t="s">
        <v>336</v>
      </c>
      <c r="O1648" t="s">
        <v>441</v>
      </c>
      <c r="P1648">
        <v>3852</v>
      </c>
    </row>
    <row r="1649" spans="1:17" x14ac:dyDescent="0.3">
      <c r="A1649" t="s">
        <v>11297</v>
      </c>
      <c r="B1649" t="s">
        <v>974</v>
      </c>
      <c r="C1649" t="s">
        <v>11298</v>
      </c>
      <c r="D1649" t="s">
        <v>4427</v>
      </c>
      <c r="E1649" t="s">
        <v>286</v>
      </c>
      <c r="F1649" t="s">
        <v>11299</v>
      </c>
      <c r="G1649">
        <v>0</v>
      </c>
      <c r="H1649">
        <v>0</v>
      </c>
      <c r="I1649" t="s">
        <v>11300</v>
      </c>
      <c r="J1649">
        <v>9468186400</v>
      </c>
      <c r="K1649" t="s">
        <v>11301</v>
      </c>
      <c r="L1649" t="s">
        <v>11302</v>
      </c>
      <c r="M1649" t="s">
        <v>645</v>
      </c>
      <c r="N1649" t="s">
        <v>398</v>
      </c>
      <c r="O1649" t="s">
        <v>685</v>
      </c>
      <c r="P1649">
        <v>3830</v>
      </c>
    </row>
    <row r="1650" spans="1:17" x14ac:dyDescent="0.3">
      <c r="A1650" t="s">
        <v>11303</v>
      </c>
      <c r="B1650" t="s">
        <v>9164</v>
      </c>
      <c r="C1650" t="s">
        <v>1641</v>
      </c>
      <c r="D1650" t="s">
        <v>1555</v>
      </c>
      <c r="E1650" t="s">
        <v>3723</v>
      </c>
      <c r="F1650" t="s">
        <v>11304</v>
      </c>
      <c r="I1650" t="s">
        <v>9166</v>
      </c>
      <c r="J1650">
        <v>9175761628</v>
      </c>
      <c r="K1650" t="s">
        <v>11305</v>
      </c>
      <c r="L1650">
        <v>1234</v>
      </c>
      <c r="M1650" t="s">
        <v>645</v>
      </c>
      <c r="N1650" t="s">
        <v>931</v>
      </c>
      <c r="P1650">
        <v>3558</v>
      </c>
    </row>
    <row r="1651" spans="1:17" x14ac:dyDescent="0.3">
      <c r="A1651" t="s">
        <v>11306</v>
      </c>
      <c r="B1651" t="s">
        <v>11307</v>
      </c>
      <c r="C1651" t="s">
        <v>11308</v>
      </c>
      <c r="D1651" t="s">
        <v>756</v>
      </c>
      <c r="E1651" t="s">
        <v>1276</v>
      </c>
      <c r="F1651" t="s">
        <v>11309</v>
      </c>
      <c r="G1651">
        <v>8.5830688473241795E-4</v>
      </c>
      <c r="H1651">
        <v>-6.866455078125E-3</v>
      </c>
      <c r="I1651" t="s">
        <v>11310</v>
      </c>
      <c r="J1651">
        <v>9270714333</v>
      </c>
      <c r="K1651" t="s">
        <v>11311</v>
      </c>
      <c r="L1651">
        <v>1234</v>
      </c>
      <c r="M1651" t="s">
        <v>645</v>
      </c>
      <c r="N1651" t="s">
        <v>398</v>
      </c>
      <c r="O1651" t="s">
        <v>582</v>
      </c>
      <c r="P1651">
        <v>3673</v>
      </c>
    </row>
    <row r="1652" spans="1:17" x14ac:dyDescent="0.3">
      <c r="A1652" t="s">
        <v>11312</v>
      </c>
      <c r="B1652" t="s">
        <v>2598</v>
      </c>
      <c r="C1652" t="s">
        <v>11313</v>
      </c>
      <c r="D1652" t="s">
        <v>1555</v>
      </c>
      <c r="E1652" t="s">
        <v>11314</v>
      </c>
      <c r="F1652" t="s">
        <v>11315</v>
      </c>
      <c r="I1652" t="s">
        <v>11316</v>
      </c>
      <c r="J1652">
        <v>9454678575</v>
      </c>
      <c r="K1652" t="s">
        <v>11317</v>
      </c>
      <c r="L1652">
        <v>1234</v>
      </c>
      <c r="M1652" t="s">
        <v>645</v>
      </c>
      <c r="N1652" t="s">
        <v>369</v>
      </c>
      <c r="O1652" t="s">
        <v>370</v>
      </c>
      <c r="P1652">
        <v>3854</v>
      </c>
    </row>
    <row r="1653" spans="1:17" x14ac:dyDescent="0.3">
      <c r="A1653" t="s">
        <v>11318</v>
      </c>
      <c r="B1653" t="s">
        <v>5648</v>
      </c>
      <c r="C1653" t="s">
        <v>5649</v>
      </c>
      <c r="D1653" t="s">
        <v>5650</v>
      </c>
      <c r="E1653" t="s">
        <v>1470</v>
      </c>
      <c r="F1653" t="s">
        <v>11319</v>
      </c>
      <c r="G1653">
        <v>0</v>
      </c>
      <c r="H1653">
        <v>0</v>
      </c>
      <c r="I1653" t="s">
        <v>5653</v>
      </c>
      <c r="J1653">
        <v>9661925170</v>
      </c>
      <c r="K1653" t="s">
        <v>11320</v>
      </c>
      <c r="L1653">
        <v>1234</v>
      </c>
      <c r="M1653" t="s">
        <v>645</v>
      </c>
      <c r="N1653" t="s">
        <v>336</v>
      </c>
      <c r="O1653" t="s">
        <v>515</v>
      </c>
      <c r="P1653">
        <v>3914</v>
      </c>
    </row>
    <row r="1654" spans="1:17" x14ac:dyDescent="0.3">
      <c r="A1654" t="s">
        <v>11321</v>
      </c>
      <c r="B1654" t="s">
        <v>11322</v>
      </c>
      <c r="C1654" t="s">
        <v>11323</v>
      </c>
      <c r="E1654" t="s">
        <v>11324</v>
      </c>
      <c r="F1654" t="s">
        <v>11325</v>
      </c>
      <c r="I1654" t="s">
        <v>11326</v>
      </c>
      <c r="J1654">
        <v>9178139287</v>
      </c>
      <c r="K1654" t="s">
        <v>11327</v>
      </c>
      <c r="L1654">
        <v>1234</v>
      </c>
      <c r="M1654" t="s">
        <v>645</v>
      </c>
      <c r="N1654" t="s">
        <v>336</v>
      </c>
      <c r="O1654" t="s">
        <v>515</v>
      </c>
      <c r="P1654">
        <v>3847</v>
      </c>
    </row>
    <row r="1655" spans="1:17" x14ac:dyDescent="0.3">
      <c r="A1655" t="s">
        <v>11328</v>
      </c>
      <c r="B1655" t="s">
        <v>11329</v>
      </c>
      <c r="C1655" t="s">
        <v>11330</v>
      </c>
      <c r="D1655" t="s">
        <v>2561</v>
      </c>
      <c r="E1655" t="s">
        <v>717</v>
      </c>
      <c r="F1655" t="s">
        <v>11331</v>
      </c>
      <c r="G1655">
        <v>0</v>
      </c>
      <c r="H1655">
        <v>0</v>
      </c>
      <c r="I1655" t="s">
        <v>11332</v>
      </c>
      <c r="J1655">
        <v>9072229764</v>
      </c>
      <c r="K1655" t="s">
        <v>11333</v>
      </c>
      <c r="L1655">
        <v>1234</v>
      </c>
      <c r="M1655" t="s">
        <v>645</v>
      </c>
      <c r="N1655" t="s">
        <v>398</v>
      </c>
      <c r="O1655" t="s">
        <v>582</v>
      </c>
      <c r="P1655">
        <v>3844</v>
      </c>
      <c r="Q1655" t="s">
        <v>11334</v>
      </c>
    </row>
    <row r="1656" spans="1:17" x14ac:dyDescent="0.3">
      <c r="A1656" t="s">
        <v>11335</v>
      </c>
      <c r="B1656" t="s">
        <v>11336</v>
      </c>
      <c r="C1656" t="s">
        <v>11337</v>
      </c>
      <c r="D1656" t="s">
        <v>2561</v>
      </c>
      <c r="E1656" t="s">
        <v>3723</v>
      </c>
      <c r="F1656" t="s">
        <v>11338</v>
      </c>
      <c r="G1656">
        <v>0</v>
      </c>
      <c r="H1656">
        <v>0</v>
      </c>
      <c r="I1656" t="s">
        <v>11339</v>
      </c>
      <c r="J1656">
        <v>9178888459</v>
      </c>
      <c r="K1656" t="s">
        <v>11340</v>
      </c>
      <c r="L1656" t="s">
        <v>10610</v>
      </c>
      <c r="M1656" t="s">
        <v>645</v>
      </c>
      <c r="N1656" t="s">
        <v>336</v>
      </c>
      <c r="O1656" t="s">
        <v>515</v>
      </c>
      <c r="P1656">
        <v>3707</v>
      </c>
    </row>
    <row r="1657" spans="1:17" x14ac:dyDescent="0.3">
      <c r="A1657" t="s">
        <v>11341</v>
      </c>
      <c r="B1657" t="s">
        <v>3458</v>
      </c>
      <c r="C1657" t="s">
        <v>11342</v>
      </c>
      <c r="D1657" t="s">
        <v>539</v>
      </c>
      <c r="E1657" t="s">
        <v>4033</v>
      </c>
      <c r="F1657" t="s">
        <v>11343</v>
      </c>
      <c r="I1657" t="s">
        <v>11344</v>
      </c>
      <c r="J1657" t="s">
        <v>11345</v>
      </c>
      <c r="K1657" t="s">
        <v>11346</v>
      </c>
      <c r="L1657">
        <v>1234</v>
      </c>
      <c r="M1657" t="s">
        <v>645</v>
      </c>
      <c r="N1657" t="s">
        <v>931</v>
      </c>
      <c r="P1657">
        <v>3867</v>
      </c>
    </row>
    <row r="1658" spans="1:17" x14ac:dyDescent="0.3">
      <c r="A1658" t="s">
        <v>11347</v>
      </c>
      <c r="B1658" t="s">
        <v>603</v>
      </c>
      <c r="C1658" t="s">
        <v>11348</v>
      </c>
      <c r="D1658" t="s">
        <v>3145</v>
      </c>
      <c r="E1658" t="s">
        <v>342</v>
      </c>
      <c r="F1658" t="s">
        <v>11349</v>
      </c>
      <c r="G1658">
        <v>0</v>
      </c>
      <c r="H1658">
        <v>0</v>
      </c>
      <c r="I1658" t="s">
        <v>11350</v>
      </c>
      <c r="J1658">
        <v>9684674875</v>
      </c>
      <c r="K1658" t="s">
        <v>11351</v>
      </c>
      <c r="L1658">
        <v>1234</v>
      </c>
      <c r="M1658" t="s">
        <v>645</v>
      </c>
      <c r="N1658" t="s">
        <v>336</v>
      </c>
      <c r="O1658" t="s">
        <v>441</v>
      </c>
      <c r="P1658">
        <v>3890</v>
      </c>
    </row>
    <row r="1659" spans="1:17" x14ac:dyDescent="0.3">
      <c r="A1659" t="s">
        <v>11352</v>
      </c>
      <c r="B1659" t="s">
        <v>1128</v>
      </c>
      <c r="C1659" t="s">
        <v>3964</v>
      </c>
      <c r="D1659" t="s">
        <v>11353</v>
      </c>
      <c r="E1659" t="s">
        <v>1276</v>
      </c>
      <c r="F1659" t="s">
        <v>11354</v>
      </c>
      <c r="I1659" t="s">
        <v>11355</v>
      </c>
      <c r="J1659">
        <v>9760016163</v>
      </c>
      <c r="K1659" t="s">
        <v>11356</v>
      </c>
      <c r="L1659">
        <v>1234</v>
      </c>
      <c r="M1659" t="s">
        <v>645</v>
      </c>
      <c r="N1659" t="s">
        <v>398</v>
      </c>
      <c r="O1659" t="s">
        <v>582</v>
      </c>
      <c r="P1659">
        <v>3845</v>
      </c>
    </row>
    <row r="1660" spans="1:17" x14ac:dyDescent="0.3">
      <c r="A1660" t="s">
        <v>11357</v>
      </c>
      <c r="B1660" t="s">
        <v>1120</v>
      </c>
      <c r="C1660" t="s">
        <v>11358</v>
      </c>
      <c r="D1660" t="s">
        <v>11359</v>
      </c>
      <c r="E1660" t="s">
        <v>262</v>
      </c>
      <c r="F1660" t="s">
        <v>11360</v>
      </c>
      <c r="G1660">
        <v>0</v>
      </c>
      <c r="H1660">
        <v>0</v>
      </c>
      <c r="I1660" t="s">
        <v>11361</v>
      </c>
      <c r="J1660">
        <v>9175689189</v>
      </c>
      <c r="K1660" t="s">
        <v>11362</v>
      </c>
      <c r="L1660">
        <v>1234</v>
      </c>
      <c r="M1660" t="s">
        <v>645</v>
      </c>
      <c r="N1660" t="s">
        <v>304</v>
      </c>
      <c r="O1660" t="s">
        <v>323</v>
      </c>
      <c r="P1660">
        <v>3848</v>
      </c>
    </row>
    <row r="1661" spans="1:17" x14ac:dyDescent="0.3">
      <c r="A1661" t="s">
        <v>11363</v>
      </c>
      <c r="B1661" t="s">
        <v>11364</v>
      </c>
      <c r="C1661" t="s">
        <v>11365</v>
      </c>
      <c r="D1661" t="s">
        <v>3275</v>
      </c>
      <c r="E1661" t="s">
        <v>8725</v>
      </c>
      <c r="F1661" t="s">
        <v>11366</v>
      </c>
      <c r="G1661">
        <v>0</v>
      </c>
      <c r="H1661">
        <v>0</v>
      </c>
      <c r="I1661" t="s">
        <v>11367</v>
      </c>
      <c r="J1661">
        <v>9171449428</v>
      </c>
      <c r="K1661" t="s">
        <v>11368</v>
      </c>
      <c r="L1661" t="s">
        <v>11369</v>
      </c>
      <c r="M1661" t="s">
        <v>645</v>
      </c>
      <c r="N1661" t="s">
        <v>336</v>
      </c>
      <c r="O1661" t="s">
        <v>515</v>
      </c>
      <c r="P1661">
        <v>3637</v>
      </c>
    </row>
    <row r="1662" spans="1:17" x14ac:dyDescent="0.3">
      <c r="A1662" t="s">
        <v>11370</v>
      </c>
      <c r="B1662" t="s">
        <v>11371</v>
      </c>
      <c r="C1662" t="s">
        <v>11372</v>
      </c>
      <c r="D1662" t="s">
        <v>1571</v>
      </c>
      <c r="E1662" t="s">
        <v>3723</v>
      </c>
      <c r="F1662" t="s">
        <v>11373</v>
      </c>
      <c r="G1662">
        <v>0</v>
      </c>
      <c r="H1662">
        <v>0</v>
      </c>
      <c r="I1662" t="s">
        <v>11374</v>
      </c>
      <c r="J1662">
        <v>9162556528</v>
      </c>
      <c r="K1662" t="s">
        <v>11375</v>
      </c>
      <c r="L1662">
        <v>1234</v>
      </c>
      <c r="M1662" t="s">
        <v>645</v>
      </c>
      <c r="N1662" t="s">
        <v>710</v>
      </c>
      <c r="O1662" t="s">
        <v>711</v>
      </c>
      <c r="P1662">
        <v>3940</v>
      </c>
    </row>
    <row r="1663" spans="1:17" x14ac:dyDescent="0.3">
      <c r="A1663" t="s">
        <v>11376</v>
      </c>
      <c r="B1663" t="s">
        <v>11377</v>
      </c>
      <c r="C1663" t="s">
        <v>5151</v>
      </c>
      <c r="D1663" t="s">
        <v>11378</v>
      </c>
      <c r="E1663" t="s">
        <v>11379</v>
      </c>
      <c r="F1663" t="s">
        <v>11380</v>
      </c>
      <c r="G1663">
        <v>0</v>
      </c>
      <c r="H1663">
        <v>0</v>
      </c>
      <c r="I1663" t="s">
        <v>11381</v>
      </c>
      <c r="J1663" t="s">
        <v>11382</v>
      </c>
      <c r="K1663" t="s">
        <v>11383</v>
      </c>
      <c r="L1663">
        <v>1234</v>
      </c>
      <c r="M1663" t="s">
        <v>645</v>
      </c>
      <c r="N1663" t="s">
        <v>336</v>
      </c>
      <c r="O1663" t="s">
        <v>515</v>
      </c>
      <c r="P1663">
        <v>866</v>
      </c>
    </row>
    <row r="1664" spans="1:17" x14ac:dyDescent="0.3">
      <c r="A1664" t="s">
        <v>11384</v>
      </c>
      <c r="B1664" t="s">
        <v>11385</v>
      </c>
      <c r="C1664" t="s">
        <v>11386</v>
      </c>
      <c r="D1664" t="s">
        <v>2561</v>
      </c>
      <c r="E1664" t="s">
        <v>3723</v>
      </c>
      <c r="F1664" t="s">
        <v>11387</v>
      </c>
      <c r="I1664" t="s">
        <v>11388</v>
      </c>
      <c r="J1664">
        <v>9278123341</v>
      </c>
      <c r="K1664" t="s">
        <v>11389</v>
      </c>
      <c r="L1664" t="s">
        <v>11390</v>
      </c>
      <c r="M1664" t="s">
        <v>645</v>
      </c>
      <c r="N1664" t="s">
        <v>336</v>
      </c>
      <c r="O1664" t="s">
        <v>515</v>
      </c>
      <c r="P1664">
        <v>3543</v>
      </c>
    </row>
    <row r="1665" spans="1:17" x14ac:dyDescent="0.3">
      <c r="A1665" t="s">
        <v>11391</v>
      </c>
      <c r="B1665" t="s">
        <v>6229</v>
      </c>
      <c r="C1665" t="s">
        <v>11392</v>
      </c>
      <c r="D1665" t="s">
        <v>5398</v>
      </c>
      <c r="E1665" t="s">
        <v>11393</v>
      </c>
      <c r="F1665" t="s">
        <v>11394</v>
      </c>
      <c r="G1665">
        <v>0</v>
      </c>
      <c r="H1665">
        <v>0</v>
      </c>
      <c r="I1665" t="s">
        <v>11395</v>
      </c>
      <c r="J1665" t="s">
        <v>11396</v>
      </c>
      <c r="K1665" t="s">
        <v>11397</v>
      </c>
      <c r="L1665" t="s">
        <v>11398</v>
      </c>
      <c r="M1665" t="s">
        <v>645</v>
      </c>
      <c r="N1665" t="s">
        <v>336</v>
      </c>
      <c r="O1665" t="s">
        <v>515</v>
      </c>
      <c r="P1665">
        <v>3720</v>
      </c>
      <c r="Q1665" t="s">
        <v>11399</v>
      </c>
    </row>
    <row r="1666" spans="1:17" x14ac:dyDescent="0.3">
      <c r="A1666" t="s">
        <v>11400</v>
      </c>
      <c r="B1666" t="s">
        <v>11401</v>
      </c>
      <c r="C1666" t="s">
        <v>11402</v>
      </c>
      <c r="D1666" t="s">
        <v>2682</v>
      </c>
      <c r="E1666" t="s">
        <v>1110</v>
      </c>
      <c r="F1666" t="s">
        <v>11403</v>
      </c>
      <c r="G1666">
        <v>0</v>
      </c>
      <c r="H1666">
        <v>0</v>
      </c>
      <c r="I1666" t="s">
        <v>11404</v>
      </c>
      <c r="J1666">
        <v>9215091203</v>
      </c>
      <c r="K1666" t="s">
        <v>11405</v>
      </c>
      <c r="L1666">
        <v>1234</v>
      </c>
      <c r="M1666" t="s">
        <v>645</v>
      </c>
      <c r="N1666" t="s">
        <v>710</v>
      </c>
      <c r="O1666" t="s">
        <v>555</v>
      </c>
      <c r="P1666">
        <v>3943</v>
      </c>
    </row>
    <row r="1667" spans="1:17" x14ac:dyDescent="0.3">
      <c r="A1667" t="s">
        <v>11406</v>
      </c>
      <c r="B1667" t="s">
        <v>11407</v>
      </c>
      <c r="C1667" t="s">
        <v>11408</v>
      </c>
      <c r="D1667" t="s">
        <v>1909</v>
      </c>
      <c r="E1667" t="s">
        <v>1284</v>
      </c>
      <c r="F1667" t="s">
        <v>11409</v>
      </c>
      <c r="I1667" t="s">
        <v>11410</v>
      </c>
      <c r="J1667">
        <v>9171485051</v>
      </c>
      <c r="K1667" t="s">
        <v>11411</v>
      </c>
      <c r="L1667">
        <v>1234</v>
      </c>
      <c r="M1667" t="s">
        <v>645</v>
      </c>
      <c r="N1667" t="s">
        <v>710</v>
      </c>
      <c r="O1667" t="s">
        <v>711</v>
      </c>
      <c r="P1667">
        <v>3864</v>
      </c>
    </row>
    <row r="1668" spans="1:17" x14ac:dyDescent="0.3">
      <c r="A1668" t="s">
        <v>11412</v>
      </c>
      <c r="B1668" t="s">
        <v>11413</v>
      </c>
      <c r="C1668" t="s">
        <v>11414</v>
      </c>
      <c r="D1668" t="s">
        <v>1219</v>
      </c>
      <c r="E1668" t="s">
        <v>3723</v>
      </c>
      <c r="F1668" t="s">
        <v>11415</v>
      </c>
      <c r="G1668">
        <v>15.177519999999999</v>
      </c>
      <c r="H1668">
        <v>120.5275</v>
      </c>
      <c r="I1668" t="s">
        <v>11416</v>
      </c>
      <c r="J1668">
        <v>9989504873</v>
      </c>
      <c r="K1668" t="s">
        <v>11417</v>
      </c>
      <c r="L1668" t="s">
        <v>11418</v>
      </c>
      <c r="M1668" t="s">
        <v>645</v>
      </c>
      <c r="N1668" t="s">
        <v>336</v>
      </c>
      <c r="O1668" t="s">
        <v>11419</v>
      </c>
      <c r="P1668">
        <v>3939</v>
      </c>
      <c r="Q1668" t="s">
        <v>11420</v>
      </c>
    </row>
    <row r="1669" spans="1:17" x14ac:dyDescent="0.3">
      <c r="A1669" t="s">
        <v>11421</v>
      </c>
      <c r="B1669" t="s">
        <v>2319</v>
      </c>
      <c r="C1669" t="s">
        <v>3478</v>
      </c>
      <c r="D1669" t="s">
        <v>177</v>
      </c>
      <c r="E1669" t="s">
        <v>3723</v>
      </c>
      <c r="F1669" t="s">
        <v>11422</v>
      </c>
      <c r="G1669">
        <v>0</v>
      </c>
      <c r="H1669">
        <v>0</v>
      </c>
      <c r="I1669" t="s">
        <v>11423</v>
      </c>
      <c r="J1669" t="s">
        <v>11424</v>
      </c>
      <c r="K1669" t="s">
        <v>11425</v>
      </c>
      <c r="L1669">
        <v>1234</v>
      </c>
      <c r="M1669" t="s">
        <v>645</v>
      </c>
      <c r="N1669" t="s">
        <v>398</v>
      </c>
      <c r="O1669" t="s">
        <v>853</v>
      </c>
      <c r="P1669">
        <v>3920</v>
      </c>
    </row>
    <row r="1670" spans="1:17" x14ac:dyDescent="0.3">
      <c r="A1670" t="s">
        <v>11426</v>
      </c>
      <c r="B1670" t="s">
        <v>586</v>
      </c>
      <c r="C1670" t="s">
        <v>11427</v>
      </c>
      <c r="D1670" t="s">
        <v>3095</v>
      </c>
      <c r="E1670" t="s">
        <v>11428</v>
      </c>
      <c r="F1670" t="s">
        <v>11429</v>
      </c>
      <c r="I1670" t="s">
        <v>11430</v>
      </c>
      <c r="K1670" t="s">
        <v>11431</v>
      </c>
      <c r="L1670">
        <v>1234</v>
      </c>
      <c r="M1670" t="s">
        <v>645</v>
      </c>
      <c r="N1670" t="s">
        <v>336</v>
      </c>
      <c r="O1670" t="s">
        <v>515</v>
      </c>
      <c r="P1670">
        <v>3916</v>
      </c>
    </row>
    <row r="1671" spans="1:17" x14ac:dyDescent="0.3">
      <c r="A1671" t="s">
        <v>11432</v>
      </c>
      <c r="B1671" t="s">
        <v>1059</v>
      </c>
      <c r="C1671" t="s">
        <v>11433</v>
      </c>
      <c r="D1671" t="s">
        <v>4867</v>
      </c>
      <c r="E1671" t="s">
        <v>1194</v>
      </c>
      <c r="F1671" t="s">
        <v>11434</v>
      </c>
      <c r="I1671" t="s">
        <v>11435</v>
      </c>
      <c r="J1671">
        <v>9456858357</v>
      </c>
      <c r="K1671" t="s">
        <v>11436</v>
      </c>
      <c r="L1671">
        <v>1215</v>
      </c>
      <c r="M1671" t="s">
        <v>645</v>
      </c>
      <c r="N1671" t="s">
        <v>11437</v>
      </c>
      <c r="O1671" t="s">
        <v>515</v>
      </c>
      <c r="P1671">
        <v>3922</v>
      </c>
    </row>
    <row r="1672" spans="1:17" x14ac:dyDescent="0.3">
      <c r="A1672" t="s">
        <v>11438</v>
      </c>
      <c r="B1672" t="s">
        <v>9615</v>
      </c>
      <c r="C1672" t="s">
        <v>11439</v>
      </c>
      <c r="D1672" t="s">
        <v>3095</v>
      </c>
      <c r="F1672" t="s">
        <v>11440</v>
      </c>
      <c r="I1672" t="s">
        <v>11441</v>
      </c>
      <c r="J1672" t="s">
        <v>11442</v>
      </c>
      <c r="K1672" t="s">
        <v>11443</v>
      </c>
      <c r="L1672">
        <v>1234</v>
      </c>
      <c r="M1672" t="s">
        <v>645</v>
      </c>
      <c r="N1672" t="s">
        <v>398</v>
      </c>
      <c r="O1672" t="s">
        <v>582</v>
      </c>
      <c r="P1672">
        <v>3891</v>
      </c>
      <c r="Q1672" t="s">
        <v>11444</v>
      </c>
    </row>
    <row r="1673" spans="1:17" x14ac:dyDescent="0.3">
      <c r="A1673" t="s">
        <v>11445</v>
      </c>
      <c r="B1673" t="s">
        <v>11446</v>
      </c>
      <c r="C1673" t="s">
        <v>5368</v>
      </c>
      <c r="D1673" t="s">
        <v>11447</v>
      </c>
      <c r="E1673" t="s">
        <v>11448</v>
      </c>
      <c r="F1673" t="s">
        <v>11449</v>
      </c>
      <c r="I1673" t="s">
        <v>11450</v>
      </c>
      <c r="J1673">
        <v>9999115414</v>
      </c>
      <c r="K1673" t="s">
        <v>11451</v>
      </c>
      <c r="L1673">
        <v>1234</v>
      </c>
      <c r="M1673" t="s">
        <v>645</v>
      </c>
      <c r="N1673" t="s">
        <v>398</v>
      </c>
      <c r="O1673" t="s">
        <v>853</v>
      </c>
      <c r="P1673">
        <v>3846</v>
      </c>
    </row>
    <row r="1674" spans="1:17" x14ac:dyDescent="0.3">
      <c r="A1674" t="s">
        <v>11445</v>
      </c>
      <c r="B1674" t="s">
        <v>11446</v>
      </c>
      <c r="C1674" t="s">
        <v>5368</v>
      </c>
      <c r="D1674" t="s">
        <v>11447</v>
      </c>
      <c r="E1674" t="s">
        <v>11448</v>
      </c>
      <c r="F1674" t="s">
        <v>11449</v>
      </c>
      <c r="I1674" t="s">
        <v>11450</v>
      </c>
      <c r="J1674">
        <v>9999115414</v>
      </c>
      <c r="K1674" t="s">
        <v>11451</v>
      </c>
      <c r="L1674">
        <v>1234</v>
      </c>
      <c r="M1674" t="s">
        <v>645</v>
      </c>
      <c r="N1674" t="s">
        <v>398</v>
      </c>
      <c r="O1674" t="s">
        <v>853</v>
      </c>
      <c r="P1674">
        <v>3846</v>
      </c>
    </row>
    <row r="1675" spans="1:17" x14ac:dyDescent="0.3">
      <c r="A1675" t="s">
        <v>11452</v>
      </c>
      <c r="B1675" t="s">
        <v>4660</v>
      </c>
      <c r="C1675" t="s">
        <v>11453</v>
      </c>
      <c r="E1675" t="s">
        <v>477</v>
      </c>
      <c r="F1675" t="s">
        <v>11454</v>
      </c>
      <c r="I1675" t="s">
        <v>11455</v>
      </c>
      <c r="J1675">
        <v>9307264363</v>
      </c>
      <c r="K1675" t="s">
        <v>11456</v>
      </c>
      <c r="L1675">
        <v>1234</v>
      </c>
      <c r="M1675" t="s">
        <v>645</v>
      </c>
      <c r="N1675" t="s">
        <v>398</v>
      </c>
      <c r="O1675" t="s">
        <v>582</v>
      </c>
      <c r="P1675">
        <v>3841</v>
      </c>
    </row>
    <row r="1676" spans="1:17" x14ac:dyDescent="0.3">
      <c r="A1676" t="s">
        <v>11457</v>
      </c>
      <c r="B1676" t="s">
        <v>6718</v>
      </c>
      <c r="C1676" t="s">
        <v>11458</v>
      </c>
      <c r="D1676" t="s">
        <v>2682</v>
      </c>
      <c r="E1676" t="s">
        <v>11459</v>
      </c>
      <c r="F1676" t="s">
        <v>11460</v>
      </c>
      <c r="I1676" t="s">
        <v>11461</v>
      </c>
      <c r="J1676">
        <v>9152434751</v>
      </c>
      <c r="K1676" t="s">
        <v>11462</v>
      </c>
      <c r="L1676">
        <v>1234</v>
      </c>
      <c r="M1676" t="s">
        <v>645</v>
      </c>
      <c r="N1676" t="s">
        <v>398</v>
      </c>
      <c r="O1676" t="s">
        <v>853</v>
      </c>
      <c r="P1676">
        <v>3960</v>
      </c>
    </row>
    <row r="1677" spans="1:17" x14ac:dyDescent="0.3">
      <c r="A1677" t="s">
        <v>11463</v>
      </c>
      <c r="B1677" t="s">
        <v>1689</v>
      </c>
      <c r="C1677" t="s">
        <v>11464</v>
      </c>
      <c r="D1677" t="s">
        <v>1571</v>
      </c>
      <c r="E1677" t="s">
        <v>2201</v>
      </c>
      <c r="F1677" t="s">
        <v>11465</v>
      </c>
      <c r="G1677">
        <v>0</v>
      </c>
      <c r="H1677">
        <v>0</v>
      </c>
      <c r="I1677" t="s">
        <v>11466</v>
      </c>
      <c r="J1677" t="s">
        <v>11467</v>
      </c>
      <c r="K1677" t="s">
        <v>11468</v>
      </c>
      <c r="L1677">
        <v>1234</v>
      </c>
      <c r="M1677" t="s">
        <v>645</v>
      </c>
      <c r="N1677" t="s">
        <v>398</v>
      </c>
      <c r="O1677" t="s">
        <v>582</v>
      </c>
      <c r="P1677">
        <v>3837</v>
      </c>
    </row>
    <row r="1678" spans="1:17" x14ac:dyDescent="0.3">
      <c r="A1678" t="s">
        <v>11469</v>
      </c>
      <c r="B1678" t="s">
        <v>11470</v>
      </c>
      <c r="C1678" t="s">
        <v>2166</v>
      </c>
      <c r="D1678" t="s">
        <v>3095</v>
      </c>
      <c r="E1678" t="s">
        <v>329</v>
      </c>
      <c r="F1678" t="s">
        <v>11471</v>
      </c>
      <c r="G1678">
        <v>0</v>
      </c>
      <c r="H1678">
        <v>0</v>
      </c>
      <c r="I1678" t="s">
        <v>11472</v>
      </c>
      <c r="J1678">
        <v>9514917847</v>
      </c>
      <c r="K1678" t="s">
        <v>11473</v>
      </c>
      <c r="L1678">
        <v>1234</v>
      </c>
      <c r="M1678" t="s">
        <v>645</v>
      </c>
      <c r="N1678" t="s">
        <v>398</v>
      </c>
      <c r="O1678" t="s">
        <v>853</v>
      </c>
      <c r="P1678">
        <v>3877</v>
      </c>
    </row>
    <row r="1679" spans="1:17" x14ac:dyDescent="0.3">
      <c r="A1679" t="s">
        <v>11474</v>
      </c>
      <c r="B1679" t="s">
        <v>11475</v>
      </c>
      <c r="C1679" t="s">
        <v>11476</v>
      </c>
      <c r="D1679" t="s">
        <v>3708</v>
      </c>
      <c r="E1679" t="s">
        <v>11477</v>
      </c>
      <c r="F1679" t="s">
        <v>11478</v>
      </c>
      <c r="I1679" t="s">
        <v>11479</v>
      </c>
      <c r="J1679">
        <v>9605844759</v>
      </c>
      <c r="K1679" t="s">
        <v>11480</v>
      </c>
      <c r="L1679">
        <v>1234</v>
      </c>
      <c r="M1679" t="s">
        <v>645</v>
      </c>
      <c r="N1679" t="s">
        <v>398</v>
      </c>
      <c r="O1679" t="s">
        <v>582</v>
      </c>
      <c r="P1679">
        <v>3862</v>
      </c>
    </row>
    <row r="1680" spans="1:17" x14ac:dyDescent="0.3">
      <c r="A1680" t="s">
        <v>11481</v>
      </c>
      <c r="B1680" t="s">
        <v>782</v>
      </c>
      <c r="C1680" t="s">
        <v>2920</v>
      </c>
      <c r="D1680" t="s">
        <v>1555</v>
      </c>
      <c r="E1680" t="s">
        <v>11482</v>
      </c>
      <c r="F1680" t="s">
        <v>11483</v>
      </c>
      <c r="I1680" t="s">
        <v>5556</v>
      </c>
      <c r="J1680" t="s">
        <v>11484</v>
      </c>
      <c r="K1680" t="s">
        <v>11485</v>
      </c>
      <c r="L1680">
        <v>1234</v>
      </c>
      <c r="M1680" t="s">
        <v>645</v>
      </c>
      <c r="N1680" t="s">
        <v>931</v>
      </c>
      <c r="P1680">
        <v>685</v>
      </c>
    </row>
    <row r="1681" spans="1:17" x14ac:dyDescent="0.3">
      <c r="A1681" t="s">
        <v>11486</v>
      </c>
      <c r="B1681" t="s">
        <v>11487</v>
      </c>
      <c r="C1681" t="s">
        <v>11488</v>
      </c>
      <c r="D1681" t="s">
        <v>1555</v>
      </c>
      <c r="E1681" t="s">
        <v>11489</v>
      </c>
      <c r="F1681" t="s">
        <v>11490</v>
      </c>
      <c r="G1681">
        <v>0</v>
      </c>
      <c r="H1681">
        <v>0</v>
      </c>
      <c r="I1681" t="s">
        <v>11491</v>
      </c>
      <c r="J1681">
        <v>9176515376</v>
      </c>
      <c r="K1681" t="s">
        <v>11492</v>
      </c>
      <c r="L1681" t="s">
        <v>11493</v>
      </c>
      <c r="M1681" t="s">
        <v>645</v>
      </c>
      <c r="N1681" t="s">
        <v>369</v>
      </c>
      <c r="O1681" t="s">
        <v>370</v>
      </c>
      <c r="P1681">
        <v>3875</v>
      </c>
    </row>
    <row r="1682" spans="1:17" x14ac:dyDescent="0.3">
      <c r="A1682" t="s">
        <v>11494</v>
      </c>
      <c r="B1682" t="s">
        <v>11495</v>
      </c>
      <c r="C1682" t="s">
        <v>4118</v>
      </c>
      <c r="D1682" t="s">
        <v>11496</v>
      </c>
      <c r="E1682" t="s">
        <v>11497</v>
      </c>
      <c r="F1682" t="s">
        <v>11498</v>
      </c>
      <c r="G1682">
        <v>0</v>
      </c>
      <c r="H1682">
        <v>0</v>
      </c>
      <c r="I1682" t="s">
        <v>11499</v>
      </c>
      <c r="J1682">
        <v>9175442327</v>
      </c>
      <c r="K1682" t="s">
        <v>11500</v>
      </c>
      <c r="L1682">
        <v>1234</v>
      </c>
      <c r="M1682" t="s">
        <v>645</v>
      </c>
      <c r="N1682" t="s">
        <v>871</v>
      </c>
      <c r="O1682" t="s">
        <v>1115</v>
      </c>
      <c r="P1682">
        <v>3947</v>
      </c>
    </row>
    <row r="1683" spans="1:17" x14ac:dyDescent="0.3">
      <c r="A1683" t="s">
        <v>11501</v>
      </c>
      <c r="B1683" t="s">
        <v>1028</v>
      </c>
      <c r="C1683" t="s">
        <v>4118</v>
      </c>
      <c r="D1683" t="s">
        <v>2561</v>
      </c>
      <c r="E1683" t="s">
        <v>1985</v>
      </c>
      <c r="F1683" t="s">
        <v>11502</v>
      </c>
      <c r="G1683">
        <v>-1.01923942565155E-4</v>
      </c>
      <c r="H1683">
        <v>-4.7743320465087798E-4</v>
      </c>
      <c r="I1683" t="s">
        <v>11503</v>
      </c>
      <c r="J1683">
        <v>9175212006</v>
      </c>
      <c r="K1683" t="s">
        <v>11504</v>
      </c>
      <c r="L1683">
        <v>1234</v>
      </c>
      <c r="M1683" t="s">
        <v>645</v>
      </c>
      <c r="N1683" t="s">
        <v>369</v>
      </c>
      <c r="O1683" t="s">
        <v>370</v>
      </c>
      <c r="P1683">
        <v>3917</v>
      </c>
    </row>
    <row r="1684" spans="1:17" x14ac:dyDescent="0.3">
      <c r="A1684" t="s">
        <v>11505</v>
      </c>
      <c r="B1684" t="s">
        <v>1391</v>
      </c>
      <c r="C1684" t="s">
        <v>11506</v>
      </c>
      <c r="D1684" t="s">
        <v>1180</v>
      </c>
      <c r="E1684" t="s">
        <v>1276</v>
      </c>
      <c r="F1684" t="s">
        <v>11507</v>
      </c>
      <c r="I1684" t="s">
        <v>11508</v>
      </c>
      <c r="J1684">
        <v>9690190820</v>
      </c>
      <c r="K1684" t="s">
        <v>11509</v>
      </c>
      <c r="L1684">
        <v>1234</v>
      </c>
      <c r="M1684" t="s">
        <v>645</v>
      </c>
      <c r="N1684" t="s">
        <v>398</v>
      </c>
      <c r="O1684" t="s">
        <v>685</v>
      </c>
      <c r="P1684">
        <v>3970</v>
      </c>
    </row>
    <row r="1685" spans="1:17" x14ac:dyDescent="0.3">
      <c r="A1685" t="s">
        <v>11510</v>
      </c>
      <c r="B1685" t="s">
        <v>6165</v>
      </c>
      <c r="C1685" t="s">
        <v>11511</v>
      </c>
      <c r="D1685" t="s">
        <v>5398</v>
      </c>
      <c r="E1685" t="s">
        <v>477</v>
      </c>
      <c r="F1685" t="s">
        <v>11512</v>
      </c>
      <c r="G1685">
        <v>0</v>
      </c>
      <c r="H1685">
        <v>0</v>
      </c>
      <c r="I1685" t="s">
        <v>11513</v>
      </c>
      <c r="J1685">
        <v>9338208434</v>
      </c>
      <c r="K1685" t="s">
        <v>11514</v>
      </c>
      <c r="L1685">
        <v>1234</v>
      </c>
      <c r="M1685" t="s">
        <v>645</v>
      </c>
      <c r="N1685" t="s">
        <v>398</v>
      </c>
      <c r="O1685" t="s">
        <v>853</v>
      </c>
      <c r="P1685">
        <v>2867</v>
      </c>
    </row>
    <row r="1686" spans="1:17" x14ac:dyDescent="0.3">
      <c r="A1686" t="s">
        <v>11515</v>
      </c>
      <c r="B1686" t="s">
        <v>7174</v>
      </c>
      <c r="C1686" t="s">
        <v>7175</v>
      </c>
      <c r="D1686" t="s">
        <v>5030</v>
      </c>
      <c r="E1686" t="s">
        <v>3723</v>
      </c>
      <c r="F1686" t="s">
        <v>11516</v>
      </c>
      <c r="I1686" t="s">
        <v>7178</v>
      </c>
      <c r="J1686">
        <v>9171293698</v>
      </c>
      <c r="K1686" t="s">
        <v>11517</v>
      </c>
      <c r="L1686">
        <v>1234</v>
      </c>
      <c r="M1686" t="s">
        <v>645</v>
      </c>
      <c r="N1686" t="s">
        <v>398</v>
      </c>
      <c r="O1686" t="s">
        <v>582</v>
      </c>
      <c r="P1686">
        <v>3948</v>
      </c>
    </row>
    <row r="1687" spans="1:17" x14ac:dyDescent="0.3">
      <c r="A1687" t="s">
        <v>11518</v>
      </c>
      <c r="B1687" t="s">
        <v>11519</v>
      </c>
      <c r="C1687" t="s">
        <v>10323</v>
      </c>
      <c r="D1687" t="s">
        <v>2561</v>
      </c>
      <c r="E1687" t="s">
        <v>2224</v>
      </c>
      <c r="F1687" t="s">
        <v>11520</v>
      </c>
      <c r="G1687">
        <v>0</v>
      </c>
      <c r="H1687">
        <v>0</v>
      </c>
      <c r="I1687" t="s">
        <v>11521</v>
      </c>
      <c r="J1687">
        <v>-639173198531</v>
      </c>
      <c r="K1687" t="s">
        <v>11522</v>
      </c>
      <c r="L1687">
        <v>1234</v>
      </c>
      <c r="M1687" t="s">
        <v>645</v>
      </c>
      <c r="N1687" t="s">
        <v>336</v>
      </c>
      <c r="O1687" t="s">
        <v>515</v>
      </c>
      <c r="P1687">
        <v>3954</v>
      </c>
    </row>
    <row r="1688" spans="1:17" x14ac:dyDescent="0.3">
      <c r="A1688" t="s">
        <v>11523</v>
      </c>
      <c r="B1688" t="s">
        <v>11524</v>
      </c>
      <c r="C1688" t="s">
        <v>11525</v>
      </c>
      <c r="D1688" t="s">
        <v>1555</v>
      </c>
      <c r="E1688" t="s">
        <v>3390</v>
      </c>
      <c r="F1688" t="s">
        <v>11526</v>
      </c>
      <c r="I1688" t="s">
        <v>11527</v>
      </c>
      <c r="J1688">
        <v>9173053149</v>
      </c>
      <c r="K1688" t="s">
        <v>11528</v>
      </c>
      <c r="L1688">
        <v>1234</v>
      </c>
      <c r="M1688" t="s">
        <v>645</v>
      </c>
      <c r="N1688" t="s">
        <v>398</v>
      </c>
      <c r="O1688" t="s">
        <v>2952</v>
      </c>
      <c r="P1688">
        <v>3935</v>
      </c>
    </row>
    <row r="1689" spans="1:17" x14ac:dyDescent="0.3">
      <c r="A1689" t="s">
        <v>11529</v>
      </c>
      <c r="B1689" t="s">
        <v>559</v>
      </c>
      <c r="C1689" t="s">
        <v>11530</v>
      </c>
      <c r="D1689" t="s">
        <v>3177</v>
      </c>
      <c r="E1689" t="s">
        <v>1276</v>
      </c>
      <c r="F1689" t="s">
        <v>11531</v>
      </c>
      <c r="I1689" t="s">
        <v>11532</v>
      </c>
      <c r="J1689">
        <v>9225607004</v>
      </c>
      <c r="K1689" t="s">
        <v>11533</v>
      </c>
      <c r="L1689">
        <v>1234</v>
      </c>
      <c r="M1689" t="s">
        <v>645</v>
      </c>
      <c r="N1689" t="s">
        <v>398</v>
      </c>
      <c r="O1689" t="s">
        <v>582</v>
      </c>
      <c r="P1689">
        <v>3986</v>
      </c>
    </row>
    <row r="1690" spans="1:17" x14ac:dyDescent="0.3">
      <c r="A1690" t="s">
        <v>11534</v>
      </c>
      <c r="B1690" t="s">
        <v>48</v>
      </c>
      <c r="C1690" t="s">
        <v>11535</v>
      </c>
      <c r="D1690" t="s">
        <v>4867</v>
      </c>
      <c r="E1690" t="s">
        <v>329</v>
      </c>
      <c r="F1690" t="s">
        <v>11536</v>
      </c>
      <c r="I1690" t="s">
        <v>11537</v>
      </c>
      <c r="J1690">
        <v>9555783195</v>
      </c>
      <c r="K1690" t="s">
        <v>11538</v>
      </c>
      <c r="L1690" t="s">
        <v>11539</v>
      </c>
      <c r="M1690" t="s">
        <v>645</v>
      </c>
      <c r="N1690" t="s">
        <v>336</v>
      </c>
      <c r="O1690" t="s">
        <v>515</v>
      </c>
      <c r="P1690">
        <v>3972</v>
      </c>
    </row>
    <row r="1691" spans="1:17" x14ac:dyDescent="0.3">
      <c r="A1691" t="s">
        <v>11540</v>
      </c>
      <c r="B1691" t="s">
        <v>11541</v>
      </c>
      <c r="C1691" t="s">
        <v>11542</v>
      </c>
      <c r="D1691" t="s">
        <v>11543</v>
      </c>
      <c r="E1691" t="s">
        <v>329</v>
      </c>
      <c r="F1691" t="s">
        <v>11544</v>
      </c>
      <c r="G1691">
        <v>0</v>
      </c>
      <c r="H1691">
        <v>0</v>
      </c>
      <c r="I1691" t="s">
        <v>11545</v>
      </c>
      <c r="J1691">
        <v>9175074656</v>
      </c>
      <c r="K1691" t="s">
        <v>11546</v>
      </c>
      <c r="L1691">
        <v>1234</v>
      </c>
      <c r="M1691" t="s">
        <v>645</v>
      </c>
      <c r="N1691" t="s">
        <v>336</v>
      </c>
      <c r="O1691" t="s">
        <v>515</v>
      </c>
      <c r="P1691">
        <v>3938</v>
      </c>
    </row>
    <row r="1692" spans="1:17" x14ac:dyDescent="0.3">
      <c r="A1692" t="s">
        <v>11547</v>
      </c>
      <c r="B1692" t="s">
        <v>384</v>
      </c>
      <c r="C1692" t="s">
        <v>11548</v>
      </c>
      <c r="D1692" t="s">
        <v>8589</v>
      </c>
      <c r="E1692" t="s">
        <v>1276</v>
      </c>
      <c r="F1692" t="s">
        <v>11549</v>
      </c>
      <c r="I1692" t="s">
        <v>11550</v>
      </c>
      <c r="J1692">
        <v>9176306675</v>
      </c>
      <c r="K1692" t="s">
        <v>11551</v>
      </c>
      <c r="L1692">
        <v>1234</v>
      </c>
      <c r="M1692" t="s">
        <v>645</v>
      </c>
      <c r="N1692" t="s">
        <v>398</v>
      </c>
      <c r="O1692" t="s">
        <v>685</v>
      </c>
      <c r="P1692">
        <v>3868</v>
      </c>
      <c r="Q1692" t="s">
        <v>11552</v>
      </c>
    </row>
    <row r="1693" spans="1:17" x14ac:dyDescent="0.3">
      <c r="A1693" t="s">
        <v>11553</v>
      </c>
      <c r="B1693" t="s">
        <v>11554</v>
      </c>
      <c r="C1693" t="s">
        <v>11555</v>
      </c>
      <c r="D1693" t="s">
        <v>11556</v>
      </c>
      <c r="E1693" t="s">
        <v>1146</v>
      </c>
      <c r="F1693" t="s">
        <v>11557</v>
      </c>
      <c r="I1693" t="s">
        <v>11558</v>
      </c>
      <c r="K1693" t="s">
        <v>11559</v>
      </c>
      <c r="L1693">
        <v>1234</v>
      </c>
      <c r="M1693" t="s">
        <v>645</v>
      </c>
      <c r="N1693" t="s">
        <v>398</v>
      </c>
      <c r="O1693" t="s">
        <v>853</v>
      </c>
      <c r="P1693">
        <v>3921</v>
      </c>
    </row>
    <row r="1694" spans="1:17" x14ac:dyDescent="0.3">
      <c r="A1694" t="s">
        <v>11560</v>
      </c>
      <c r="B1694" t="s">
        <v>11561</v>
      </c>
      <c r="C1694" t="s">
        <v>11562</v>
      </c>
      <c r="D1694" t="s">
        <v>539</v>
      </c>
      <c r="E1694" t="s">
        <v>793</v>
      </c>
      <c r="F1694" t="s">
        <v>11563</v>
      </c>
      <c r="G1694">
        <v>0</v>
      </c>
      <c r="H1694">
        <v>0</v>
      </c>
      <c r="I1694" t="s">
        <v>11564</v>
      </c>
      <c r="J1694">
        <v>9455189417</v>
      </c>
      <c r="K1694" t="s">
        <v>11565</v>
      </c>
      <c r="L1694">
        <v>1234</v>
      </c>
      <c r="M1694" t="s">
        <v>645</v>
      </c>
      <c r="N1694" t="s">
        <v>398</v>
      </c>
      <c r="O1694" t="s">
        <v>582</v>
      </c>
      <c r="P1694">
        <v>3952</v>
      </c>
    </row>
    <row r="1695" spans="1:17" x14ac:dyDescent="0.3">
      <c r="A1695" t="s">
        <v>11566</v>
      </c>
      <c r="B1695" t="s">
        <v>11567</v>
      </c>
      <c r="C1695" t="s">
        <v>11568</v>
      </c>
      <c r="E1695" t="s">
        <v>1699</v>
      </c>
      <c r="F1695" t="s">
        <v>11569</v>
      </c>
      <c r="I1695" t="s">
        <v>11570</v>
      </c>
      <c r="J1695">
        <v>9998726148</v>
      </c>
      <c r="K1695" t="s">
        <v>11571</v>
      </c>
      <c r="L1695">
        <v>1234</v>
      </c>
      <c r="M1695" t="s">
        <v>645</v>
      </c>
      <c r="N1695" t="s">
        <v>398</v>
      </c>
      <c r="O1695" t="s">
        <v>582</v>
      </c>
      <c r="P1695">
        <v>3732</v>
      </c>
    </row>
    <row r="1696" spans="1:17" x14ac:dyDescent="0.3">
      <c r="A1696" t="s">
        <v>11572</v>
      </c>
      <c r="B1696" t="s">
        <v>362</v>
      </c>
      <c r="C1696" t="s">
        <v>1291</v>
      </c>
      <c r="D1696" t="s">
        <v>4313</v>
      </c>
      <c r="E1696" t="s">
        <v>1470</v>
      </c>
      <c r="F1696" t="s">
        <v>11573</v>
      </c>
      <c r="G1696">
        <v>0</v>
      </c>
      <c r="H1696">
        <v>0</v>
      </c>
      <c r="I1696" t="s">
        <v>11574</v>
      </c>
      <c r="J1696">
        <v>9324282533</v>
      </c>
      <c r="K1696" t="s">
        <v>11575</v>
      </c>
      <c r="L1696">
        <v>1234</v>
      </c>
      <c r="M1696" t="s">
        <v>645</v>
      </c>
      <c r="N1696" t="s">
        <v>398</v>
      </c>
      <c r="O1696" t="s">
        <v>582</v>
      </c>
      <c r="P1696">
        <v>3821</v>
      </c>
    </row>
    <row r="1697" spans="1:17" x14ac:dyDescent="0.3">
      <c r="A1697" t="s">
        <v>11576</v>
      </c>
      <c r="B1697" t="s">
        <v>2919</v>
      </c>
      <c r="C1697" t="s">
        <v>9279</v>
      </c>
      <c r="D1697" t="s">
        <v>11577</v>
      </c>
      <c r="E1697" t="s">
        <v>1276</v>
      </c>
      <c r="F1697" t="s">
        <v>11578</v>
      </c>
      <c r="I1697" t="s">
        <v>11579</v>
      </c>
      <c r="J1697">
        <v>9162627132</v>
      </c>
      <c r="K1697" t="s">
        <v>11580</v>
      </c>
      <c r="L1697">
        <v>1234</v>
      </c>
      <c r="M1697" t="s">
        <v>645</v>
      </c>
      <c r="N1697" t="s">
        <v>398</v>
      </c>
      <c r="O1697" t="s">
        <v>582</v>
      </c>
      <c r="P1697">
        <v>3985</v>
      </c>
    </row>
    <row r="1698" spans="1:17" x14ac:dyDescent="0.3">
      <c r="A1698" t="s">
        <v>11581</v>
      </c>
      <c r="B1698" t="s">
        <v>2734</v>
      </c>
      <c r="C1698" t="s">
        <v>10367</v>
      </c>
      <c r="D1698" t="s">
        <v>539</v>
      </c>
      <c r="E1698" t="s">
        <v>11582</v>
      </c>
      <c r="F1698" t="s">
        <v>11583</v>
      </c>
      <c r="G1698">
        <v>0</v>
      </c>
      <c r="H1698">
        <v>0</v>
      </c>
      <c r="I1698" t="s">
        <v>11584</v>
      </c>
      <c r="J1698">
        <v>9278539735</v>
      </c>
      <c r="K1698" t="s">
        <v>11585</v>
      </c>
      <c r="L1698">
        <v>1234</v>
      </c>
      <c r="M1698" t="s">
        <v>645</v>
      </c>
      <c r="N1698" t="s">
        <v>304</v>
      </c>
      <c r="O1698" t="s">
        <v>305</v>
      </c>
      <c r="P1698">
        <v>3967</v>
      </c>
    </row>
    <row r="1699" spans="1:17" x14ac:dyDescent="0.3">
      <c r="A1699" t="s">
        <v>11586</v>
      </c>
      <c r="B1699" t="s">
        <v>1290</v>
      </c>
      <c r="C1699" t="s">
        <v>11587</v>
      </c>
      <c r="D1699" t="s">
        <v>756</v>
      </c>
      <c r="E1699" t="s">
        <v>859</v>
      </c>
      <c r="F1699" t="s">
        <v>11588</v>
      </c>
      <c r="G1699">
        <v>0</v>
      </c>
      <c r="H1699">
        <v>0</v>
      </c>
      <c r="I1699" t="s">
        <v>11589</v>
      </c>
      <c r="J1699">
        <v>9178806712</v>
      </c>
      <c r="K1699" t="s">
        <v>11590</v>
      </c>
      <c r="L1699">
        <v>1234</v>
      </c>
      <c r="M1699" t="s">
        <v>645</v>
      </c>
      <c r="N1699" t="s">
        <v>336</v>
      </c>
      <c r="O1699" t="s">
        <v>483</v>
      </c>
      <c r="P1699">
        <v>3963</v>
      </c>
    </row>
    <row r="1700" spans="1:17" x14ac:dyDescent="0.3">
      <c r="A1700" t="s">
        <v>11591</v>
      </c>
      <c r="B1700" t="s">
        <v>11592</v>
      </c>
      <c r="C1700" t="s">
        <v>11593</v>
      </c>
      <c r="D1700" t="s">
        <v>11594</v>
      </c>
      <c r="E1700" t="s">
        <v>11595</v>
      </c>
      <c r="F1700" t="s">
        <v>11596</v>
      </c>
      <c r="I1700" t="s">
        <v>11597</v>
      </c>
      <c r="K1700" t="s">
        <v>11598</v>
      </c>
      <c r="L1700">
        <v>1234</v>
      </c>
      <c r="M1700" t="s">
        <v>645</v>
      </c>
      <c r="N1700" t="s">
        <v>16</v>
      </c>
      <c r="O1700" t="s">
        <v>292</v>
      </c>
      <c r="P1700">
        <v>3791</v>
      </c>
    </row>
    <row r="1701" spans="1:17" x14ac:dyDescent="0.3">
      <c r="A1701" t="s">
        <v>11599</v>
      </c>
      <c r="B1701" t="s">
        <v>11600</v>
      </c>
      <c r="C1701" t="s">
        <v>11601</v>
      </c>
      <c r="D1701" t="s">
        <v>11602</v>
      </c>
      <c r="E1701" t="s">
        <v>11603</v>
      </c>
      <c r="F1701" t="s">
        <v>11604</v>
      </c>
      <c r="G1701">
        <v>0</v>
      </c>
      <c r="H1701">
        <v>0</v>
      </c>
      <c r="I1701" t="s">
        <v>11605</v>
      </c>
      <c r="J1701">
        <v>9624669609</v>
      </c>
      <c r="K1701" t="s">
        <v>11606</v>
      </c>
      <c r="L1701" t="s">
        <v>11607</v>
      </c>
      <c r="M1701" t="s">
        <v>645</v>
      </c>
      <c r="N1701" t="s">
        <v>369</v>
      </c>
      <c r="O1701" t="s">
        <v>370</v>
      </c>
      <c r="P1701">
        <v>3977</v>
      </c>
    </row>
    <row r="1702" spans="1:17" x14ac:dyDescent="0.3">
      <c r="A1702" t="s">
        <v>11608</v>
      </c>
      <c r="B1702" t="s">
        <v>723</v>
      </c>
      <c r="C1702" t="s">
        <v>11609</v>
      </c>
      <c r="D1702" t="s">
        <v>2682</v>
      </c>
      <c r="E1702" t="s">
        <v>1284</v>
      </c>
      <c r="F1702" t="s">
        <v>11610</v>
      </c>
      <c r="I1702" t="s">
        <v>11611</v>
      </c>
      <c r="J1702">
        <v>9670776008</v>
      </c>
      <c r="K1702" t="s">
        <v>11612</v>
      </c>
      <c r="L1702">
        <v>1234</v>
      </c>
      <c r="M1702" t="s">
        <v>645</v>
      </c>
      <c r="N1702" t="s">
        <v>336</v>
      </c>
      <c r="O1702" t="s">
        <v>441</v>
      </c>
      <c r="P1702">
        <v>3941</v>
      </c>
    </row>
    <row r="1703" spans="1:17" x14ac:dyDescent="0.3">
      <c r="A1703" t="s">
        <v>11613</v>
      </c>
      <c r="B1703" t="s">
        <v>11614</v>
      </c>
      <c r="C1703" t="s">
        <v>11615</v>
      </c>
      <c r="D1703" t="s">
        <v>11616</v>
      </c>
      <c r="E1703" t="s">
        <v>1454</v>
      </c>
      <c r="F1703" t="s">
        <v>11617</v>
      </c>
      <c r="I1703" t="s">
        <v>11618</v>
      </c>
      <c r="J1703">
        <v>9177045562</v>
      </c>
      <c r="K1703" t="s">
        <v>11619</v>
      </c>
      <c r="L1703">
        <v>1234</v>
      </c>
      <c r="M1703" t="s">
        <v>645</v>
      </c>
      <c r="N1703" t="s">
        <v>336</v>
      </c>
      <c r="O1703" t="s">
        <v>441</v>
      </c>
      <c r="P1703">
        <v>3983</v>
      </c>
    </row>
    <row r="1704" spans="1:17" x14ac:dyDescent="0.3">
      <c r="A1704" t="s">
        <v>11620</v>
      </c>
      <c r="B1704" t="s">
        <v>11621</v>
      </c>
      <c r="C1704" t="s">
        <v>11622</v>
      </c>
      <c r="D1704" t="s">
        <v>3095</v>
      </c>
      <c r="E1704" t="s">
        <v>1276</v>
      </c>
      <c r="F1704" t="s">
        <v>11623</v>
      </c>
      <c r="I1704" t="s">
        <v>11624</v>
      </c>
      <c r="J1704">
        <v>9652262829</v>
      </c>
      <c r="K1704" t="s">
        <v>11625</v>
      </c>
      <c r="L1704">
        <v>1234</v>
      </c>
      <c r="M1704" t="s">
        <v>645</v>
      </c>
      <c r="N1704" t="s">
        <v>398</v>
      </c>
      <c r="O1704" t="s">
        <v>685</v>
      </c>
      <c r="P1704">
        <v>3778</v>
      </c>
    </row>
    <row r="1705" spans="1:17" x14ac:dyDescent="0.3">
      <c r="A1705" t="s">
        <v>11626</v>
      </c>
      <c r="B1705" t="s">
        <v>1399</v>
      </c>
      <c r="C1705" t="s">
        <v>1400</v>
      </c>
      <c r="D1705" t="s">
        <v>585</v>
      </c>
      <c r="E1705" t="s">
        <v>1401</v>
      </c>
      <c r="F1705" t="s">
        <v>11627</v>
      </c>
      <c r="G1705">
        <v>0</v>
      </c>
      <c r="H1705">
        <v>0</v>
      </c>
      <c r="I1705" t="s">
        <v>1403</v>
      </c>
      <c r="J1705">
        <v>9059990768</v>
      </c>
      <c r="K1705" t="s">
        <v>11628</v>
      </c>
      <c r="L1705">
        <v>1234</v>
      </c>
      <c r="M1705" t="s">
        <v>645</v>
      </c>
      <c r="N1705" t="s">
        <v>336</v>
      </c>
      <c r="O1705" t="s">
        <v>441</v>
      </c>
      <c r="P1705">
        <v>3993</v>
      </c>
    </row>
    <row r="1706" spans="1:17" x14ac:dyDescent="0.3">
      <c r="A1706" t="s">
        <v>11629</v>
      </c>
      <c r="B1706" t="s">
        <v>7926</v>
      </c>
      <c r="C1706" t="s">
        <v>11630</v>
      </c>
      <c r="D1706" t="s">
        <v>3095</v>
      </c>
      <c r="E1706" t="s">
        <v>11631</v>
      </c>
      <c r="F1706" t="s">
        <v>11632</v>
      </c>
      <c r="G1706">
        <v>0</v>
      </c>
      <c r="H1706">
        <v>0</v>
      </c>
      <c r="I1706" t="s">
        <v>11633</v>
      </c>
      <c r="J1706">
        <v>9171350825</v>
      </c>
      <c r="K1706" t="s">
        <v>11634</v>
      </c>
      <c r="L1706">
        <v>1234</v>
      </c>
      <c r="M1706" t="s">
        <v>645</v>
      </c>
      <c r="N1706" t="s">
        <v>398</v>
      </c>
      <c r="O1706" t="s">
        <v>399</v>
      </c>
      <c r="P1706">
        <v>3633</v>
      </c>
    </row>
    <row r="1707" spans="1:17" x14ac:dyDescent="0.3">
      <c r="A1707" t="s">
        <v>11635</v>
      </c>
      <c r="B1707" t="s">
        <v>3479</v>
      </c>
      <c r="C1707" t="s">
        <v>8090</v>
      </c>
      <c r="E1707" t="s">
        <v>3990</v>
      </c>
      <c r="F1707" t="s">
        <v>11636</v>
      </c>
      <c r="I1707" t="s">
        <v>11637</v>
      </c>
      <c r="J1707">
        <v>9176582533</v>
      </c>
      <c r="K1707" t="s">
        <v>11638</v>
      </c>
      <c r="L1707">
        <v>1234</v>
      </c>
      <c r="M1707" t="s">
        <v>645</v>
      </c>
      <c r="N1707" t="s">
        <v>369</v>
      </c>
      <c r="O1707" t="s">
        <v>370</v>
      </c>
      <c r="P1707">
        <v>3863</v>
      </c>
    </row>
    <row r="1708" spans="1:17" x14ac:dyDescent="0.3">
      <c r="A1708" t="s">
        <v>11639</v>
      </c>
      <c r="B1708" t="s">
        <v>362</v>
      </c>
      <c r="C1708" t="s">
        <v>11640</v>
      </c>
      <c r="D1708" t="s">
        <v>2561</v>
      </c>
      <c r="E1708" t="s">
        <v>477</v>
      </c>
      <c r="F1708" t="s">
        <v>11641</v>
      </c>
      <c r="I1708" t="s">
        <v>11642</v>
      </c>
      <c r="J1708">
        <v>9276058189</v>
      </c>
      <c r="K1708" t="s">
        <v>11643</v>
      </c>
      <c r="L1708">
        <v>1234</v>
      </c>
      <c r="M1708" t="s">
        <v>645</v>
      </c>
      <c r="N1708" t="s">
        <v>336</v>
      </c>
      <c r="O1708" t="s">
        <v>483</v>
      </c>
      <c r="P1708">
        <v>3962</v>
      </c>
    </row>
    <row r="1709" spans="1:17" x14ac:dyDescent="0.3">
      <c r="A1709" t="s">
        <v>11644</v>
      </c>
      <c r="B1709" t="s">
        <v>11645</v>
      </c>
      <c r="C1709" t="s">
        <v>11646</v>
      </c>
      <c r="D1709" t="s">
        <v>11647</v>
      </c>
      <c r="E1709" t="s">
        <v>2390</v>
      </c>
      <c r="F1709" t="s">
        <v>11648</v>
      </c>
      <c r="G1709">
        <v>0</v>
      </c>
      <c r="H1709">
        <v>0</v>
      </c>
      <c r="I1709" t="s">
        <v>11649</v>
      </c>
      <c r="J1709">
        <v>9913368193</v>
      </c>
      <c r="K1709" t="s">
        <v>11650</v>
      </c>
      <c r="L1709" t="s">
        <v>11651</v>
      </c>
      <c r="M1709" t="s">
        <v>645</v>
      </c>
      <c r="N1709" t="s">
        <v>336</v>
      </c>
      <c r="O1709" t="s">
        <v>441</v>
      </c>
      <c r="P1709">
        <v>3737</v>
      </c>
    </row>
    <row r="1710" spans="1:17" x14ac:dyDescent="0.3">
      <c r="A1710" t="s">
        <v>11652</v>
      </c>
      <c r="B1710" t="s">
        <v>2346</v>
      </c>
      <c r="C1710" t="s">
        <v>11653</v>
      </c>
      <c r="D1710" t="s">
        <v>4427</v>
      </c>
      <c r="E1710" t="s">
        <v>3723</v>
      </c>
      <c r="F1710" t="s">
        <v>11654</v>
      </c>
      <c r="I1710" t="s">
        <v>11655</v>
      </c>
      <c r="J1710">
        <v>9989677121</v>
      </c>
      <c r="K1710" t="s">
        <v>11656</v>
      </c>
      <c r="L1710" t="s">
        <v>11657</v>
      </c>
      <c r="M1710" t="s">
        <v>645</v>
      </c>
      <c r="N1710" t="s">
        <v>336</v>
      </c>
      <c r="O1710" t="s">
        <v>1224</v>
      </c>
      <c r="P1710">
        <v>3997</v>
      </c>
    </row>
    <row r="1711" spans="1:17" x14ac:dyDescent="0.3">
      <c r="A1711" t="s">
        <v>11658</v>
      </c>
      <c r="B1711" t="s">
        <v>11659</v>
      </c>
      <c r="C1711" t="s">
        <v>11660</v>
      </c>
      <c r="D1711" t="s">
        <v>177</v>
      </c>
      <c r="E1711" t="s">
        <v>11661</v>
      </c>
      <c r="F1711" t="s">
        <v>11662</v>
      </c>
      <c r="G1711">
        <v>0</v>
      </c>
      <c r="H1711">
        <v>0</v>
      </c>
      <c r="I1711" t="s">
        <v>11663</v>
      </c>
      <c r="J1711">
        <v>9672816246</v>
      </c>
      <c r="K1711" t="s">
        <v>11664</v>
      </c>
      <c r="L1711" t="s">
        <v>11665</v>
      </c>
      <c r="M1711" t="s">
        <v>645</v>
      </c>
      <c r="N1711" t="s">
        <v>871</v>
      </c>
      <c r="O1711" t="s">
        <v>1628</v>
      </c>
      <c r="P1711">
        <v>3988</v>
      </c>
      <c r="Q1711" t="s">
        <v>11666</v>
      </c>
    </row>
    <row r="1712" spans="1:17" x14ac:dyDescent="0.3">
      <c r="A1712" t="s">
        <v>11667</v>
      </c>
      <c r="B1712" t="s">
        <v>11668</v>
      </c>
      <c r="C1712" t="s">
        <v>11669</v>
      </c>
      <c r="D1712" t="s">
        <v>134</v>
      </c>
      <c r="E1712" t="s">
        <v>867</v>
      </c>
      <c r="F1712" t="s">
        <v>11670</v>
      </c>
      <c r="G1712">
        <v>0</v>
      </c>
      <c r="H1712">
        <v>0</v>
      </c>
      <c r="I1712" t="s">
        <v>11671</v>
      </c>
      <c r="J1712" t="s">
        <v>11672</v>
      </c>
      <c r="K1712" t="s">
        <v>11673</v>
      </c>
      <c r="L1712">
        <v>1234</v>
      </c>
      <c r="M1712" t="s">
        <v>645</v>
      </c>
      <c r="N1712" t="s">
        <v>710</v>
      </c>
      <c r="O1712" t="s">
        <v>789</v>
      </c>
      <c r="P1712">
        <v>3464</v>
      </c>
    </row>
    <row r="1713" spans="1:17" x14ac:dyDescent="0.3">
      <c r="A1713" t="s">
        <v>11674</v>
      </c>
      <c r="B1713" t="s">
        <v>620</v>
      </c>
      <c r="C1713" t="s">
        <v>11675</v>
      </c>
      <c r="D1713" t="s">
        <v>3275</v>
      </c>
      <c r="E1713" t="s">
        <v>11676</v>
      </c>
      <c r="F1713" t="s">
        <v>11677</v>
      </c>
      <c r="I1713" t="s">
        <v>11678</v>
      </c>
      <c r="J1713">
        <v>9190024727</v>
      </c>
      <c r="K1713" t="s">
        <v>11679</v>
      </c>
      <c r="L1713">
        <v>1234</v>
      </c>
      <c r="M1713" t="s">
        <v>645</v>
      </c>
      <c r="N1713" t="s">
        <v>304</v>
      </c>
      <c r="O1713" t="s">
        <v>305</v>
      </c>
      <c r="P1713">
        <v>4012</v>
      </c>
    </row>
    <row r="1714" spans="1:17" x14ac:dyDescent="0.3">
      <c r="A1714" t="s">
        <v>11680</v>
      </c>
      <c r="B1714" t="s">
        <v>11681</v>
      </c>
      <c r="C1714" t="s">
        <v>11682</v>
      </c>
      <c r="D1714" t="s">
        <v>1909</v>
      </c>
      <c r="E1714" t="s">
        <v>2994</v>
      </c>
      <c r="F1714" t="s">
        <v>11683</v>
      </c>
      <c r="I1714" t="s">
        <v>11684</v>
      </c>
      <c r="K1714" t="s">
        <v>11685</v>
      </c>
      <c r="L1714" t="s">
        <v>11686</v>
      </c>
      <c r="M1714" t="s">
        <v>645</v>
      </c>
      <c r="N1714" t="s">
        <v>369</v>
      </c>
      <c r="O1714" t="s">
        <v>370</v>
      </c>
      <c r="P1714">
        <v>3996</v>
      </c>
    </row>
    <row r="1715" spans="1:17" x14ac:dyDescent="0.3">
      <c r="A1715" t="s">
        <v>11687</v>
      </c>
      <c r="B1715" t="s">
        <v>924</v>
      </c>
      <c r="C1715" t="s">
        <v>11688</v>
      </c>
      <c r="D1715" t="s">
        <v>3275</v>
      </c>
      <c r="E1715" t="s">
        <v>1454</v>
      </c>
      <c r="F1715" t="s">
        <v>11689</v>
      </c>
      <c r="I1715" t="s">
        <v>11690</v>
      </c>
      <c r="J1715">
        <v>9985423524</v>
      </c>
      <c r="K1715" t="s">
        <v>11691</v>
      </c>
      <c r="L1715">
        <v>219</v>
      </c>
      <c r="M1715" t="s">
        <v>645</v>
      </c>
      <c r="N1715" t="s">
        <v>369</v>
      </c>
      <c r="O1715" t="s">
        <v>370</v>
      </c>
      <c r="P1715">
        <v>4014</v>
      </c>
    </row>
    <row r="1716" spans="1:17" x14ac:dyDescent="0.3">
      <c r="A1716" t="s">
        <v>11692</v>
      </c>
      <c r="B1716" t="s">
        <v>7338</v>
      </c>
      <c r="C1716" t="s">
        <v>11693</v>
      </c>
      <c r="D1716" t="s">
        <v>4109</v>
      </c>
      <c r="E1716" t="s">
        <v>11694</v>
      </c>
      <c r="F1716" t="s">
        <v>11695</v>
      </c>
      <c r="I1716" t="s">
        <v>11696</v>
      </c>
      <c r="J1716">
        <v>9065592039</v>
      </c>
      <c r="K1716" t="s">
        <v>11697</v>
      </c>
      <c r="L1716">
        <v>1234</v>
      </c>
      <c r="M1716" t="s">
        <v>645</v>
      </c>
      <c r="N1716" t="s">
        <v>336</v>
      </c>
      <c r="O1716" t="s">
        <v>515</v>
      </c>
      <c r="P1716">
        <v>4004</v>
      </c>
    </row>
    <row r="1717" spans="1:17" x14ac:dyDescent="0.3">
      <c r="A1717" t="s">
        <v>11698</v>
      </c>
      <c r="B1717" t="s">
        <v>1976</v>
      </c>
      <c r="C1717" t="s">
        <v>11699</v>
      </c>
      <c r="D1717" t="s">
        <v>756</v>
      </c>
      <c r="E1717" t="s">
        <v>11700</v>
      </c>
      <c r="F1717" t="s">
        <v>11701</v>
      </c>
      <c r="G1717">
        <v>15.176824492015299</v>
      </c>
      <c r="H1717">
        <v>120.517042279243</v>
      </c>
      <c r="I1717" t="s">
        <v>11702</v>
      </c>
      <c r="J1717">
        <v>9238649921</v>
      </c>
      <c r="K1717" t="s">
        <v>11703</v>
      </c>
      <c r="L1717">
        <v>1234</v>
      </c>
      <c r="M1717" t="s">
        <v>645</v>
      </c>
      <c r="N1717" t="s">
        <v>398</v>
      </c>
      <c r="O1717" t="s">
        <v>853</v>
      </c>
      <c r="P1717">
        <v>3797</v>
      </c>
    </row>
    <row r="1718" spans="1:17" x14ac:dyDescent="0.3">
      <c r="A1718" t="s">
        <v>11704</v>
      </c>
      <c r="B1718" t="s">
        <v>11681</v>
      </c>
      <c r="C1718" t="s">
        <v>11682</v>
      </c>
      <c r="D1718" t="s">
        <v>1909</v>
      </c>
      <c r="E1718" t="s">
        <v>2994</v>
      </c>
      <c r="F1718" t="s">
        <v>11705</v>
      </c>
      <c r="I1718" t="s">
        <v>11706</v>
      </c>
      <c r="K1718" t="s">
        <v>11707</v>
      </c>
      <c r="L1718" t="s">
        <v>11708</v>
      </c>
      <c r="M1718" t="s">
        <v>645</v>
      </c>
      <c r="N1718" t="s">
        <v>398</v>
      </c>
      <c r="O1718" t="s">
        <v>399</v>
      </c>
      <c r="P1718">
        <v>4016</v>
      </c>
    </row>
    <row r="1719" spans="1:17" x14ac:dyDescent="0.3">
      <c r="A1719" t="s">
        <v>11709</v>
      </c>
      <c r="B1719" t="s">
        <v>11710</v>
      </c>
      <c r="C1719" t="s">
        <v>11711</v>
      </c>
      <c r="D1719" t="s">
        <v>11712</v>
      </c>
      <c r="E1719" t="s">
        <v>1276</v>
      </c>
      <c r="F1719" t="s">
        <v>11713</v>
      </c>
      <c r="G1719">
        <v>0</v>
      </c>
      <c r="H1719">
        <v>0</v>
      </c>
      <c r="I1719" t="s">
        <v>11714</v>
      </c>
      <c r="J1719">
        <v>9752266539</v>
      </c>
      <c r="K1719" t="s">
        <v>11715</v>
      </c>
      <c r="L1719">
        <v>123456789</v>
      </c>
      <c r="M1719" t="s">
        <v>645</v>
      </c>
      <c r="N1719" t="s">
        <v>398</v>
      </c>
      <c r="O1719" t="s">
        <v>685</v>
      </c>
      <c r="P1719">
        <v>4013</v>
      </c>
      <c r="Q1719" t="s">
        <v>11716</v>
      </c>
    </row>
    <row r="1720" spans="1:17" x14ac:dyDescent="0.3">
      <c r="A1720" t="s">
        <v>11717</v>
      </c>
      <c r="B1720" t="s">
        <v>11718</v>
      </c>
      <c r="C1720" t="s">
        <v>11719</v>
      </c>
      <c r="D1720" t="s">
        <v>539</v>
      </c>
      <c r="E1720" t="s">
        <v>1276</v>
      </c>
      <c r="F1720" t="s">
        <v>11720</v>
      </c>
      <c r="G1720">
        <v>0</v>
      </c>
      <c r="H1720">
        <v>0</v>
      </c>
      <c r="I1720" t="s">
        <v>11721</v>
      </c>
      <c r="J1720">
        <v>9989970609</v>
      </c>
      <c r="K1720" t="s">
        <v>11722</v>
      </c>
      <c r="L1720">
        <v>1234</v>
      </c>
      <c r="M1720" t="s">
        <v>645</v>
      </c>
      <c r="N1720" t="s">
        <v>398</v>
      </c>
      <c r="O1720" t="s">
        <v>582</v>
      </c>
      <c r="P1720">
        <v>3755</v>
      </c>
    </row>
    <row r="1721" spans="1:17" x14ac:dyDescent="0.3">
      <c r="A1721" t="s">
        <v>11723</v>
      </c>
      <c r="B1721" t="s">
        <v>1631</v>
      </c>
      <c r="C1721" t="s">
        <v>1632</v>
      </c>
      <c r="D1721" t="s">
        <v>1909</v>
      </c>
      <c r="E1721" t="s">
        <v>286</v>
      </c>
      <c r="F1721" t="s">
        <v>11724</v>
      </c>
      <c r="G1721">
        <v>0</v>
      </c>
      <c r="H1721">
        <v>0</v>
      </c>
      <c r="I1721" t="s">
        <v>1635</v>
      </c>
      <c r="J1721">
        <v>9772438334</v>
      </c>
      <c r="K1721" t="s">
        <v>11725</v>
      </c>
      <c r="L1721">
        <v>1234</v>
      </c>
      <c r="M1721" t="s">
        <v>645</v>
      </c>
      <c r="N1721" t="s">
        <v>763</v>
      </c>
      <c r="O1721" t="s">
        <v>764</v>
      </c>
      <c r="P1721">
        <v>3856</v>
      </c>
    </row>
    <row r="1722" spans="1:17" x14ac:dyDescent="0.3">
      <c r="A1722" t="s">
        <v>11726</v>
      </c>
      <c r="B1722" t="s">
        <v>11727</v>
      </c>
      <c r="C1722" t="s">
        <v>3685</v>
      </c>
      <c r="D1722" t="s">
        <v>3275</v>
      </c>
      <c r="E1722" t="s">
        <v>793</v>
      </c>
      <c r="F1722" t="s">
        <v>11728</v>
      </c>
      <c r="G1722">
        <v>0</v>
      </c>
      <c r="H1722">
        <v>0</v>
      </c>
      <c r="I1722" t="s">
        <v>11729</v>
      </c>
      <c r="J1722">
        <v>9309224118</v>
      </c>
      <c r="K1722" t="s">
        <v>11730</v>
      </c>
      <c r="L1722" t="s">
        <v>11731</v>
      </c>
      <c r="M1722" t="s">
        <v>645</v>
      </c>
      <c r="N1722" t="s">
        <v>336</v>
      </c>
      <c r="O1722" t="s">
        <v>515</v>
      </c>
      <c r="P1722">
        <v>4018</v>
      </c>
    </row>
    <row r="1723" spans="1:17" x14ac:dyDescent="0.3">
      <c r="A1723" t="s">
        <v>11732</v>
      </c>
      <c r="B1723" t="s">
        <v>8674</v>
      </c>
      <c r="C1723" t="s">
        <v>4608</v>
      </c>
      <c r="D1723" t="s">
        <v>620</v>
      </c>
      <c r="E1723" t="s">
        <v>11733</v>
      </c>
      <c r="F1723" t="s">
        <v>11734</v>
      </c>
      <c r="G1723">
        <v>0</v>
      </c>
      <c r="H1723">
        <v>0</v>
      </c>
      <c r="I1723" t="s">
        <v>11735</v>
      </c>
      <c r="J1723">
        <v>9159091170</v>
      </c>
      <c r="K1723" t="s">
        <v>11736</v>
      </c>
      <c r="L1723" t="s">
        <v>11737</v>
      </c>
      <c r="M1723" t="s">
        <v>645</v>
      </c>
      <c r="N1723" t="s">
        <v>398</v>
      </c>
      <c r="O1723" t="s">
        <v>582</v>
      </c>
      <c r="P1723">
        <v>4031</v>
      </c>
    </row>
    <row r="1724" spans="1:17" x14ac:dyDescent="0.3">
      <c r="A1724" t="s">
        <v>11738</v>
      </c>
      <c r="B1724" t="s">
        <v>9080</v>
      </c>
      <c r="C1724" t="s">
        <v>11739</v>
      </c>
      <c r="D1724" t="s">
        <v>4313</v>
      </c>
      <c r="E1724" t="s">
        <v>1393</v>
      </c>
      <c r="F1724" t="s">
        <v>11740</v>
      </c>
      <c r="G1724">
        <v>0</v>
      </c>
      <c r="H1724">
        <v>0</v>
      </c>
      <c r="I1724" t="s">
        <v>11741</v>
      </c>
      <c r="J1724">
        <v>9178881670</v>
      </c>
      <c r="K1724" t="s">
        <v>11742</v>
      </c>
      <c r="L1724">
        <v>1234</v>
      </c>
      <c r="M1724" t="s">
        <v>645</v>
      </c>
      <c r="N1724" t="s">
        <v>710</v>
      </c>
      <c r="O1724" t="s">
        <v>789</v>
      </c>
      <c r="P1724">
        <v>802</v>
      </c>
    </row>
    <row r="1725" spans="1:17" x14ac:dyDescent="0.3">
      <c r="A1725" t="s">
        <v>11743</v>
      </c>
      <c r="B1725" t="s">
        <v>2582</v>
      </c>
      <c r="C1725" t="s">
        <v>11744</v>
      </c>
      <c r="D1725" t="s">
        <v>1909</v>
      </c>
      <c r="E1725" t="s">
        <v>3723</v>
      </c>
      <c r="F1725" t="s">
        <v>11745</v>
      </c>
      <c r="I1725" t="s">
        <v>11746</v>
      </c>
      <c r="J1725">
        <v>9175160622</v>
      </c>
      <c r="K1725" t="s">
        <v>11747</v>
      </c>
      <c r="L1725">
        <v>1234</v>
      </c>
      <c r="M1725" t="s">
        <v>645</v>
      </c>
      <c r="N1725" t="s">
        <v>871</v>
      </c>
      <c r="O1725" t="s">
        <v>1115</v>
      </c>
      <c r="P1725">
        <v>2866</v>
      </c>
    </row>
    <row r="1726" spans="1:17" x14ac:dyDescent="0.3">
      <c r="A1726" t="s">
        <v>11748</v>
      </c>
      <c r="B1726" t="s">
        <v>11749</v>
      </c>
      <c r="C1726" t="s">
        <v>11750</v>
      </c>
      <c r="D1726" t="s">
        <v>1555</v>
      </c>
      <c r="E1726" t="s">
        <v>2540</v>
      </c>
      <c r="F1726" t="s">
        <v>11751</v>
      </c>
      <c r="I1726" t="s">
        <v>11752</v>
      </c>
      <c r="J1726" t="s">
        <v>11753</v>
      </c>
      <c r="K1726" t="s">
        <v>11754</v>
      </c>
      <c r="L1726">
        <v>1234</v>
      </c>
      <c r="M1726" t="s">
        <v>645</v>
      </c>
      <c r="N1726" t="s">
        <v>398</v>
      </c>
      <c r="O1726" t="s">
        <v>2952</v>
      </c>
      <c r="P1726">
        <v>3975</v>
      </c>
    </row>
    <row r="1727" spans="1:17" x14ac:dyDescent="0.3">
      <c r="A1727" t="s">
        <v>11755</v>
      </c>
      <c r="B1727" t="s">
        <v>11756</v>
      </c>
      <c r="C1727" t="s">
        <v>11757</v>
      </c>
      <c r="D1727" t="s">
        <v>1163</v>
      </c>
      <c r="E1727" t="s">
        <v>1276</v>
      </c>
      <c r="F1727" t="s">
        <v>11758</v>
      </c>
      <c r="I1727" t="s">
        <v>11759</v>
      </c>
      <c r="J1727">
        <v>9561429754</v>
      </c>
      <c r="K1727" t="s">
        <v>11760</v>
      </c>
      <c r="L1727">
        <v>1234</v>
      </c>
      <c r="M1727" t="s">
        <v>645</v>
      </c>
      <c r="N1727" t="s">
        <v>398</v>
      </c>
      <c r="O1727" t="s">
        <v>685</v>
      </c>
      <c r="P1727">
        <v>3796</v>
      </c>
    </row>
    <row r="1728" spans="1:17" x14ac:dyDescent="0.3">
      <c r="A1728" t="s">
        <v>11761</v>
      </c>
      <c r="B1728" t="s">
        <v>4660</v>
      </c>
      <c r="C1728" t="s">
        <v>4661</v>
      </c>
      <c r="D1728" t="s">
        <v>1571</v>
      </c>
      <c r="E1728" t="s">
        <v>1470</v>
      </c>
      <c r="F1728" t="s">
        <v>11762</v>
      </c>
      <c r="I1728" t="s">
        <v>11763</v>
      </c>
      <c r="J1728" t="s">
        <v>11764</v>
      </c>
      <c r="K1728" t="s">
        <v>11765</v>
      </c>
      <c r="L1728">
        <v>1234</v>
      </c>
      <c r="M1728" t="s">
        <v>645</v>
      </c>
      <c r="N1728" t="s">
        <v>398</v>
      </c>
      <c r="O1728" t="s">
        <v>582</v>
      </c>
      <c r="P1728">
        <v>4026</v>
      </c>
    </row>
    <row r="1729" spans="1:17" x14ac:dyDescent="0.3">
      <c r="A1729" t="s">
        <v>11766</v>
      </c>
      <c r="B1729" t="s">
        <v>3418</v>
      </c>
      <c r="C1729" t="s">
        <v>11767</v>
      </c>
      <c r="D1729" t="s">
        <v>1571</v>
      </c>
      <c r="E1729" t="s">
        <v>11768</v>
      </c>
      <c r="F1729" t="s">
        <v>11769</v>
      </c>
      <c r="G1729">
        <v>0</v>
      </c>
      <c r="H1729">
        <v>0</v>
      </c>
      <c r="I1729" t="s">
        <v>11770</v>
      </c>
      <c r="J1729" t="s">
        <v>11771</v>
      </c>
      <c r="K1729" t="s">
        <v>11772</v>
      </c>
      <c r="L1729" t="s">
        <v>11773</v>
      </c>
      <c r="M1729" t="s">
        <v>645</v>
      </c>
      <c r="N1729" t="s">
        <v>369</v>
      </c>
      <c r="O1729" t="s">
        <v>370</v>
      </c>
      <c r="P1729">
        <v>3672</v>
      </c>
    </row>
    <row r="1730" spans="1:17" x14ac:dyDescent="0.3">
      <c r="A1730" t="s">
        <v>11774</v>
      </c>
      <c r="B1730" t="s">
        <v>8331</v>
      </c>
      <c r="C1730" t="s">
        <v>2408</v>
      </c>
      <c r="D1730" t="s">
        <v>3354</v>
      </c>
      <c r="E1730" t="s">
        <v>1062</v>
      </c>
      <c r="F1730" t="s">
        <v>11775</v>
      </c>
      <c r="I1730" t="s">
        <v>11776</v>
      </c>
      <c r="K1730" t="s">
        <v>11777</v>
      </c>
      <c r="L1730">
        <v>1234</v>
      </c>
      <c r="M1730" t="s">
        <v>645</v>
      </c>
      <c r="N1730" t="s">
        <v>710</v>
      </c>
      <c r="O1730" t="s">
        <v>711</v>
      </c>
      <c r="P1730">
        <v>3887</v>
      </c>
    </row>
    <row r="1731" spans="1:17" x14ac:dyDescent="0.3">
      <c r="A1731" t="s">
        <v>11778</v>
      </c>
      <c r="B1731" t="s">
        <v>2175</v>
      </c>
      <c r="C1731" t="s">
        <v>462</v>
      </c>
      <c r="D1731" t="s">
        <v>2682</v>
      </c>
      <c r="E1731" t="s">
        <v>11779</v>
      </c>
      <c r="F1731" t="s">
        <v>11780</v>
      </c>
      <c r="G1731">
        <v>0</v>
      </c>
      <c r="H1731">
        <v>0</v>
      </c>
      <c r="I1731" t="s">
        <v>11781</v>
      </c>
      <c r="J1731">
        <v>9068752348</v>
      </c>
      <c r="K1731" t="s">
        <v>11782</v>
      </c>
      <c r="L1731">
        <v>1234</v>
      </c>
      <c r="M1731" t="s">
        <v>645</v>
      </c>
      <c r="N1731" t="s">
        <v>336</v>
      </c>
      <c r="O1731" t="s">
        <v>441</v>
      </c>
      <c r="P1731">
        <v>4067</v>
      </c>
    </row>
    <row r="1732" spans="1:17" x14ac:dyDescent="0.3">
      <c r="A1732" t="s">
        <v>5282</v>
      </c>
      <c r="B1732" t="s">
        <v>11783</v>
      </c>
      <c r="C1732" t="s">
        <v>11784</v>
      </c>
      <c r="D1732" t="s">
        <v>1555</v>
      </c>
      <c r="E1732" t="s">
        <v>11785</v>
      </c>
      <c r="F1732" t="s">
        <v>5286</v>
      </c>
      <c r="I1732" t="s">
        <v>11786</v>
      </c>
      <c r="J1732">
        <v>9062849769</v>
      </c>
      <c r="K1732" t="s">
        <v>11787</v>
      </c>
      <c r="L1732">
        <v>1234</v>
      </c>
      <c r="M1732" t="s">
        <v>645</v>
      </c>
      <c r="N1732" t="s">
        <v>398</v>
      </c>
      <c r="O1732" t="s">
        <v>1104</v>
      </c>
      <c r="P1732">
        <v>2402</v>
      </c>
    </row>
    <row r="1733" spans="1:17" x14ac:dyDescent="0.3">
      <c r="A1733" t="s">
        <v>11788</v>
      </c>
      <c r="B1733" t="s">
        <v>11789</v>
      </c>
      <c r="C1733" t="s">
        <v>11790</v>
      </c>
      <c r="E1733" t="s">
        <v>11791</v>
      </c>
      <c r="F1733" t="s">
        <v>11792</v>
      </c>
      <c r="I1733" t="s">
        <v>11793</v>
      </c>
      <c r="J1733">
        <v>9190726957</v>
      </c>
      <c r="K1733" t="s">
        <v>11794</v>
      </c>
      <c r="L1733">
        <v>1234</v>
      </c>
      <c r="M1733" t="s">
        <v>645</v>
      </c>
      <c r="N1733" t="s">
        <v>336</v>
      </c>
      <c r="O1733" t="s">
        <v>515</v>
      </c>
      <c r="P1733">
        <v>3048</v>
      </c>
    </row>
    <row r="1734" spans="1:17" x14ac:dyDescent="0.3">
      <c r="A1734" t="s">
        <v>11795</v>
      </c>
      <c r="B1734" t="s">
        <v>10835</v>
      </c>
      <c r="C1734" t="s">
        <v>4661</v>
      </c>
      <c r="D1734" t="s">
        <v>4660</v>
      </c>
      <c r="E1734" t="s">
        <v>329</v>
      </c>
      <c r="F1734" t="s">
        <v>11796</v>
      </c>
      <c r="G1734">
        <v>0</v>
      </c>
      <c r="H1734">
        <v>0</v>
      </c>
      <c r="I1734" t="s">
        <v>11797</v>
      </c>
      <c r="J1734">
        <v>9777441973</v>
      </c>
      <c r="K1734" t="s">
        <v>11798</v>
      </c>
      <c r="L1734">
        <v>1234</v>
      </c>
      <c r="M1734" t="s">
        <v>645</v>
      </c>
      <c r="N1734" t="s">
        <v>398</v>
      </c>
      <c r="O1734" t="s">
        <v>853</v>
      </c>
      <c r="P1734">
        <v>4029</v>
      </c>
    </row>
    <row r="1735" spans="1:17" x14ac:dyDescent="0.3">
      <c r="A1735" t="s">
        <v>11799</v>
      </c>
      <c r="B1735" t="s">
        <v>723</v>
      </c>
      <c r="C1735" t="s">
        <v>11800</v>
      </c>
      <c r="D1735" t="s">
        <v>2561</v>
      </c>
      <c r="E1735" t="s">
        <v>2628</v>
      </c>
      <c r="F1735" t="s">
        <v>11801</v>
      </c>
      <c r="G1735">
        <v>0</v>
      </c>
      <c r="H1735">
        <v>0</v>
      </c>
      <c r="I1735" t="s">
        <v>11802</v>
      </c>
      <c r="J1735">
        <v>9762100707</v>
      </c>
      <c r="K1735" t="s">
        <v>11803</v>
      </c>
      <c r="L1735">
        <v>1234</v>
      </c>
      <c r="M1735" t="s">
        <v>645</v>
      </c>
      <c r="N1735" t="s">
        <v>16</v>
      </c>
      <c r="O1735" t="s">
        <v>17</v>
      </c>
      <c r="P1735">
        <v>3508</v>
      </c>
    </row>
    <row r="1736" spans="1:17" x14ac:dyDescent="0.3">
      <c r="A1736" t="s">
        <v>9086</v>
      </c>
      <c r="B1736" t="s">
        <v>9087</v>
      </c>
      <c r="C1736" t="s">
        <v>9088</v>
      </c>
      <c r="E1736" t="s">
        <v>9089</v>
      </c>
      <c r="F1736" t="s">
        <v>9090</v>
      </c>
      <c r="I1736" t="s">
        <v>9091</v>
      </c>
      <c r="J1736" t="s">
        <v>9092</v>
      </c>
      <c r="K1736" t="s">
        <v>9093</v>
      </c>
      <c r="L1736">
        <v>1234</v>
      </c>
      <c r="M1736" s="1">
        <v>43854</v>
      </c>
      <c r="N1736" t="s">
        <v>16</v>
      </c>
      <c r="O1736" t="s">
        <v>9094</v>
      </c>
      <c r="P1736">
        <v>1255</v>
      </c>
    </row>
    <row r="1737" spans="1:17" x14ac:dyDescent="0.3">
      <c r="A1737" t="s">
        <v>11804</v>
      </c>
      <c r="B1737" t="s">
        <v>11805</v>
      </c>
      <c r="C1737" t="s">
        <v>4079</v>
      </c>
      <c r="D1737" t="s">
        <v>2561</v>
      </c>
      <c r="E1737" t="s">
        <v>329</v>
      </c>
      <c r="F1737" t="s">
        <v>11806</v>
      </c>
      <c r="G1737">
        <v>15.2</v>
      </c>
      <c r="H1737">
        <v>120.54</v>
      </c>
      <c r="I1737" t="s">
        <v>11807</v>
      </c>
      <c r="J1737">
        <v>454999647</v>
      </c>
      <c r="K1737" t="s">
        <v>11808</v>
      </c>
      <c r="L1737">
        <v>1234</v>
      </c>
      <c r="M1737" t="s">
        <v>645</v>
      </c>
      <c r="N1737" t="s">
        <v>16</v>
      </c>
      <c r="O1737" t="s">
        <v>292</v>
      </c>
      <c r="P1737">
        <v>3984</v>
      </c>
    </row>
    <row r="1738" spans="1:17" x14ac:dyDescent="0.3">
      <c r="A1738" t="s">
        <v>11809</v>
      </c>
      <c r="B1738" t="s">
        <v>372</v>
      </c>
      <c r="C1738" t="s">
        <v>11810</v>
      </c>
      <c r="D1738" t="s">
        <v>326</v>
      </c>
      <c r="E1738" t="s">
        <v>1276</v>
      </c>
      <c r="F1738" t="s">
        <v>11811</v>
      </c>
      <c r="I1738" t="s">
        <v>11812</v>
      </c>
      <c r="J1738">
        <v>9178647819</v>
      </c>
      <c r="K1738" t="s">
        <v>11813</v>
      </c>
      <c r="L1738">
        <v>1234</v>
      </c>
      <c r="M1738" t="s">
        <v>645</v>
      </c>
      <c r="N1738" t="s">
        <v>398</v>
      </c>
      <c r="O1738" t="s">
        <v>582</v>
      </c>
      <c r="P1738">
        <v>4005</v>
      </c>
    </row>
    <row r="1739" spans="1:17" x14ac:dyDescent="0.3">
      <c r="A1739" t="s">
        <v>11581</v>
      </c>
      <c r="B1739" t="s">
        <v>11814</v>
      </c>
      <c r="C1739" t="s">
        <v>123</v>
      </c>
      <c r="D1739" t="s">
        <v>11815</v>
      </c>
      <c r="E1739" t="s">
        <v>11582</v>
      </c>
      <c r="F1739" t="s">
        <v>11583</v>
      </c>
      <c r="I1739" t="s">
        <v>11816</v>
      </c>
      <c r="K1739" t="s">
        <v>11585</v>
      </c>
      <c r="L1739">
        <v>1234</v>
      </c>
      <c r="M1739" t="s">
        <v>645</v>
      </c>
      <c r="N1739" t="s">
        <v>304</v>
      </c>
      <c r="O1739" t="s">
        <v>305</v>
      </c>
      <c r="P1739">
        <v>3967</v>
      </c>
    </row>
    <row r="1740" spans="1:17" x14ac:dyDescent="0.3">
      <c r="A1740" t="s">
        <v>11817</v>
      </c>
      <c r="B1740" t="s">
        <v>11818</v>
      </c>
      <c r="C1740" t="s">
        <v>11819</v>
      </c>
      <c r="D1740" t="s">
        <v>2561</v>
      </c>
      <c r="E1740" t="s">
        <v>11820</v>
      </c>
      <c r="F1740" t="s">
        <v>11821</v>
      </c>
      <c r="G1740">
        <v>0</v>
      </c>
      <c r="H1740">
        <v>0</v>
      </c>
      <c r="I1740" t="s">
        <v>11822</v>
      </c>
      <c r="J1740">
        <v>9177123428</v>
      </c>
      <c r="K1740" t="s">
        <v>11823</v>
      </c>
      <c r="L1740" t="s">
        <v>11824</v>
      </c>
      <c r="M1740" t="s">
        <v>645</v>
      </c>
      <c r="N1740" t="s">
        <v>11825</v>
      </c>
      <c r="O1740" t="s">
        <v>11826</v>
      </c>
      <c r="P1740">
        <v>4019</v>
      </c>
      <c r="Q1740" t="s">
        <v>11827</v>
      </c>
    </row>
    <row r="1741" spans="1:17" x14ac:dyDescent="0.3">
      <c r="A1741" t="s">
        <v>11828</v>
      </c>
      <c r="B1741" t="s">
        <v>11829</v>
      </c>
      <c r="C1741" t="s">
        <v>10367</v>
      </c>
      <c r="D1741" t="s">
        <v>756</v>
      </c>
      <c r="E1741" t="s">
        <v>11830</v>
      </c>
      <c r="F1741" t="s">
        <v>11831</v>
      </c>
      <c r="J1741">
        <v>9682831385</v>
      </c>
      <c r="K1741" t="s">
        <v>11832</v>
      </c>
      <c r="L1741">
        <v>1234</v>
      </c>
      <c r="M1741" t="s">
        <v>645</v>
      </c>
      <c r="N1741" t="s">
        <v>398</v>
      </c>
      <c r="O1741" t="s">
        <v>853</v>
      </c>
      <c r="P1741">
        <v>4063</v>
      </c>
    </row>
    <row r="1742" spans="1:17" x14ac:dyDescent="0.3">
      <c r="A1742" t="s">
        <v>11833</v>
      </c>
      <c r="B1742" t="s">
        <v>6864</v>
      </c>
      <c r="C1742" t="s">
        <v>11834</v>
      </c>
      <c r="E1742" t="s">
        <v>859</v>
      </c>
      <c r="F1742" t="s">
        <v>11835</v>
      </c>
      <c r="I1742" t="s">
        <v>11836</v>
      </c>
      <c r="K1742" t="s">
        <v>11837</v>
      </c>
      <c r="L1742" t="s">
        <v>11838</v>
      </c>
      <c r="M1742" t="s">
        <v>645</v>
      </c>
      <c r="N1742" t="s">
        <v>336</v>
      </c>
      <c r="O1742" t="s">
        <v>515</v>
      </c>
      <c r="P1742">
        <v>4073</v>
      </c>
    </row>
    <row r="1743" spans="1:17" x14ac:dyDescent="0.3">
      <c r="A1743" t="s">
        <v>11839</v>
      </c>
      <c r="B1743" t="s">
        <v>11840</v>
      </c>
      <c r="C1743" t="s">
        <v>11841</v>
      </c>
      <c r="E1743" t="s">
        <v>11842</v>
      </c>
      <c r="F1743" t="s">
        <v>11843</v>
      </c>
      <c r="I1743" t="s">
        <v>11844</v>
      </c>
      <c r="K1743" t="s">
        <v>11845</v>
      </c>
      <c r="L1743" t="s">
        <v>11846</v>
      </c>
      <c r="M1743" t="s">
        <v>645</v>
      </c>
      <c r="N1743" t="s">
        <v>398</v>
      </c>
      <c r="O1743" t="s">
        <v>1104</v>
      </c>
      <c r="P1743">
        <v>4081</v>
      </c>
    </row>
    <row r="1744" spans="1:17" x14ac:dyDescent="0.3">
      <c r="A1744" t="s">
        <v>11847</v>
      </c>
      <c r="B1744" t="s">
        <v>1877</v>
      </c>
      <c r="C1744" t="s">
        <v>4096</v>
      </c>
      <c r="D1744" t="s">
        <v>1909</v>
      </c>
      <c r="E1744" t="s">
        <v>793</v>
      </c>
      <c r="F1744" t="s">
        <v>11848</v>
      </c>
      <c r="I1744" t="s">
        <v>11849</v>
      </c>
      <c r="J1744">
        <v>9633212822</v>
      </c>
      <c r="K1744" t="s">
        <v>11850</v>
      </c>
      <c r="L1744" t="s">
        <v>11851</v>
      </c>
      <c r="M1744" t="s">
        <v>645</v>
      </c>
      <c r="N1744" t="s">
        <v>398</v>
      </c>
      <c r="O1744" t="s">
        <v>2435</v>
      </c>
      <c r="P1744">
        <v>3990</v>
      </c>
    </row>
    <row r="1745" spans="1:17" x14ac:dyDescent="0.3">
      <c r="A1745" t="s">
        <v>11852</v>
      </c>
      <c r="B1745" t="s">
        <v>11853</v>
      </c>
      <c r="C1745" t="s">
        <v>2833</v>
      </c>
      <c r="E1745" t="s">
        <v>3723</v>
      </c>
      <c r="F1745" t="s">
        <v>11854</v>
      </c>
      <c r="I1745" t="s">
        <v>11855</v>
      </c>
      <c r="J1745">
        <v>9183547910</v>
      </c>
      <c r="K1745" t="s">
        <v>11856</v>
      </c>
      <c r="L1745">
        <v>1234</v>
      </c>
      <c r="M1745" t="s">
        <v>645</v>
      </c>
      <c r="N1745" t="s">
        <v>336</v>
      </c>
      <c r="O1745" t="s">
        <v>515</v>
      </c>
      <c r="P1745">
        <v>4030</v>
      </c>
    </row>
    <row r="1746" spans="1:17" x14ac:dyDescent="0.3">
      <c r="A1746" t="s">
        <v>11857</v>
      </c>
      <c r="B1746" t="s">
        <v>603</v>
      </c>
      <c r="C1746" t="s">
        <v>3235</v>
      </c>
      <c r="D1746" t="s">
        <v>539</v>
      </c>
      <c r="E1746" t="s">
        <v>704</v>
      </c>
      <c r="F1746" t="s">
        <v>11858</v>
      </c>
      <c r="I1746" t="s">
        <v>11859</v>
      </c>
      <c r="J1746">
        <v>4995453</v>
      </c>
      <c r="K1746" t="s">
        <v>11860</v>
      </c>
      <c r="L1746">
        <v>1234</v>
      </c>
      <c r="M1746" t="s">
        <v>645</v>
      </c>
      <c r="N1746" t="s">
        <v>16</v>
      </c>
      <c r="O1746" t="s">
        <v>2641</v>
      </c>
      <c r="P1746">
        <v>4015</v>
      </c>
    </row>
    <row r="1747" spans="1:17" x14ac:dyDescent="0.3">
      <c r="A1747" t="s">
        <v>11861</v>
      </c>
      <c r="B1747" t="s">
        <v>362</v>
      </c>
      <c r="C1747" t="s">
        <v>11640</v>
      </c>
      <c r="D1747" t="s">
        <v>2561</v>
      </c>
      <c r="E1747" t="s">
        <v>477</v>
      </c>
      <c r="F1747" t="s">
        <v>11862</v>
      </c>
      <c r="I1747" t="s">
        <v>11863</v>
      </c>
      <c r="J1747">
        <v>4995453</v>
      </c>
      <c r="K1747" t="s">
        <v>11864</v>
      </c>
      <c r="L1747">
        <v>1234</v>
      </c>
      <c r="M1747" t="s">
        <v>645</v>
      </c>
      <c r="N1747" t="s">
        <v>16</v>
      </c>
      <c r="O1747" t="s">
        <v>412</v>
      </c>
      <c r="P1747">
        <v>3724</v>
      </c>
    </row>
    <row r="1748" spans="1:17" x14ac:dyDescent="0.3">
      <c r="A1748" t="s">
        <v>11865</v>
      </c>
      <c r="B1748" t="s">
        <v>9744</v>
      </c>
      <c r="C1748" t="s">
        <v>11866</v>
      </c>
      <c r="D1748" t="s">
        <v>2561</v>
      </c>
      <c r="E1748" t="s">
        <v>11867</v>
      </c>
      <c r="F1748" t="s">
        <v>11868</v>
      </c>
      <c r="G1748">
        <v>0</v>
      </c>
      <c r="H1748">
        <v>0</v>
      </c>
      <c r="I1748" t="s">
        <v>11869</v>
      </c>
      <c r="J1748">
        <v>9171534140</v>
      </c>
      <c r="K1748" t="s">
        <v>11870</v>
      </c>
      <c r="L1748">
        <v>1234</v>
      </c>
      <c r="M1748" t="s">
        <v>645</v>
      </c>
      <c r="N1748" t="s">
        <v>369</v>
      </c>
      <c r="O1748" t="s">
        <v>370</v>
      </c>
      <c r="P1748">
        <v>4077</v>
      </c>
    </row>
    <row r="1749" spans="1:17" x14ac:dyDescent="0.3">
      <c r="A1749" t="s">
        <v>11871</v>
      </c>
      <c r="B1749" t="s">
        <v>11872</v>
      </c>
      <c r="C1749" t="s">
        <v>11873</v>
      </c>
      <c r="E1749" t="s">
        <v>1062</v>
      </c>
      <c r="F1749" t="s">
        <v>11874</v>
      </c>
      <c r="I1749" t="s">
        <v>11875</v>
      </c>
      <c r="K1749" t="s">
        <v>11876</v>
      </c>
      <c r="L1749" t="s">
        <v>11877</v>
      </c>
      <c r="M1749" t="s">
        <v>645</v>
      </c>
      <c r="N1749" t="s">
        <v>369</v>
      </c>
      <c r="O1749" t="s">
        <v>6465</v>
      </c>
      <c r="P1749">
        <v>4079</v>
      </c>
      <c r="Q1749" t="s">
        <v>11878</v>
      </c>
    </row>
    <row r="1750" spans="1:17" x14ac:dyDescent="0.3">
      <c r="A1750" t="s">
        <v>11879</v>
      </c>
      <c r="B1750" t="s">
        <v>11880</v>
      </c>
      <c r="C1750" t="s">
        <v>7748</v>
      </c>
      <c r="D1750" t="s">
        <v>11881</v>
      </c>
      <c r="E1750" t="s">
        <v>363</v>
      </c>
      <c r="F1750" t="s">
        <v>11882</v>
      </c>
      <c r="G1750">
        <v>0</v>
      </c>
      <c r="H1750">
        <v>0</v>
      </c>
      <c r="I1750" t="s">
        <v>11883</v>
      </c>
      <c r="J1750">
        <v>9171121392</v>
      </c>
      <c r="K1750" t="s">
        <v>11884</v>
      </c>
      <c r="L1750" t="s">
        <v>11885</v>
      </c>
      <c r="M1750" t="s">
        <v>645</v>
      </c>
      <c r="N1750" t="s">
        <v>398</v>
      </c>
      <c r="O1750" t="s">
        <v>399</v>
      </c>
      <c r="P1750">
        <v>4062</v>
      </c>
    </row>
    <row r="1751" spans="1:17" x14ac:dyDescent="0.3">
      <c r="A1751" t="s">
        <v>11886</v>
      </c>
      <c r="B1751" t="s">
        <v>11887</v>
      </c>
      <c r="C1751" t="s">
        <v>11888</v>
      </c>
      <c r="D1751" t="s">
        <v>11889</v>
      </c>
      <c r="E1751" t="s">
        <v>7133</v>
      </c>
      <c r="F1751" t="s">
        <v>11890</v>
      </c>
      <c r="G1751">
        <v>2.1457672118310401E-5</v>
      </c>
      <c r="H1751">
        <v>3.0040740966796799E-4</v>
      </c>
      <c r="I1751" t="s">
        <v>11891</v>
      </c>
      <c r="J1751">
        <v>9295868182</v>
      </c>
      <c r="K1751" t="s">
        <v>11892</v>
      </c>
      <c r="L1751">
        <v>1234</v>
      </c>
      <c r="M1751" t="s">
        <v>645</v>
      </c>
      <c r="N1751" t="s">
        <v>336</v>
      </c>
      <c r="O1751" t="s">
        <v>5516</v>
      </c>
      <c r="P1751">
        <v>4042</v>
      </c>
    </row>
    <row r="1752" spans="1:17" x14ac:dyDescent="0.3">
      <c r="A1752" t="s">
        <v>11893</v>
      </c>
      <c r="B1752" t="s">
        <v>11894</v>
      </c>
      <c r="C1752" t="s">
        <v>11895</v>
      </c>
      <c r="D1752" t="s">
        <v>177</v>
      </c>
      <c r="E1752" t="s">
        <v>329</v>
      </c>
      <c r="F1752" t="s">
        <v>11896</v>
      </c>
      <c r="G1752">
        <v>0</v>
      </c>
      <c r="H1752">
        <v>0</v>
      </c>
      <c r="I1752" t="s">
        <v>11897</v>
      </c>
      <c r="J1752">
        <v>9455260619</v>
      </c>
      <c r="K1752" t="s">
        <v>11898</v>
      </c>
      <c r="L1752">
        <v>1234</v>
      </c>
      <c r="M1752" t="s">
        <v>645</v>
      </c>
      <c r="N1752" t="s">
        <v>16</v>
      </c>
      <c r="O1752" t="s">
        <v>292</v>
      </c>
      <c r="P1752">
        <v>4035</v>
      </c>
    </row>
    <row r="1753" spans="1:17" x14ac:dyDescent="0.3">
      <c r="A1753" t="s">
        <v>11899</v>
      </c>
      <c r="B1753" t="s">
        <v>10715</v>
      </c>
      <c r="C1753" t="s">
        <v>1554</v>
      </c>
      <c r="D1753" t="s">
        <v>177</v>
      </c>
      <c r="E1753" t="s">
        <v>793</v>
      </c>
      <c r="F1753" t="s">
        <v>11900</v>
      </c>
      <c r="G1753">
        <v>0</v>
      </c>
      <c r="H1753">
        <v>0</v>
      </c>
      <c r="I1753" t="s">
        <v>10717</v>
      </c>
      <c r="J1753">
        <v>9058732672</v>
      </c>
      <c r="K1753" t="s">
        <v>11901</v>
      </c>
      <c r="L1753">
        <v>1234</v>
      </c>
      <c r="M1753" t="s">
        <v>645</v>
      </c>
      <c r="N1753" t="s">
        <v>336</v>
      </c>
      <c r="O1753" t="s">
        <v>5516</v>
      </c>
      <c r="P1753">
        <v>4094</v>
      </c>
      <c r="Q1753" t="s">
        <v>11902</v>
      </c>
    </row>
    <row r="1754" spans="1:17" x14ac:dyDescent="0.3">
      <c r="A1754" t="s">
        <v>11903</v>
      </c>
      <c r="B1754" t="s">
        <v>7856</v>
      </c>
      <c r="C1754" t="s">
        <v>11001</v>
      </c>
      <c r="D1754" t="s">
        <v>11002</v>
      </c>
      <c r="E1754" t="s">
        <v>3723</v>
      </c>
      <c r="F1754" t="s">
        <v>11904</v>
      </c>
      <c r="I1754" t="s">
        <v>5653</v>
      </c>
      <c r="J1754">
        <v>9661925170</v>
      </c>
      <c r="K1754" t="s">
        <v>11905</v>
      </c>
      <c r="L1754">
        <v>1234</v>
      </c>
      <c r="M1754" t="s">
        <v>645</v>
      </c>
      <c r="N1754" t="s">
        <v>336</v>
      </c>
      <c r="O1754" t="s">
        <v>515</v>
      </c>
      <c r="P1754">
        <v>4118</v>
      </c>
    </row>
    <row r="1755" spans="1:17" x14ac:dyDescent="0.3">
      <c r="A1755" t="s">
        <v>11906</v>
      </c>
      <c r="B1755" t="s">
        <v>426</v>
      </c>
      <c r="C1755" t="s">
        <v>11907</v>
      </c>
      <c r="D1755" t="s">
        <v>539</v>
      </c>
      <c r="E1755" t="s">
        <v>1284</v>
      </c>
      <c r="F1755" t="s">
        <v>11908</v>
      </c>
      <c r="I1755" t="s">
        <v>11909</v>
      </c>
      <c r="J1755">
        <v>9175562625</v>
      </c>
      <c r="K1755" t="s">
        <v>11910</v>
      </c>
      <c r="L1755">
        <v>1234</v>
      </c>
      <c r="M1755" t="s">
        <v>645</v>
      </c>
      <c r="N1755" t="s">
        <v>369</v>
      </c>
      <c r="P1755">
        <v>4082</v>
      </c>
    </row>
    <row r="1756" spans="1:17" x14ac:dyDescent="0.3">
      <c r="A1756" t="s">
        <v>11911</v>
      </c>
      <c r="B1756" t="s">
        <v>11912</v>
      </c>
      <c r="C1756" t="s">
        <v>11913</v>
      </c>
      <c r="D1756" t="s">
        <v>4867</v>
      </c>
      <c r="E1756" t="s">
        <v>329</v>
      </c>
      <c r="F1756" t="s">
        <v>11914</v>
      </c>
      <c r="I1756" t="s">
        <v>11915</v>
      </c>
      <c r="K1756" t="s">
        <v>11916</v>
      </c>
      <c r="L1756">
        <v>1234</v>
      </c>
      <c r="M1756" t="s">
        <v>645</v>
      </c>
      <c r="N1756" t="s">
        <v>336</v>
      </c>
      <c r="P1756">
        <v>4025</v>
      </c>
    </row>
    <row r="1757" spans="1:17" x14ac:dyDescent="0.3">
      <c r="A1757" t="s">
        <v>11917</v>
      </c>
      <c r="B1757" t="s">
        <v>11918</v>
      </c>
      <c r="C1757" t="s">
        <v>11919</v>
      </c>
      <c r="D1757" t="s">
        <v>756</v>
      </c>
      <c r="E1757" t="s">
        <v>11920</v>
      </c>
      <c r="F1757" t="s">
        <v>11921</v>
      </c>
      <c r="G1757">
        <v>0</v>
      </c>
      <c r="H1757">
        <v>0</v>
      </c>
      <c r="I1757" t="s">
        <v>11922</v>
      </c>
      <c r="J1757">
        <v>9175638080</v>
      </c>
      <c r="K1757" t="s">
        <v>11923</v>
      </c>
      <c r="L1757">
        <v>1234</v>
      </c>
      <c r="M1757" t="s">
        <v>645</v>
      </c>
      <c r="N1757" t="s">
        <v>336</v>
      </c>
      <c r="O1757" t="s">
        <v>515</v>
      </c>
      <c r="P1757">
        <v>4037</v>
      </c>
    </row>
    <row r="1758" spans="1:17" x14ac:dyDescent="0.3">
      <c r="A1758" t="s">
        <v>11924</v>
      </c>
      <c r="F1758" t="s">
        <v>11925</v>
      </c>
      <c r="K1758" t="s">
        <v>10096</v>
      </c>
      <c r="L1758">
        <v>1234</v>
      </c>
      <c r="M1758" t="s">
        <v>645</v>
      </c>
      <c r="P1758">
        <v>0</v>
      </c>
    </row>
    <row r="1759" spans="1:17" x14ac:dyDescent="0.3">
      <c r="A1759" t="s">
        <v>11926</v>
      </c>
      <c r="K1759" t="s">
        <v>11485</v>
      </c>
      <c r="L1759">
        <v>1234</v>
      </c>
      <c r="M1759" t="s">
        <v>645</v>
      </c>
      <c r="P1759">
        <v>0</v>
      </c>
    </row>
    <row r="1760" spans="1:17" x14ac:dyDescent="0.3">
      <c r="A1760" t="s">
        <v>11927</v>
      </c>
      <c r="F1760" t="s">
        <v>11928</v>
      </c>
      <c r="K1760" t="s">
        <v>11929</v>
      </c>
      <c r="L1760">
        <v>1234</v>
      </c>
      <c r="M1760" t="s">
        <v>645</v>
      </c>
      <c r="P1760">
        <v>0</v>
      </c>
    </row>
    <row r="1761" spans="1:16" x14ac:dyDescent="0.3">
      <c r="A1761" t="s">
        <v>11930</v>
      </c>
      <c r="F1761" t="s">
        <v>11928</v>
      </c>
      <c r="K1761" t="s">
        <v>11929</v>
      </c>
      <c r="L1761">
        <v>1234</v>
      </c>
      <c r="M1761" t="s">
        <v>645</v>
      </c>
      <c r="P1761">
        <v>0</v>
      </c>
    </row>
    <row r="1762" spans="1:16" x14ac:dyDescent="0.3">
      <c r="A1762" t="s">
        <v>11931</v>
      </c>
      <c r="F1762" t="s">
        <v>11928</v>
      </c>
      <c r="K1762" t="s">
        <v>11485</v>
      </c>
      <c r="L1762">
        <v>1234</v>
      </c>
      <c r="M1762" t="s">
        <v>645</v>
      </c>
      <c r="P1762">
        <v>0</v>
      </c>
    </row>
    <row r="1763" spans="1:16" x14ac:dyDescent="0.3">
      <c r="A1763" t="s">
        <v>11927</v>
      </c>
      <c r="F1763" t="s">
        <v>11928</v>
      </c>
      <c r="K1763" t="s">
        <v>11932</v>
      </c>
      <c r="L1763">
        <v>1234</v>
      </c>
      <c r="M1763" t="s">
        <v>645</v>
      </c>
      <c r="P1763">
        <v>0</v>
      </c>
    </row>
    <row r="1764" spans="1:16" x14ac:dyDescent="0.3">
      <c r="A1764" t="s">
        <v>11933</v>
      </c>
      <c r="F1764" t="s">
        <v>11928</v>
      </c>
      <c r="K1764" t="s">
        <v>11934</v>
      </c>
      <c r="L1764">
        <v>1234</v>
      </c>
      <c r="M1764" t="s">
        <v>645</v>
      </c>
      <c r="P1764">
        <v>0</v>
      </c>
    </row>
    <row r="1765" spans="1:16" x14ac:dyDescent="0.3">
      <c r="A1765" t="s">
        <v>11926</v>
      </c>
      <c r="F1765" t="s">
        <v>11928</v>
      </c>
      <c r="K1765" t="s">
        <v>11935</v>
      </c>
      <c r="L1765">
        <v>1234</v>
      </c>
      <c r="M1765" t="s">
        <v>645</v>
      </c>
      <c r="P1765">
        <v>0</v>
      </c>
    </row>
    <row r="1766" spans="1:16" x14ac:dyDescent="0.3">
      <c r="A1766" t="s">
        <v>11927</v>
      </c>
      <c r="K1766" t="s">
        <v>11936</v>
      </c>
      <c r="L1766">
        <v>1234</v>
      </c>
      <c r="M1766" t="s">
        <v>645</v>
      </c>
      <c r="P1766">
        <v>9999</v>
      </c>
    </row>
    <row r="1767" spans="1:16" x14ac:dyDescent="0.3">
      <c r="A1767" t="s">
        <v>11937</v>
      </c>
      <c r="B1767" t="s">
        <v>4030</v>
      </c>
      <c r="C1767" t="s">
        <v>4031</v>
      </c>
      <c r="D1767" t="s">
        <v>4032</v>
      </c>
      <c r="E1767" t="s">
        <v>4033</v>
      </c>
      <c r="F1767" t="s">
        <v>11938</v>
      </c>
      <c r="G1767">
        <v>0</v>
      </c>
      <c r="H1767">
        <v>0</v>
      </c>
      <c r="I1767" t="s">
        <v>4035</v>
      </c>
      <c r="J1767" t="s">
        <v>4036</v>
      </c>
      <c r="K1767" t="s">
        <v>11939</v>
      </c>
      <c r="L1767">
        <v>1234</v>
      </c>
      <c r="M1767" t="s">
        <v>645</v>
      </c>
      <c r="N1767" t="s">
        <v>336</v>
      </c>
      <c r="O1767" t="s">
        <v>515</v>
      </c>
      <c r="P1767">
        <v>4109</v>
      </c>
    </row>
    <row r="1768" spans="1:16" x14ac:dyDescent="0.3">
      <c r="A1768" t="s">
        <v>11940</v>
      </c>
      <c r="B1768" t="s">
        <v>4030</v>
      </c>
      <c r="C1768" t="s">
        <v>4031</v>
      </c>
      <c r="D1768" t="s">
        <v>4032</v>
      </c>
      <c r="E1768" t="s">
        <v>4033</v>
      </c>
      <c r="F1768" t="s">
        <v>11941</v>
      </c>
      <c r="G1768">
        <v>0</v>
      </c>
      <c r="H1768">
        <v>0</v>
      </c>
      <c r="I1768" t="s">
        <v>4035</v>
      </c>
      <c r="J1768" t="s">
        <v>4036</v>
      </c>
      <c r="K1768" t="s">
        <v>11942</v>
      </c>
      <c r="L1768">
        <v>1234</v>
      </c>
      <c r="M1768" t="s">
        <v>645</v>
      </c>
      <c r="N1768" t="s">
        <v>336</v>
      </c>
      <c r="O1768" t="s">
        <v>515</v>
      </c>
      <c r="P1768">
        <v>4110</v>
      </c>
    </row>
    <row r="1769" spans="1:16" x14ac:dyDescent="0.3">
      <c r="A1769" t="s">
        <v>11943</v>
      </c>
      <c r="B1769" t="s">
        <v>236</v>
      </c>
      <c r="C1769" t="s">
        <v>11944</v>
      </c>
      <c r="D1769" t="s">
        <v>756</v>
      </c>
      <c r="E1769" t="s">
        <v>717</v>
      </c>
      <c r="F1769" t="s">
        <v>11945</v>
      </c>
      <c r="I1769" t="s">
        <v>11946</v>
      </c>
      <c r="J1769">
        <v>9066377414</v>
      </c>
      <c r="K1769" t="s">
        <v>11947</v>
      </c>
      <c r="L1769">
        <v>1234</v>
      </c>
      <c r="M1769" t="s">
        <v>645</v>
      </c>
      <c r="N1769" t="s">
        <v>398</v>
      </c>
      <c r="O1769" t="s">
        <v>853</v>
      </c>
      <c r="P1769">
        <v>4086</v>
      </c>
    </row>
    <row r="1770" spans="1:16" x14ac:dyDescent="0.3">
      <c r="A1770" t="s">
        <v>11948</v>
      </c>
      <c r="B1770" t="s">
        <v>48</v>
      </c>
      <c r="C1770" t="s">
        <v>11949</v>
      </c>
      <c r="E1770" t="s">
        <v>9700</v>
      </c>
      <c r="F1770" t="s">
        <v>11950</v>
      </c>
      <c r="I1770" t="s">
        <v>11951</v>
      </c>
      <c r="J1770">
        <v>9171032371</v>
      </c>
      <c r="K1770" t="s">
        <v>11952</v>
      </c>
      <c r="L1770">
        <v>1234</v>
      </c>
      <c r="M1770" t="s">
        <v>645</v>
      </c>
      <c r="N1770" t="s">
        <v>871</v>
      </c>
      <c r="O1770" t="s">
        <v>1628</v>
      </c>
      <c r="P1770">
        <v>3735</v>
      </c>
    </row>
    <row r="1771" spans="1:16" x14ac:dyDescent="0.3">
      <c r="A1771" t="s">
        <v>11953</v>
      </c>
      <c r="B1771" t="s">
        <v>11114</v>
      </c>
      <c r="C1771" t="s">
        <v>11954</v>
      </c>
      <c r="D1771" t="s">
        <v>88</v>
      </c>
      <c r="E1771" t="s">
        <v>3723</v>
      </c>
      <c r="F1771" t="s">
        <v>11955</v>
      </c>
      <c r="G1771">
        <v>0</v>
      </c>
      <c r="H1771">
        <v>0</v>
      </c>
      <c r="I1771" t="s">
        <v>11956</v>
      </c>
      <c r="J1771">
        <v>9973216637</v>
      </c>
      <c r="K1771" t="s">
        <v>11957</v>
      </c>
      <c r="L1771">
        <v>1234</v>
      </c>
      <c r="M1771" t="s">
        <v>645</v>
      </c>
      <c r="N1771" t="s">
        <v>398</v>
      </c>
      <c r="O1771" t="s">
        <v>582</v>
      </c>
      <c r="P1771">
        <v>4112</v>
      </c>
    </row>
    <row r="1772" spans="1:16" x14ac:dyDescent="0.3">
      <c r="A1772" t="s">
        <v>11958</v>
      </c>
      <c r="B1772" t="s">
        <v>5185</v>
      </c>
      <c r="C1772" t="s">
        <v>11959</v>
      </c>
      <c r="D1772" t="s">
        <v>1555</v>
      </c>
      <c r="E1772" t="s">
        <v>8326</v>
      </c>
      <c r="F1772" t="s">
        <v>11960</v>
      </c>
      <c r="G1772">
        <v>0</v>
      </c>
      <c r="H1772">
        <v>0</v>
      </c>
      <c r="I1772" t="s">
        <v>11961</v>
      </c>
      <c r="J1772">
        <v>9989554905</v>
      </c>
      <c r="K1772" t="s">
        <v>11962</v>
      </c>
      <c r="L1772">
        <v>1234</v>
      </c>
      <c r="M1772" t="s">
        <v>645</v>
      </c>
      <c r="N1772" t="s">
        <v>304</v>
      </c>
      <c r="O1772" t="s">
        <v>305</v>
      </c>
      <c r="P1772">
        <v>4047</v>
      </c>
    </row>
    <row r="1773" spans="1:16" x14ac:dyDescent="0.3">
      <c r="A1773" t="s">
        <v>1731</v>
      </c>
      <c r="B1773" t="s">
        <v>1732</v>
      </c>
      <c r="C1773" t="s">
        <v>1733</v>
      </c>
      <c r="D1773" t="s">
        <v>1734</v>
      </c>
      <c r="E1773" t="s">
        <v>1699</v>
      </c>
      <c r="F1773" t="s">
        <v>11963</v>
      </c>
      <c r="G1773">
        <v>0</v>
      </c>
      <c r="H1773">
        <v>0</v>
      </c>
      <c r="I1773" t="s">
        <v>11964</v>
      </c>
      <c r="J1773">
        <v>91751177466</v>
      </c>
      <c r="K1773" t="s">
        <v>11965</v>
      </c>
      <c r="L1773">
        <v>1234</v>
      </c>
      <c r="M1773" t="s">
        <v>645</v>
      </c>
      <c r="N1773" t="s">
        <v>398</v>
      </c>
      <c r="O1773" t="s">
        <v>853</v>
      </c>
      <c r="P1773">
        <v>4087</v>
      </c>
    </row>
    <row r="1774" spans="1:16" x14ac:dyDescent="0.3">
      <c r="A1774" t="s">
        <v>1731</v>
      </c>
      <c r="B1774" t="s">
        <v>1732</v>
      </c>
      <c r="C1774" t="s">
        <v>1733</v>
      </c>
      <c r="D1774" t="s">
        <v>1734</v>
      </c>
      <c r="E1774" t="s">
        <v>1699</v>
      </c>
      <c r="F1774" t="s">
        <v>11963</v>
      </c>
      <c r="G1774">
        <v>0</v>
      </c>
      <c r="H1774">
        <v>0</v>
      </c>
      <c r="I1774" t="s">
        <v>11964</v>
      </c>
      <c r="J1774">
        <v>91751177466</v>
      </c>
      <c r="K1774" t="s">
        <v>11965</v>
      </c>
      <c r="L1774">
        <v>1234</v>
      </c>
      <c r="M1774" t="s">
        <v>645</v>
      </c>
      <c r="N1774" t="s">
        <v>398</v>
      </c>
      <c r="O1774" t="s">
        <v>853</v>
      </c>
      <c r="P1774">
        <v>4087</v>
      </c>
    </row>
    <row r="1775" spans="1:16" x14ac:dyDescent="0.3">
      <c r="A1775" t="s">
        <v>11966</v>
      </c>
      <c r="B1775" t="s">
        <v>5648</v>
      </c>
      <c r="C1775" t="s">
        <v>5649</v>
      </c>
      <c r="D1775" t="s">
        <v>5650</v>
      </c>
      <c r="E1775" t="s">
        <v>3723</v>
      </c>
      <c r="F1775" t="s">
        <v>11967</v>
      </c>
      <c r="G1775">
        <v>2.14576721183104E-4</v>
      </c>
      <c r="H1775">
        <v>3.08990478515625E-3</v>
      </c>
      <c r="I1775" t="s">
        <v>11968</v>
      </c>
      <c r="J1775">
        <v>9625597107</v>
      </c>
      <c r="K1775" t="s">
        <v>11969</v>
      </c>
      <c r="L1775">
        <v>1234</v>
      </c>
      <c r="M1775" t="s">
        <v>645</v>
      </c>
      <c r="N1775" t="s">
        <v>369</v>
      </c>
      <c r="O1775" t="s">
        <v>2181</v>
      </c>
      <c r="P1775">
        <v>4080</v>
      </c>
    </row>
    <row r="1776" spans="1:16" x14ac:dyDescent="0.3">
      <c r="A1776" t="s">
        <v>11970</v>
      </c>
      <c r="B1776" t="s">
        <v>11971</v>
      </c>
      <c r="C1776" t="s">
        <v>11972</v>
      </c>
      <c r="D1776" t="s">
        <v>539</v>
      </c>
      <c r="E1776" t="s">
        <v>704</v>
      </c>
      <c r="F1776" t="s">
        <v>11973</v>
      </c>
      <c r="G1776">
        <v>15.188121102891801</v>
      </c>
      <c r="H1776">
        <v>120.55709838867099</v>
      </c>
      <c r="I1776" t="s">
        <v>11974</v>
      </c>
      <c r="J1776">
        <v>9368905667</v>
      </c>
      <c r="K1776" t="s">
        <v>11975</v>
      </c>
      <c r="L1776">
        <v>1234</v>
      </c>
      <c r="M1776" t="s">
        <v>645</v>
      </c>
      <c r="N1776" t="s">
        <v>398</v>
      </c>
      <c r="O1776" t="s">
        <v>582</v>
      </c>
      <c r="P1776">
        <v>3647</v>
      </c>
    </row>
    <row r="1777" spans="1:17" x14ac:dyDescent="0.3">
      <c r="A1777" t="s">
        <v>11976</v>
      </c>
      <c r="B1777" t="s">
        <v>11977</v>
      </c>
      <c r="C1777" t="s">
        <v>11978</v>
      </c>
      <c r="D1777" t="s">
        <v>4867</v>
      </c>
      <c r="E1777" t="s">
        <v>1937</v>
      </c>
      <c r="F1777" t="s">
        <v>11979</v>
      </c>
      <c r="I1777" t="s">
        <v>11980</v>
      </c>
      <c r="J1777">
        <v>9673700581</v>
      </c>
      <c r="K1777" t="s">
        <v>11981</v>
      </c>
      <c r="L1777">
        <v>1234</v>
      </c>
      <c r="M1777" t="s">
        <v>645</v>
      </c>
      <c r="N1777" t="s">
        <v>398</v>
      </c>
      <c r="O1777" t="s">
        <v>582</v>
      </c>
      <c r="P1777">
        <v>4124</v>
      </c>
    </row>
    <row r="1778" spans="1:17" x14ac:dyDescent="0.3">
      <c r="A1778" t="s">
        <v>11982</v>
      </c>
      <c r="B1778" t="s">
        <v>4629</v>
      </c>
      <c r="C1778" t="s">
        <v>11983</v>
      </c>
      <c r="D1778" t="s">
        <v>2099</v>
      </c>
      <c r="E1778" t="s">
        <v>704</v>
      </c>
      <c r="F1778" t="s">
        <v>11984</v>
      </c>
      <c r="G1778">
        <v>0</v>
      </c>
      <c r="H1778">
        <v>0</v>
      </c>
      <c r="I1778" t="s">
        <v>11985</v>
      </c>
      <c r="J1778">
        <v>9354349385</v>
      </c>
      <c r="K1778" t="s">
        <v>11986</v>
      </c>
      <c r="L1778">
        <v>1234</v>
      </c>
      <c r="M1778" t="s">
        <v>645</v>
      </c>
      <c r="N1778" t="s">
        <v>398</v>
      </c>
      <c r="O1778" t="s">
        <v>11987</v>
      </c>
      <c r="P1778">
        <v>4049</v>
      </c>
      <c r="Q1778" t="s">
        <v>11988</v>
      </c>
    </row>
    <row r="1779" spans="1:17" x14ac:dyDescent="0.3">
      <c r="A1779" t="s">
        <v>11989</v>
      </c>
      <c r="B1779" t="s">
        <v>11990</v>
      </c>
      <c r="C1779" t="s">
        <v>5487</v>
      </c>
      <c r="D1779" t="s">
        <v>11991</v>
      </c>
      <c r="E1779" t="s">
        <v>1276</v>
      </c>
      <c r="F1779" t="s">
        <v>11992</v>
      </c>
      <c r="G1779">
        <v>0</v>
      </c>
      <c r="H1779">
        <v>0</v>
      </c>
      <c r="I1779" t="s">
        <v>11993</v>
      </c>
      <c r="J1779">
        <v>9695748192</v>
      </c>
      <c r="K1779">
        <v>4130</v>
      </c>
      <c r="L1779" t="s">
        <v>11994</v>
      </c>
      <c r="M1779" t="s">
        <v>645</v>
      </c>
      <c r="N1779" t="s">
        <v>398</v>
      </c>
      <c r="O1779" t="s">
        <v>582</v>
      </c>
      <c r="P1779">
        <v>4130</v>
      </c>
    </row>
    <row r="1780" spans="1:17" x14ac:dyDescent="0.3">
      <c r="A1780" t="s">
        <v>11995</v>
      </c>
      <c r="B1780" t="s">
        <v>1319</v>
      </c>
      <c r="C1780" t="s">
        <v>11996</v>
      </c>
      <c r="D1780" t="s">
        <v>1555</v>
      </c>
      <c r="E1780" t="s">
        <v>3222</v>
      </c>
      <c r="F1780" t="s">
        <v>11997</v>
      </c>
      <c r="I1780" t="s">
        <v>11998</v>
      </c>
      <c r="J1780">
        <v>9297990420</v>
      </c>
      <c r="K1780" t="s">
        <v>11999</v>
      </c>
      <c r="L1780">
        <v>1234</v>
      </c>
      <c r="M1780" t="s">
        <v>645</v>
      </c>
      <c r="N1780" t="s">
        <v>398</v>
      </c>
      <c r="O1780" t="s">
        <v>582</v>
      </c>
      <c r="P1780">
        <v>3652</v>
      </c>
    </row>
    <row r="1781" spans="1:17" x14ac:dyDescent="0.3">
      <c r="A1781" t="s">
        <v>12000</v>
      </c>
      <c r="B1781" t="s">
        <v>12001</v>
      </c>
      <c r="C1781" t="s">
        <v>12002</v>
      </c>
      <c r="E1781" t="s">
        <v>23</v>
      </c>
      <c r="F1781" t="s">
        <v>12003</v>
      </c>
      <c r="I1781" t="s">
        <v>12004</v>
      </c>
      <c r="K1781" t="s">
        <v>12005</v>
      </c>
      <c r="L1781">
        <v>1234</v>
      </c>
      <c r="M1781" t="s">
        <v>645</v>
      </c>
      <c r="N1781" t="s">
        <v>336</v>
      </c>
      <c r="O1781" t="s">
        <v>515</v>
      </c>
      <c r="P1781">
        <v>3447</v>
      </c>
    </row>
    <row r="1782" spans="1:17" x14ac:dyDescent="0.3">
      <c r="A1782" t="s">
        <v>12006</v>
      </c>
      <c r="B1782" t="s">
        <v>12007</v>
      </c>
      <c r="C1782" t="s">
        <v>12008</v>
      </c>
      <c r="D1782" t="s">
        <v>2561</v>
      </c>
      <c r="E1782" t="s">
        <v>12009</v>
      </c>
      <c r="F1782" t="s">
        <v>12010</v>
      </c>
      <c r="I1782" t="s">
        <v>12011</v>
      </c>
      <c r="J1782">
        <v>9171280468</v>
      </c>
      <c r="K1782" t="s">
        <v>12012</v>
      </c>
      <c r="L1782">
        <v>1234</v>
      </c>
      <c r="M1782" t="s">
        <v>645</v>
      </c>
      <c r="N1782" t="s">
        <v>336</v>
      </c>
      <c r="P1782">
        <v>3287</v>
      </c>
    </row>
    <row r="1783" spans="1:17" x14ac:dyDescent="0.3">
      <c r="A1783" t="s">
        <v>12013</v>
      </c>
      <c r="B1783" t="s">
        <v>12014</v>
      </c>
      <c r="C1783" t="s">
        <v>12015</v>
      </c>
      <c r="D1783" t="s">
        <v>1571</v>
      </c>
      <c r="E1783" t="s">
        <v>867</v>
      </c>
      <c r="F1783" t="s">
        <v>12016</v>
      </c>
      <c r="G1783">
        <v>15.166306000000001</v>
      </c>
      <c r="H1783">
        <v>120.58072900000001</v>
      </c>
      <c r="I1783" t="s">
        <v>12017</v>
      </c>
      <c r="J1783">
        <v>9957558778</v>
      </c>
      <c r="K1783">
        <v>4143</v>
      </c>
      <c r="L1783" t="s">
        <v>12018</v>
      </c>
      <c r="M1783" t="s">
        <v>645</v>
      </c>
      <c r="N1783" t="s">
        <v>779</v>
      </c>
      <c r="O1783" t="s">
        <v>12019</v>
      </c>
      <c r="P1783">
        <v>4143</v>
      </c>
    </row>
    <row r="1784" spans="1:17" x14ac:dyDescent="0.3">
      <c r="A1784" t="s">
        <v>12020</v>
      </c>
      <c r="B1784" t="s">
        <v>12021</v>
      </c>
      <c r="C1784" t="s">
        <v>6239</v>
      </c>
      <c r="E1784" t="s">
        <v>7028</v>
      </c>
      <c r="F1784" t="s">
        <v>12022</v>
      </c>
      <c r="I1784" t="s">
        <v>12023</v>
      </c>
      <c r="J1784">
        <v>9170900421</v>
      </c>
      <c r="K1784" t="s">
        <v>12024</v>
      </c>
      <c r="L1784">
        <v>1234</v>
      </c>
      <c r="M1784" t="s">
        <v>645</v>
      </c>
      <c r="N1784" t="s">
        <v>398</v>
      </c>
      <c r="O1784" t="s">
        <v>853</v>
      </c>
      <c r="P1784">
        <v>4000</v>
      </c>
    </row>
    <row r="1785" spans="1:17" x14ac:dyDescent="0.3">
      <c r="A1785" t="s">
        <v>12025</v>
      </c>
      <c r="B1785" t="s">
        <v>12026</v>
      </c>
      <c r="C1785" t="s">
        <v>12027</v>
      </c>
      <c r="E1785" t="s">
        <v>3153</v>
      </c>
      <c r="F1785" t="s">
        <v>12028</v>
      </c>
      <c r="I1785" t="s">
        <v>12029</v>
      </c>
      <c r="K1785" t="s">
        <v>12030</v>
      </c>
      <c r="L1785">
        <v>1234</v>
      </c>
      <c r="M1785" t="s">
        <v>645</v>
      </c>
      <c r="N1785" t="s">
        <v>369</v>
      </c>
      <c r="O1785" t="s">
        <v>370</v>
      </c>
      <c r="P1785">
        <v>4088</v>
      </c>
    </row>
    <row r="1786" spans="1:17" x14ac:dyDescent="0.3">
      <c r="A1786" t="s">
        <v>12031</v>
      </c>
      <c r="B1786" t="s">
        <v>1852</v>
      </c>
      <c r="C1786" t="s">
        <v>12032</v>
      </c>
      <c r="D1786" t="s">
        <v>2682</v>
      </c>
      <c r="E1786" t="s">
        <v>3965</v>
      </c>
      <c r="F1786" t="s">
        <v>12033</v>
      </c>
      <c r="I1786" t="s">
        <v>12034</v>
      </c>
      <c r="J1786">
        <v>9988892887</v>
      </c>
      <c r="K1786" t="s">
        <v>12035</v>
      </c>
      <c r="L1786">
        <v>1234</v>
      </c>
      <c r="M1786" t="s">
        <v>645</v>
      </c>
      <c r="N1786" t="s">
        <v>398</v>
      </c>
      <c r="O1786" t="s">
        <v>399</v>
      </c>
      <c r="P1786">
        <v>4071</v>
      </c>
    </row>
    <row r="1787" spans="1:17" x14ac:dyDescent="0.3">
      <c r="A1787" t="s">
        <v>3099</v>
      </c>
      <c r="B1787" t="s">
        <v>3100</v>
      </c>
      <c r="C1787" t="s">
        <v>3101</v>
      </c>
      <c r="D1787" t="s">
        <v>1994</v>
      </c>
      <c r="E1787" t="s">
        <v>3102</v>
      </c>
      <c r="F1787" t="s">
        <v>3103</v>
      </c>
      <c r="I1787" t="s">
        <v>3104</v>
      </c>
      <c r="J1787" t="s">
        <v>3105</v>
      </c>
      <c r="K1787" t="s">
        <v>3106</v>
      </c>
      <c r="L1787">
        <v>1234</v>
      </c>
      <c r="M1787" s="1">
        <v>43231</v>
      </c>
      <c r="N1787" t="s">
        <v>763</v>
      </c>
      <c r="O1787" t="s">
        <v>1288</v>
      </c>
      <c r="P1787">
        <v>634</v>
      </c>
    </row>
    <row r="1788" spans="1:17" x14ac:dyDescent="0.3">
      <c r="A1788" t="s">
        <v>12036</v>
      </c>
      <c r="B1788" t="s">
        <v>12037</v>
      </c>
      <c r="C1788" t="s">
        <v>12038</v>
      </c>
      <c r="D1788" t="s">
        <v>12039</v>
      </c>
      <c r="E1788" t="s">
        <v>3153</v>
      </c>
      <c r="F1788" t="s">
        <v>12040</v>
      </c>
      <c r="G1788">
        <v>0</v>
      </c>
      <c r="H1788">
        <v>0</v>
      </c>
      <c r="I1788" t="s">
        <v>12041</v>
      </c>
      <c r="J1788">
        <v>9171824447</v>
      </c>
      <c r="K1788">
        <v>4161</v>
      </c>
      <c r="L1788">
        <v>1234</v>
      </c>
      <c r="M1788" t="s">
        <v>645</v>
      </c>
      <c r="N1788" t="s">
        <v>398</v>
      </c>
      <c r="O1788" t="s">
        <v>853</v>
      </c>
      <c r="P1788">
        <v>4161</v>
      </c>
    </row>
    <row r="1789" spans="1:17" x14ac:dyDescent="0.3">
      <c r="A1789" t="s">
        <v>12042</v>
      </c>
      <c r="B1789" t="s">
        <v>12043</v>
      </c>
      <c r="C1789" t="s">
        <v>4156</v>
      </c>
      <c r="E1789" t="s">
        <v>9024</v>
      </c>
      <c r="F1789" t="s">
        <v>12044</v>
      </c>
      <c r="I1789" t="s">
        <v>12045</v>
      </c>
      <c r="J1789">
        <v>9758593876</v>
      </c>
      <c r="K1789" t="s">
        <v>12046</v>
      </c>
      <c r="L1789">
        <v>1234</v>
      </c>
      <c r="M1789" t="s">
        <v>645</v>
      </c>
      <c r="N1789" t="s">
        <v>16</v>
      </c>
      <c r="O1789" t="s">
        <v>292</v>
      </c>
      <c r="P1789">
        <v>4105</v>
      </c>
    </row>
    <row r="1790" spans="1:17" x14ac:dyDescent="0.3">
      <c r="A1790" t="s">
        <v>12047</v>
      </c>
      <c r="B1790" t="s">
        <v>3317</v>
      </c>
      <c r="C1790" t="s">
        <v>12048</v>
      </c>
      <c r="D1790" t="s">
        <v>12049</v>
      </c>
      <c r="E1790" t="s">
        <v>3018</v>
      </c>
      <c r="F1790" t="s">
        <v>12050</v>
      </c>
      <c r="G1790">
        <v>0</v>
      </c>
      <c r="H1790">
        <v>0</v>
      </c>
      <c r="I1790" t="s">
        <v>12051</v>
      </c>
      <c r="J1790">
        <v>9950027717</v>
      </c>
      <c r="K1790">
        <v>4156</v>
      </c>
      <c r="L1790">
        <v>1234</v>
      </c>
      <c r="M1790" t="s">
        <v>645</v>
      </c>
      <c r="N1790" t="s">
        <v>336</v>
      </c>
      <c r="O1790" t="s">
        <v>515</v>
      </c>
      <c r="P1790">
        <v>4156</v>
      </c>
    </row>
    <row r="1791" spans="1:17" x14ac:dyDescent="0.3">
      <c r="A1791" t="s">
        <v>12052</v>
      </c>
      <c r="B1791" t="s">
        <v>12053</v>
      </c>
      <c r="C1791" t="s">
        <v>1554</v>
      </c>
      <c r="D1791" t="s">
        <v>2682</v>
      </c>
      <c r="E1791" t="s">
        <v>1862</v>
      </c>
      <c r="F1791" t="s">
        <v>12054</v>
      </c>
      <c r="I1791" t="s">
        <v>12055</v>
      </c>
      <c r="J1791">
        <v>9178575029</v>
      </c>
      <c r="K1791">
        <v>4176</v>
      </c>
      <c r="L1791" t="s">
        <v>12056</v>
      </c>
      <c r="M1791" t="s">
        <v>645</v>
      </c>
      <c r="N1791" t="s">
        <v>369</v>
      </c>
      <c r="O1791" t="s">
        <v>370</v>
      </c>
      <c r="P1791">
        <v>4176</v>
      </c>
    </row>
    <row r="1792" spans="1:17" x14ac:dyDescent="0.3">
      <c r="A1792" t="s">
        <v>12057</v>
      </c>
      <c r="B1792" t="s">
        <v>12058</v>
      </c>
      <c r="C1792" t="s">
        <v>6599</v>
      </c>
      <c r="E1792" t="s">
        <v>3723</v>
      </c>
      <c r="F1792" t="s">
        <v>11152</v>
      </c>
      <c r="I1792" t="s">
        <v>12059</v>
      </c>
      <c r="J1792">
        <v>9771949488</v>
      </c>
      <c r="K1792" t="s">
        <v>12060</v>
      </c>
      <c r="L1792" t="s">
        <v>12061</v>
      </c>
      <c r="M1792" t="s">
        <v>645</v>
      </c>
      <c r="N1792" t="s">
        <v>398</v>
      </c>
      <c r="O1792" t="s">
        <v>582</v>
      </c>
      <c r="P1792">
        <v>3838</v>
      </c>
    </row>
    <row r="1793" spans="1:17" x14ac:dyDescent="0.3">
      <c r="A1793" t="s">
        <v>12062</v>
      </c>
      <c r="B1793" t="s">
        <v>1852</v>
      </c>
      <c r="C1793" t="s">
        <v>12063</v>
      </c>
      <c r="D1793" t="s">
        <v>2682</v>
      </c>
      <c r="E1793" t="s">
        <v>12064</v>
      </c>
      <c r="F1793" t="s">
        <v>12065</v>
      </c>
      <c r="I1793" t="s">
        <v>12066</v>
      </c>
      <c r="J1793">
        <v>9988411401</v>
      </c>
      <c r="K1793" t="s">
        <v>12067</v>
      </c>
      <c r="L1793">
        <v>1234</v>
      </c>
      <c r="M1793" t="s">
        <v>645</v>
      </c>
      <c r="N1793" t="s">
        <v>369</v>
      </c>
      <c r="O1793" t="s">
        <v>1388</v>
      </c>
      <c r="P1793">
        <v>4101</v>
      </c>
    </row>
    <row r="1794" spans="1:17" x14ac:dyDescent="0.3">
      <c r="A1794" t="s">
        <v>12068</v>
      </c>
      <c r="B1794" t="s">
        <v>12069</v>
      </c>
      <c r="C1794" t="s">
        <v>12070</v>
      </c>
      <c r="E1794" t="s">
        <v>12071</v>
      </c>
      <c r="F1794" t="s">
        <v>12072</v>
      </c>
      <c r="I1794" t="s">
        <v>12073</v>
      </c>
      <c r="J1794">
        <v>9150958892</v>
      </c>
      <c r="K1794" t="s">
        <v>12074</v>
      </c>
      <c r="L1794">
        <v>1234</v>
      </c>
      <c r="M1794" t="s">
        <v>645</v>
      </c>
      <c r="N1794" t="s">
        <v>336</v>
      </c>
      <c r="O1794" t="s">
        <v>515</v>
      </c>
      <c r="P1794">
        <v>4009</v>
      </c>
      <c r="Q1794" t="s">
        <v>12075</v>
      </c>
    </row>
    <row r="1795" spans="1:17" x14ac:dyDescent="0.3">
      <c r="A1795" t="s">
        <v>12076</v>
      </c>
      <c r="B1795" t="s">
        <v>12077</v>
      </c>
      <c r="C1795" t="s">
        <v>12078</v>
      </c>
      <c r="E1795" t="s">
        <v>3723</v>
      </c>
      <c r="F1795" t="s">
        <v>12079</v>
      </c>
      <c r="I1795" t="s">
        <v>12080</v>
      </c>
      <c r="J1795">
        <v>9452955430</v>
      </c>
      <c r="K1795" t="s">
        <v>12081</v>
      </c>
      <c r="L1795">
        <v>1234</v>
      </c>
      <c r="M1795" t="s">
        <v>645</v>
      </c>
      <c r="N1795" t="s">
        <v>336</v>
      </c>
      <c r="O1795" t="s">
        <v>2952</v>
      </c>
      <c r="P1795">
        <v>4106</v>
      </c>
    </row>
    <row r="1796" spans="1:17" x14ac:dyDescent="0.3">
      <c r="A1796" t="s">
        <v>12082</v>
      </c>
      <c r="B1796" t="s">
        <v>12083</v>
      </c>
      <c r="C1796" t="s">
        <v>12084</v>
      </c>
      <c r="D1796" t="s">
        <v>1571</v>
      </c>
      <c r="E1796" t="s">
        <v>12085</v>
      </c>
      <c r="F1796" t="s">
        <v>12086</v>
      </c>
      <c r="G1796">
        <v>0</v>
      </c>
      <c r="H1796">
        <v>0</v>
      </c>
      <c r="I1796" t="s">
        <v>12087</v>
      </c>
      <c r="J1796">
        <v>9175680170</v>
      </c>
      <c r="K1796" t="s">
        <v>12088</v>
      </c>
      <c r="L1796">
        <v>1234</v>
      </c>
      <c r="M1796" t="s">
        <v>645</v>
      </c>
      <c r="N1796" t="s">
        <v>336</v>
      </c>
      <c r="O1796" t="s">
        <v>515</v>
      </c>
      <c r="P1796">
        <v>4002</v>
      </c>
    </row>
    <row r="1797" spans="1:17" x14ac:dyDescent="0.3">
      <c r="A1797" t="s">
        <v>12089</v>
      </c>
      <c r="B1797" t="s">
        <v>12090</v>
      </c>
      <c r="C1797" t="s">
        <v>12091</v>
      </c>
      <c r="D1797" t="s">
        <v>12092</v>
      </c>
      <c r="E1797" t="s">
        <v>12093</v>
      </c>
      <c r="F1797" t="s">
        <v>12094</v>
      </c>
      <c r="G1797">
        <v>0</v>
      </c>
      <c r="H1797">
        <v>0</v>
      </c>
      <c r="I1797" t="s">
        <v>12095</v>
      </c>
      <c r="J1797">
        <v>9936671314</v>
      </c>
      <c r="K1797">
        <v>4163</v>
      </c>
      <c r="L1797">
        <v>1234</v>
      </c>
      <c r="M1797" t="s">
        <v>645</v>
      </c>
      <c r="N1797" t="s">
        <v>398</v>
      </c>
      <c r="O1797" t="s">
        <v>12096</v>
      </c>
      <c r="P1797">
        <v>4163</v>
      </c>
    </row>
    <row r="1798" spans="1:17" x14ac:dyDescent="0.3">
      <c r="A1798" t="s">
        <v>12097</v>
      </c>
      <c r="B1798" t="s">
        <v>10865</v>
      </c>
      <c r="C1798" t="s">
        <v>8576</v>
      </c>
      <c r="E1798" t="s">
        <v>975</v>
      </c>
      <c r="F1798" t="s">
        <v>12098</v>
      </c>
      <c r="I1798" t="s">
        <v>12099</v>
      </c>
      <c r="J1798">
        <v>9151232950</v>
      </c>
      <c r="K1798">
        <v>4038</v>
      </c>
      <c r="L1798">
        <v>401</v>
      </c>
      <c r="M1798" t="s">
        <v>645</v>
      </c>
      <c r="N1798" t="s">
        <v>336</v>
      </c>
      <c r="O1798" t="s">
        <v>515</v>
      </c>
      <c r="P1798">
        <v>4038</v>
      </c>
    </row>
    <row r="1799" spans="1:17" x14ac:dyDescent="0.3">
      <c r="A1799" t="s">
        <v>12100</v>
      </c>
      <c r="B1799" t="s">
        <v>6360</v>
      </c>
      <c r="C1799" t="s">
        <v>12101</v>
      </c>
      <c r="E1799" t="s">
        <v>12102</v>
      </c>
      <c r="F1799" t="s">
        <v>12103</v>
      </c>
      <c r="I1799" t="s">
        <v>12104</v>
      </c>
      <c r="J1799">
        <v>9175090136</v>
      </c>
      <c r="K1799" t="s">
        <v>12105</v>
      </c>
      <c r="L1799">
        <v>3072019</v>
      </c>
      <c r="M1799" t="s">
        <v>645</v>
      </c>
      <c r="N1799" t="s">
        <v>336</v>
      </c>
      <c r="O1799" t="s">
        <v>441</v>
      </c>
      <c r="P1799">
        <v>2630</v>
      </c>
    </row>
    <row r="1800" spans="1:17" x14ac:dyDescent="0.3">
      <c r="A1800" t="s">
        <v>12106</v>
      </c>
      <c r="B1800" t="s">
        <v>12107</v>
      </c>
      <c r="C1800" t="s">
        <v>12108</v>
      </c>
      <c r="D1800" t="s">
        <v>4756</v>
      </c>
      <c r="E1800" t="s">
        <v>477</v>
      </c>
      <c r="F1800" t="s">
        <v>12109</v>
      </c>
      <c r="G1800">
        <v>0</v>
      </c>
      <c r="H1800">
        <v>0</v>
      </c>
      <c r="I1800" t="s">
        <v>12110</v>
      </c>
      <c r="J1800">
        <v>9665330261</v>
      </c>
      <c r="K1800" t="s">
        <v>12111</v>
      </c>
      <c r="L1800">
        <v>1234</v>
      </c>
      <c r="M1800" t="s">
        <v>645</v>
      </c>
      <c r="N1800" t="s">
        <v>871</v>
      </c>
      <c r="O1800" t="s">
        <v>1628</v>
      </c>
      <c r="P1800">
        <v>3989</v>
      </c>
      <c r="Q1800" t="s">
        <v>12112</v>
      </c>
    </row>
    <row r="1801" spans="1:17" x14ac:dyDescent="0.3">
      <c r="A1801" t="s">
        <v>12113</v>
      </c>
      <c r="B1801" t="s">
        <v>7856</v>
      </c>
      <c r="C1801" t="s">
        <v>11001</v>
      </c>
      <c r="D1801" t="s">
        <v>11002</v>
      </c>
      <c r="E1801" t="s">
        <v>3723</v>
      </c>
      <c r="F1801" t="s">
        <v>12114</v>
      </c>
      <c r="I1801" t="s">
        <v>5653</v>
      </c>
      <c r="J1801">
        <v>9661925170</v>
      </c>
      <c r="K1801" t="s">
        <v>12115</v>
      </c>
      <c r="L1801">
        <v>1234</v>
      </c>
      <c r="M1801" t="s">
        <v>645</v>
      </c>
      <c r="N1801" t="s">
        <v>398</v>
      </c>
      <c r="O1801" t="s">
        <v>582</v>
      </c>
      <c r="P1801">
        <v>4043</v>
      </c>
    </row>
    <row r="1802" spans="1:17" x14ac:dyDescent="0.3">
      <c r="A1802" t="s">
        <v>12116</v>
      </c>
      <c r="B1802" t="s">
        <v>4165</v>
      </c>
      <c r="C1802" t="s">
        <v>12117</v>
      </c>
      <c r="D1802" t="s">
        <v>2682</v>
      </c>
      <c r="E1802" t="s">
        <v>1276</v>
      </c>
      <c r="F1802" t="s">
        <v>12118</v>
      </c>
      <c r="G1802">
        <v>0</v>
      </c>
      <c r="H1802">
        <v>0</v>
      </c>
      <c r="I1802" t="s">
        <v>12119</v>
      </c>
      <c r="J1802">
        <v>9616763259</v>
      </c>
      <c r="K1802" t="s">
        <v>12120</v>
      </c>
      <c r="L1802">
        <v>1234</v>
      </c>
      <c r="M1802" t="s">
        <v>645</v>
      </c>
      <c r="N1802" t="s">
        <v>398</v>
      </c>
      <c r="O1802" t="s">
        <v>582</v>
      </c>
      <c r="P1802">
        <v>4157</v>
      </c>
    </row>
    <row r="1803" spans="1:17" x14ac:dyDescent="0.3">
      <c r="A1803" t="s">
        <v>12121</v>
      </c>
      <c r="B1803" t="s">
        <v>12122</v>
      </c>
      <c r="C1803" t="s">
        <v>12123</v>
      </c>
      <c r="D1803" t="s">
        <v>12124</v>
      </c>
      <c r="E1803" t="s">
        <v>12125</v>
      </c>
      <c r="F1803" t="s">
        <v>12126</v>
      </c>
      <c r="G1803">
        <v>15.173539999999999</v>
      </c>
      <c r="H1803">
        <v>120.53588999999999</v>
      </c>
      <c r="I1803" t="s">
        <v>12127</v>
      </c>
      <c r="J1803" t="s">
        <v>12128</v>
      </c>
      <c r="K1803">
        <v>4138</v>
      </c>
      <c r="L1803">
        <v>1234</v>
      </c>
      <c r="M1803" t="s">
        <v>645</v>
      </c>
      <c r="N1803" t="s">
        <v>336</v>
      </c>
      <c r="O1803" t="s">
        <v>515</v>
      </c>
      <c r="P1803">
        <v>4138</v>
      </c>
    </row>
    <row r="1804" spans="1:17" x14ac:dyDescent="0.3">
      <c r="A1804" t="s">
        <v>12129</v>
      </c>
      <c r="B1804" t="s">
        <v>11114</v>
      </c>
      <c r="C1804" t="s">
        <v>11954</v>
      </c>
      <c r="D1804" t="s">
        <v>1571</v>
      </c>
      <c r="E1804" t="s">
        <v>8326</v>
      </c>
      <c r="F1804" t="s">
        <v>11955</v>
      </c>
      <c r="G1804">
        <v>0</v>
      </c>
      <c r="H1804">
        <v>0</v>
      </c>
      <c r="I1804" t="s">
        <v>11956</v>
      </c>
      <c r="J1804">
        <v>9858220431</v>
      </c>
      <c r="K1804" t="s">
        <v>12130</v>
      </c>
      <c r="L1804" t="s">
        <v>12131</v>
      </c>
      <c r="M1804" t="s">
        <v>645</v>
      </c>
      <c r="N1804" t="s">
        <v>398</v>
      </c>
      <c r="O1804" t="s">
        <v>582</v>
      </c>
      <c r="P1804">
        <v>4112</v>
      </c>
    </row>
    <row r="1805" spans="1:17" x14ac:dyDescent="0.3">
      <c r="A1805" t="s">
        <v>12132</v>
      </c>
      <c r="B1805" t="s">
        <v>415</v>
      </c>
      <c r="C1805" t="s">
        <v>8317</v>
      </c>
      <c r="E1805" t="s">
        <v>11661</v>
      </c>
      <c r="F1805" t="s">
        <v>12133</v>
      </c>
      <c r="I1805" t="s">
        <v>12134</v>
      </c>
      <c r="J1805">
        <v>9171656017</v>
      </c>
      <c r="K1805">
        <v>4203</v>
      </c>
      <c r="L1805">
        <v>1234</v>
      </c>
      <c r="M1805" t="s">
        <v>645</v>
      </c>
      <c r="N1805" t="s">
        <v>336</v>
      </c>
      <c r="O1805" t="s">
        <v>337</v>
      </c>
      <c r="P1805">
        <v>4203</v>
      </c>
    </row>
    <row r="1806" spans="1:17" x14ac:dyDescent="0.3">
      <c r="A1806" t="s">
        <v>12135</v>
      </c>
      <c r="B1806" t="s">
        <v>351</v>
      </c>
      <c r="C1806" t="s">
        <v>5145</v>
      </c>
      <c r="D1806" t="s">
        <v>1571</v>
      </c>
      <c r="E1806" t="s">
        <v>1539</v>
      </c>
      <c r="F1806" t="s">
        <v>12136</v>
      </c>
      <c r="G1806">
        <v>0</v>
      </c>
      <c r="H1806">
        <v>0</v>
      </c>
      <c r="I1806" t="s">
        <v>12137</v>
      </c>
      <c r="J1806">
        <v>9985545875</v>
      </c>
      <c r="K1806" t="s">
        <v>12138</v>
      </c>
      <c r="L1806">
        <v>1234</v>
      </c>
      <c r="M1806" t="s">
        <v>645</v>
      </c>
      <c r="N1806" t="s">
        <v>398</v>
      </c>
      <c r="O1806" t="s">
        <v>582</v>
      </c>
      <c r="P1806">
        <v>3706</v>
      </c>
    </row>
    <row r="1807" spans="1:17" x14ac:dyDescent="0.3">
      <c r="A1807" t="s">
        <v>12139</v>
      </c>
      <c r="B1807" t="s">
        <v>3145</v>
      </c>
      <c r="C1807" t="s">
        <v>3685</v>
      </c>
      <c r="E1807" t="s">
        <v>1194</v>
      </c>
      <c r="F1807" t="s">
        <v>12140</v>
      </c>
      <c r="I1807" t="s">
        <v>12141</v>
      </c>
      <c r="J1807">
        <v>9550848992</v>
      </c>
      <c r="K1807">
        <v>4205</v>
      </c>
      <c r="L1807">
        <v>1234</v>
      </c>
      <c r="M1807" t="s">
        <v>645</v>
      </c>
      <c r="N1807" t="s">
        <v>398</v>
      </c>
      <c r="O1807" t="s">
        <v>582</v>
      </c>
      <c r="P1807">
        <v>4205</v>
      </c>
    </row>
    <row r="1808" spans="1:17" x14ac:dyDescent="0.3">
      <c r="A1808" t="s">
        <v>12142</v>
      </c>
      <c r="B1808" t="s">
        <v>2039</v>
      </c>
      <c r="C1808" t="s">
        <v>12143</v>
      </c>
      <c r="E1808" t="s">
        <v>12144</v>
      </c>
      <c r="F1808" t="s">
        <v>12145</v>
      </c>
      <c r="I1808" t="s">
        <v>12146</v>
      </c>
      <c r="J1808">
        <v>9176277257</v>
      </c>
      <c r="K1808" t="s">
        <v>12147</v>
      </c>
      <c r="L1808">
        <v>1234</v>
      </c>
      <c r="M1808" t="s">
        <v>645</v>
      </c>
      <c r="N1808" t="s">
        <v>398</v>
      </c>
      <c r="O1808" t="s">
        <v>2435</v>
      </c>
      <c r="P1808">
        <v>4113</v>
      </c>
    </row>
    <row r="1809" spans="1:17" x14ac:dyDescent="0.3">
      <c r="A1809" t="s">
        <v>12148</v>
      </c>
      <c r="B1809" t="s">
        <v>12149</v>
      </c>
      <c r="C1809" t="s">
        <v>12150</v>
      </c>
      <c r="E1809" t="s">
        <v>2693</v>
      </c>
      <c r="F1809" t="s">
        <v>12151</v>
      </c>
      <c r="I1809" t="s">
        <v>12152</v>
      </c>
      <c r="J1809">
        <v>8985003493</v>
      </c>
      <c r="K1809" t="s">
        <v>12153</v>
      </c>
      <c r="L1809">
        <v>1234</v>
      </c>
      <c r="M1809" t="s">
        <v>645</v>
      </c>
      <c r="N1809" t="s">
        <v>369</v>
      </c>
      <c r="O1809" t="s">
        <v>370</v>
      </c>
      <c r="P1809">
        <v>4171</v>
      </c>
    </row>
    <row r="1810" spans="1:17" x14ac:dyDescent="0.3">
      <c r="A1810" t="s">
        <v>12154</v>
      </c>
      <c r="B1810" t="s">
        <v>12155</v>
      </c>
      <c r="C1810" t="s">
        <v>12156</v>
      </c>
      <c r="D1810" t="s">
        <v>756</v>
      </c>
      <c r="E1810" t="s">
        <v>2278</v>
      </c>
      <c r="F1810" t="s">
        <v>12157</v>
      </c>
      <c r="I1810" t="s">
        <v>12158</v>
      </c>
      <c r="K1810">
        <v>4234</v>
      </c>
      <c r="L1810">
        <v>1234</v>
      </c>
      <c r="M1810" t="s">
        <v>645</v>
      </c>
      <c r="N1810" t="s">
        <v>931</v>
      </c>
      <c r="P1810">
        <v>4234</v>
      </c>
    </row>
    <row r="1811" spans="1:17" x14ac:dyDescent="0.3">
      <c r="A1811" t="s">
        <v>12159</v>
      </c>
      <c r="B1811" t="s">
        <v>12160</v>
      </c>
      <c r="C1811" t="s">
        <v>12161</v>
      </c>
      <c r="D1811" t="s">
        <v>1555</v>
      </c>
      <c r="E1811" t="s">
        <v>1194</v>
      </c>
      <c r="F1811" t="s">
        <v>12162</v>
      </c>
      <c r="I1811" t="s">
        <v>12163</v>
      </c>
      <c r="J1811">
        <v>9067698200</v>
      </c>
      <c r="K1811">
        <v>4185</v>
      </c>
      <c r="L1811">
        <v>1234</v>
      </c>
      <c r="M1811" t="s">
        <v>645</v>
      </c>
      <c r="N1811" t="s">
        <v>336</v>
      </c>
      <c r="O1811" t="s">
        <v>441</v>
      </c>
      <c r="P1811">
        <v>4185</v>
      </c>
    </row>
    <row r="1812" spans="1:17" x14ac:dyDescent="0.3">
      <c r="A1812" t="s">
        <v>12164</v>
      </c>
      <c r="B1812" t="s">
        <v>5391</v>
      </c>
      <c r="C1812" t="s">
        <v>12165</v>
      </c>
      <c r="D1812" t="s">
        <v>1555</v>
      </c>
      <c r="E1812" t="s">
        <v>1062</v>
      </c>
      <c r="F1812" t="s">
        <v>12166</v>
      </c>
      <c r="G1812">
        <v>0</v>
      </c>
      <c r="H1812">
        <v>0</v>
      </c>
      <c r="I1812" t="s">
        <v>12167</v>
      </c>
      <c r="J1812">
        <v>9533553968</v>
      </c>
      <c r="K1812" t="s">
        <v>12168</v>
      </c>
      <c r="L1812">
        <v>1234</v>
      </c>
      <c r="M1812" t="s">
        <v>645</v>
      </c>
      <c r="N1812" t="s">
        <v>336</v>
      </c>
      <c r="O1812" t="s">
        <v>515</v>
      </c>
      <c r="P1812">
        <v>4184</v>
      </c>
      <c r="Q1812" t="s">
        <v>12169</v>
      </c>
    </row>
    <row r="1813" spans="1:17" x14ac:dyDescent="0.3">
      <c r="A1813" t="s">
        <v>12170</v>
      </c>
      <c r="B1813" t="s">
        <v>4660</v>
      </c>
      <c r="C1813" t="s">
        <v>4661</v>
      </c>
      <c r="D1813" t="s">
        <v>1571</v>
      </c>
      <c r="E1813" t="s">
        <v>1470</v>
      </c>
      <c r="F1813" t="s">
        <v>12171</v>
      </c>
      <c r="I1813" t="s">
        <v>12172</v>
      </c>
      <c r="K1813" t="s">
        <v>12173</v>
      </c>
      <c r="L1813">
        <v>1234</v>
      </c>
      <c r="M1813" t="s">
        <v>645</v>
      </c>
      <c r="N1813" t="s">
        <v>336</v>
      </c>
      <c r="O1813" t="s">
        <v>441</v>
      </c>
      <c r="P1813">
        <v>4216</v>
      </c>
    </row>
    <row r="1814" spans="1:17" x14ac:dyDescent="0.3">
      <c r="A1814" t="s">
        <v>12174</v>
      </c>
      <c r="B1814" t="s">
        <v>3317</v>
      </c>
      <c r="C1814" t="s">
        <v>12175</v>
      </c>
      <c r="D1814" t="s">
        <v>326</v>
      </c>
      <c r="E1814" t="s">
        <v>329</v>
      </c>
      <c r="F1814" t="s">
        <v>12176</v>
      </c>
      <c r="I1814" t="s">
        <v>12177</v>
      </c>
      <c r="J1814" t="s">
        <v>12178</v>
      </c>
      <c r="K1814" t="s">
        <v>12179</v>
      </c>
      <c r="L1814">
        <v>1234</v>
      </c>
      <c r="M1814" t="s">
        <v>645</v>
      </c>
      <c r="N1814" t="s">
        <v>398</v>
      </c>
      <c r="O1814" t="s">
        <v>2435</v>
      </c>
      <c r="P1814">
        <v>4189</v>
      </c>
    </row>
    <row r="1815" spans="1:17" x14ac:dyDescent="0.3">
      <c r="A1815" t="s">
        <v>12180</v>
      </c>
      <c r="B1815" t="s">
        <v>4660</v>
      </c>
      <c r="C1815" t="s">
        <v>4661</v>
      </c>
      <c r="E1815" t="s">
        <v>1470</v>
      </c>
      <c r="F1815" t="s">
        <v>12181</v>
      </c>
      <c r="I1815" t="s">
        <v>12182</v>
      </c>
      <c r="J1815" t="s">
        <v>11764</v>
      </c>
      <c r="K1815" t="s">
        <v>12183</v>
      </c>
      <c r="L1815">
        <v>1234</v>
      </c>
      <c r="M1815" t="s">
        <v>645</v>
      </c>
      <c r="N1815" t="s">
        <v>398</v>
      </c>
      <c r="O1815" t="s">
        <v>853</v>
      </c>
      <c r="P1815">
        <v>4204</v>
      </c>
    </row>
    <row r="1816" spans="1:17" x14ac:dyDescent="0.3">
      <c r="A1816" t="s">
        <v>12184</v>
      </c>
      <c r="B1816" t="s">
        <v>12185</v>
      </c>
      <c r="C1816" t="s">
        <v>12186</v>
      </c>
      <c r="D1816" t="s">
        <v>12187</v>
      </c>
      <c r="E1816" t="s">
        <v>1276</v>
      </c>
      <c r="F1816" t="s">
        <v>12188</v>
      </c>
      <c r="G1816">
        <v>0</v>
      </c>
      <c r="H1816">
        <v>0</v>
      </c>
      <c r="I1816" t="s">
        <v>12189</v>
      </c>
      <c r="J1816">
        <v>9177065882</v>
      </c>
      <c r="K1816" t="s">
        <v>12190</v>
      </c>
      <c r="L1816">
        <v>1234</v>
      </c>
      <c r="M1816" t="s">
        <v>645</v>
      </c>
      <c r="N1816" t="s">
        <v>336</v>
      </c>
      <c r="O1816" t="s">
        <v>441</v>
      </c>
      <c r="P1816">
        <v>4187</v>
      </c>
    </row>
    <row r="1817" spans="1:17" x14ac:dyDescent="0.3">
      <c r="A1817" t="s">
        <v>12191</v>
      </c>
      <c r="B1817" t="s">
        <v>12192</v>
      </c>
      <c r="C1817" t="s">
        <v>12193</v>
      </c>
      <c r="D1817" t="s">
        <v>539</v>
      </c>
      <c r="E1817" t="s">
        <v>1937</v>
      </c>
      <c r="F1817" t="s">
        <v>12194</v>
      </c>
      <c r="G1817">
        <v>0</v>
      </c>
      <c r="H1817">
        <v>0</v>
      </c>
      <c r="I1817" t="s">
        <v>12195</v>
      </c>
      <c r="J1817">
        <v>9760742187</v>
      </c>
      <c r="K1817" t="s">
        <v>12196</v>
      </c>
      <c r="L1817">
        <v>1234</v>
      </c>
      <c r="M1817" t="s">
        <v>645</v>
      </c>
      <c r="N1817" t="s">
        <v>336</v>
      </c>
      <c r="O1817" t="s">
        <v>515</v>
      </c>
      <c r="P1817">
        <v>4214</v>
      </c>
    </row>
    <row r="1818" spans="1:17" x14ac:dyDescent="0.3">
      <c r="A1818" t="s">
        <v>12197</v>
      </c>
      <c r="B1818" t="s">
        <v>12198</v>
      </c>
      <c r="C1818" t="s">
        <v>12199</v>
      </c>
      <c r="E1818" t="s">
        <v>1146</v>
      </c>
      <c r="F1818" t="s">
        <v>12200</v>
      </c>
      <c r="I1818" t="s">
        <v>12201</v>
      </c>
      <c r="J1818">
        <v>9619053202</v>
      </c>
      <c r="K1818">
        <v>4200</v>
      </c>
      <c r="L1818">
        <v>1234</v>
      </c>
      <c r="M1818" t="s">
        <v>645</v>
      </c>
      <c r="N1818" t="s">
        <v>398</v>
      </c>
      <c r="O1818" t="s">
        <v>853</v>
      </c>
      <c r="P1818">
        <v>4200</v>
      </c>
    </row>
    <row r="1819" spans="1:17" x14ac:dyDescent="0.3">
      <c r="A1819" t="s">
        <v>12202</v>
      </c>
      <c r="B1819" t="s">
        <v>6874</v>
      </c>
      <c r="C1819" t="s">
        <v>6875</v>
      </c>
      <c r="E1819" t="s">
        <v>3723</v>
      </c>
      <c r="F1819" t="s">
        <v>12203</v>
      </c>
      <c r="I1819" t="s">
        <v>12204</v>
      </c>
      <c r="J1819">
        <v>9473606268</v>
      </c>
      <c r="K1819">
        <v>4278</v>
      </c>
      <c r="L1819">
        <v>1234</v>
      </c>
      <c r="M1819" t="s">
        <v>645</v>
      </c>
      <c r="N1819" t="s">
        <v>398</v>
      </c>
      <c r="O1819" t="s">
        <v>399</v>
      </c>
      <c r="P1819">
        <v>4278</v>
      </c>
    </row>
    <row r="1820" spans="1:17" x14ac:dyDescent="0.3">
      <c r="A1820" t="s">
        <v>11958</v>
      </c>
      <c r="B1820" t="s">
        <v>5185</v>
      </c>
      <c r="C1820" t="s">
        <v>11959</v>
      </c>
      <c r="D1820" t="s">
        <v>1555</v>
      </c>
      <c r="E1820" t="s">
        <v>8326</v>
      </c>
      <c r="F1820" t="s">
        <v>11960</v>
      </c>
      <c r="G1820">
        <v>0</v>
      </c>
      <c r="H1820">
        <v>0</v>
      </c>
      <c r="I1820" t="s">
        <v>11961</v>
      </c>
      <c r="J1820">
        <v>9989554905</v>
      </c>
      <c r="K1820" t="s">
        <v>11962</v>
      </c>
      <c r="L1820">
        <v>1234</v>
      </c>
      <c r="M1820" t="s">
        <v>645</v>
      </c>
      <c r="N1820" t="s">
        <v>304</v>
      </c>
      <c r="O1820" t="s">
        <v>305</v>
      </c>
      <c r="P1820">
        <v>4047</v>
      </c>
    </row>
    <row r="1821" spans="1:17" x14ac:dyDescent="0.3">
      <c r="A1821" t="s">
        <v>12205</v>
      </c>
      <c r="B1821" t="s">
        <v>2576</v>
      </c>
      <c r="C1821" t="s">
        <v>3016</v>
      </c>
      <c r="D1821" t="s">
        <v>756</v>
      </c>
      <c r="E1821" t="s">
        <v>10968</v>
      </c>
      <c r="F1821" t="s">
        <v>12206</v>
      </c>
      <c r="G1821">
        <v>0</v>
      </c>
      <c r="H1821">
        <v>0</v>
      </c>
      <c r="I1821" t="s">
        <v>12207</v>
      </c>
      <c r="J1821" t="s">
        <v>12208</v>
      </c>
      <c r="K1821" t="s">
        <v>12209</v>
      </c>
      <c r="L1821" t="s">
        <v>12210</v>
      </c>
      <c r="M1821" t="s">
        <v>645</v>
      </c>
      <c r="N1821" t="s">
        <v>336</v>
      </c>
      <c r="O1821" t="s">
        <v>515</v>
      </c>
      <c r="P1821">
        <v>4195</v>
      </c>
    </row>
    <row r="1822" spans="1:17" x14ac:dyDescent="0.3">
      <c r="A1822" t="s">
        <v>12211</v>
      </c>
      <c r="B1822" t="s">
        <v>924</v>
      </c>
      <c r="C1822" t="s">
        <v>12212</v>
      </c>
      <c r="D1822" t="s">
        <v>12213</v>
      </c>
      <c r="E1822" t="s">
        <v>1276</v>
      </c>
      <c r="F1822" t="s">
        <v>12214</v>
      </c>
      <c r="I1822" t="s">
        <v>12215</v>
      </c>
      <c r="J1822" t="s">
        <v>12216</v>
      </c>
      <c r="K1822" t="s">
        <v>12217</v>
      </c>
      <c r="L1822">
        <v>1234</v>
      </c>
      <c r="M1822" t="s">
        <v>645</v>
      </c>
      <c r="N1822" t="s">
        <v>398</v>
      </c>
      <c r="O1822" t="s">
        <v>853</v>
      </c>
      <c r="P1822">
        <v>4202</v>
      </c>
    </row>
    <row r="1823" spans="1:17" x14ac:dyDescent="0.3">
      <c r="A1823" t="s">
        <v>12218</v>
      </c>
      <c r="B1823" t="s">
        <v>12219</v>
      </c>
      <c r="C1823" t="s">
        <v>75</v>
      </c>
      <c r="D1823" t="s">
        <v>539</v>
      </c>
      <c r="E1823" t="s">
        <v>1194</v>
      </c>
      <c r="F1823" t="s">
        <v>12220</v>
      </c>
      <c r="I1823" t="s">
        <v>12221</v>
      </c>
      <c r="J1823">
        <v>9054417000</v>
      </c>
      <c r="K1823" t="s">
        <v>12222</v>
      </c>
      <c r="L1823">
        <v>1234</v>
      </c>
      <c r="M1823" t="s">
        <v>645</v>
      </c>
      <c r="N1823" t="s">
        <v>336</v>
      </c>
      <c r="O1823" t="s">
        <v>515</v>
      </c>
      <c r="P1823">
        <v>3327</v>
      </c>
    </row>
    <row r="1824" spans="1:17" x14ac:dyDescent="0.3">
      <c r="A1824" t="s">
        <v>12223</v>
      </c>
      <c r="B1824" t="s">
        <v>7856</v>
      </c>
      <c r="C1824" t="s">
        <v>11001</v>
      </c>
      <c r="D1824" t="s">
        <v>1555</v>
      </c>
      <c r="E1824" t="s">
        <v>3723</v>
      </c>
      <c r="F1824" t="s">
        <v>12224</v>
      </c>
      <c r="I1824" t="s">
        <v>5653</v>
      </c>
      <c r="J1824" t="s">
        <v>12225</v>
      </c>
      <c r="K1824" t="s">
        <v>12226</v>
      </c>
      <c r="L1824">
        <v>1234</v>
      </c>
      <c r="M1824" t="s">
        <v>645</v>
      </c>
      <c r="N1824" t="s">
        <v>369</v>
      </c>
      <c r="O1824" t="s">
        <v>370</v>
      </c>
      <c r="P1824">
        <v>4283</v>
      </c>
    </row>
    <row r="1825" spans="1:17" x14ac:dyDescent="0.3">
      <c r="A1825" t="s">
        <v>12227</v>
      </c>
      <c r="B1825" t="s">
        <v>12228</v>
      </c>
      <c r="C1825" t="s">
        <v>12229</v>
      </c>
      <c r="D1825" t="s">
        <v>2682</v>
      </c>
      <c r="E1825" t="s">
        <v>12230</v>
      </c>
      <c r="F1825" t="s">
        <v>12231</v>
      </c>
      <c r="I1825" t="s">
        <v>12232</v>
      </c>
      <c r="J1825">
        <v>9158545622</v>
      </c>
      <c r="K1825" t="s">
        <v>12233</v>
      </c>
      <c r="L1825">
        <v>1234</v>
      </c>
      <c r="M1825" t="s">
        <v>645</v>
      </c>
      <c r="N1825" t="s">
        <v>336</v>
      </c>
      <c r="O1825" t="s">
        <v>515</v>
      </c>
      <c r="P1825">
        <v>4032</v>
      </c>
    </row>
    <row r="1826" spans="1:17" x14ac:dyDescent="0.3">
      <c r="A1826" t="s">
        <v>12234</v>
      </c>
      <c r="B1826" t="s">
        <v>2576</v>
      </c>
      <c r="C1826" t="s">
        <v>12235</v>
      </c>
      <c r="D1826" t="s">
        <v>2682</v>
      </c>
      <c r="E1826" t="s">
        <v>12236</v>
      </c>
      <c r="F1826" t="s">
        <v>12237</v>
      </c>
      <c r="I1826" t="s">
        <v>12238</v>
      </c>
      <c r="J1826">
        <v>9264618726</v>
      </c>
      <c r="K1826" t="s">
        <v>12239</v>
      </c>
      <c r="L1826">
        <v>1234</v>
      </c>
      <c r="M1826" t="s">
        <v>645</v>
      </c>
      <c r="N1826" t="s">
        <v>398</v>
      </c>
      <c r="O1826" t="s">
        <v>853</v>
      </c>
      <c r="P1826">
        <v>4191</v>
      </c>
    </row>
    <row r="1827" spans="1:17" x14ac:dyDescent="0.3">
      <c r="A1827" t="s">
        <v>12240</v>
      </c>
      <c r="B1827" t="s">
        <v>6864</v>
      </c>
      <c r="C1827" t="s">
        <v>11834</v>
      </c>
      <c r="D1827" t="s">
        <v>756</v>
      </c>
      <c r="E1827" t="s">
        <v>859</v>
      </c>
      <c r="F1827" t="s">
        <v>12241</v>
      </c>
      <c r="I1827" t="s">
        <v>12242</v>
      </c>
      <c r="K1827">
        <v>4308</v>
      </c>
      <c r="L1827" t="s">
        <v>12243</v>
      </c>
      <c r="M1827" t="s">
        <v>645</v>
      </c>
      <c r="N1827" t="s">
        <v>398</v>
      </c>
      <c r="O1827" t="s">
        <v>582</v>
      </c>
      <c r="P1827">
        <v>4308</v>
      </c>
    </row>
    <row r="1828" spans="1:17" x14ac:dyDescent="0.3">
      <c r="A1828" t="s">
        <v>12244</v>
      </c>
      <c r="B1828" t="s">
        <v>12245</v>
      </c>
      <c r="C1828" t="s">
        <v>12246</v>
      </c>
      <c r="D1828" t="s">
        <v>974</v>
      </c>
      <c r="E1828" t="s">
        <v>12247</v>
      </c>
      <c r="F1828" t="s">
        <v>12248</v>
      </c>
      <c r="G1828">
        <v>15.16736</v>
      </c>
      <c r="H1828">
        <v>120.57040000000001</v>
      </c>
      <c r="I1828" t="s">
        <v>12249</v>
      </c>
      <c r="J1828">
        <v>-63454996937</v>
      </c>
      <c r="K1828" t="s">
        <v>12250</v>
      </c>
      <c r="L1828">
        <v>1234</v>
      </c>
      <c r="M1828" t="s">
        <v>645</v>
      </c>
      <c r="N1828" t="s">
        <v>369</v>
      </c>
      <c r="O1828" t="s">
        <v>83</v>
      </c>
      <c r="P1828">
        <v>4114</v>
      </c>
      <c r="Q1828" t="s">
        <v>12251</v>
      </c>
    </row>
    <row r="1829" spans="1:17" x14ac:dyDescent="0.3">
      <c r="A1829" t="s">
        <v>10003</v>
      </c>
      <c r="B1829" t="s">
        <v>8345</v>
      </c>
      <c r="C1829" t="s">
        <v>12252</v>
      </c>
      <c r="D1829" t="s">
        <v>1237</v>
      </c>
      <c r="E1829" t="s">
        <v>12253</v>
      </c>
      <c r="F1829" t="s">
        <v>12254</v>
      </c>
      <c r="G1829">
        <v>0</v>
      </c>
      <c r="H1829">
        <v>0</v>
      </c>
      <c r="I1829" t="s">
        <v>12255</v>
      </c>
      <c r="J1829">
        <v>9458602356</v>
      </c>
      <c r="K1829" t="s">
        <v>12256</v>
      </c>
      <c r="L1829">
        <v>1234</v>
      </c>
      <c r="M1829" t="s">
        <v>645</v>
      </c>
      <c r="N1829" t="s">
        <v>336</v>
      </c>
      <c r="O1829" t="s">
        <v>515</v>
      </c>
      <c r="P1829">
        <v>4276</v>
      </c>
    </row>
    <row r="1830" spans="1:17" x14ac:dyDescent="0.3">
      <c r="A1830" t="s">
        <v>12257</v>
      </c>
      <c r="B1830" t="s">
        <v>12258</v>
      </c>
      <c r="C1830" t="s">
        <v>12259</v>
      </c>
      <c r="D1830" t="s">
        <v>2682</v>
      </c>
      <c r="E1830" t="s">
        <v>1276</v>
      </c>
      <c r="F1830" t="s">
        <v>12260</v>
      </c>
      <c r="I1830" t="s">
        <v>12261</v>
      </c>
      <c r="K1830" t="s">
        <v>12262</v>
      </c>
      <c r="L1830">
        <v>1234</v>
      </c>
      <c r="M1830" t="s">
        <v>645</v>
      </c>
      <c r="N1830" t="s">
        <v>398</v>
      </c>
      <c r="O1830" t="s">
        <v>582</v>
      </c>
      <c r="P1830">
        <v>4260</v>
      </c>
    </row>
    <row r="1831" spans="1:17" x14ac:dyDescent="0.3">
      <c r="A1831" t="s">
        <v>12263</v>
      </c>
      <c r="B1831" t="s">
        <v>922</v>
      </c>
      <c r="C1831" t="s">
        <v>12264</v>
      </c>
      <c r="D1831" t="s">
        <v>12265</v>
      </c>
      <c r="E1831" t="s">
        <v>5061</v>
      </c>
      <c r="F1831" t="s">
        <v>12266</v>
      </c>
      <c r="G1831">
        <v>0</v>
      </c>
      <c r="H1831">
        <v>0</v>
      </c>
      <c r="I1831" t="s">
        <v>12267</v>
      </c>
      <c r="J1831">
        <v>9174503196</v>
      </c>
      <c r="K1831" t="s">
        <v>12268</v>
      </c>
      <c r="L1831">
        <v>1234</v>
      </c>
      <c r="M1831" t="s">
        <v>645</v>
      </c>
      <c r="N1831" t="s">
        <v>336</v>
      </c>
      <c r="O1831" t="s">
        <v>515</v>
      </c>
      <c r="P1831">
        <v>4317</v>
      </c>
    </row>
    <row r="1832" spans="1:17" x14ac:dyDescent="0.3">
      <c r="A1832" t="s">
        <v>12269</v>
      </c>
      <c r="B1832" t="s">
        <v>12270</v>
      </c>
      <c r="C1832" t="s">
        <v>12271</v>
      </c>
      <c r="D1832" t="s">
        <v>539</v>
      </c>
      <c r="E1832" t="s">
        <v>3932</v>
      </c>
      <c r="F1832" t="s">
        <v>12272</v>
      </c>
      <c r="I1832" t="s">
        <v>12273</v>
      </c>
      <c r="J1832">
        <v>9286043661</v>
      </c>
      <c r="K1832" t="s">
        <v>12274</v>
      </c>
      <c r="L1832">
        <v>1234</v>
      </c>
      <c r="M1832" t="s">
        <v>645</v>
      </c>
      <c r="N1832" t="s">
        <v>398</v>
      </c>
      <c r="O1832" t="s">
        <v>685</v>
      </c>
      <c r="P1832">
        <v>4167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 Acer</dc:creator>
  <cp:lastModifiedBy>Predator Acer</cp:lastModifiedBy>
  <dcterms:created xsi:type="dcterms:W3CDTF">2026-02-16T04:32:33Z</dcterms:created>
  <dcterms:modified xsi:type="dcterms:W3CDTF">2026-02-16T05:04:48Z</dcterms:modified>
</cp:coreProperties>
</file>